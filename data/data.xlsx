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dacd863e014bc1/Documents/FADLAN IMAN/TUGAS AKHIR/project/data/"/>
    </mc:Choice>
  </mc:AlternateContent>
  <xr:revisionPtr revIDLastSave="13" documentId="13_ncr:1_{D043242D-1EFF-4B1C-82E9-46C5573E20C3}" xr6:coauthVersionLast="47" xr6:coauthVersionMax="47" xr10:uidLastSave="{3D53B1D6-207A-4E66-8B1C-56CF3CC8CF58}"/>
  <bookViews>
    <workbookView xWindow="-108" yWindow="-108" windowWidth="23256" windowHeight="13176" activeTab="5" xr2:uid="{00000000-000D-0000-FFFF-FFFF00000000}"/>
  </bookViews>
  <sheets>
    <sheet name="inflasi" sheetId="1" r:id="rId1"/>
    <sheet name="suku bunga" sheetId="2" r:id="rId2"/>
    <sheet name="nilai tukar" sheetId="7" r:id="rId3"/>
    <sheet name="minyak mentah" sheetId="5" r:id="rId4"/>
    <sheet name="emas" sheetId="4" r:id="rId5"/>
    <sheet name="dataset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8" l="1"/>
  <c r="H6" i="4"/>
  <c r="H6" i="7"/>
  <c r="H7" i="7"/>
  <c r="H6" i="1" a="1"/>
  <c r="H6" i="1"/>
  <c r="H7" i="1" a="1"/>
  <c r="H7" i="1" s="1"/>
  <c r="H6" i="2"/>
  <c r="C2" i="8" s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D42" i="8" s="1"/>
  <c r="H47" i="7"/>
  <c r="H48" i="7"/>
  <c r="D44" i="8" s="1"/>
  <c r="H49" i="7"/>
  <c r="H50" i="7"/>
  <c r="H51" i="7"/>
  <c r="H52" i="7"/>
  <c r="D48" i="8" s="1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D64" i="8" s="1"/>
  <c r="H69" i="7"/>
  <c r="H70" i="7"/>
  <c r="H71" i="7"/>
  <c r="H72" i="7"/>
  <c r="H73" i="7"/>
  <c r="H74" i="7"/>
  <c r="D70" i="8" s="1"/>
  <c r="H75" i="7"/>
  <c r="H76" i="7"/>
  <c r="H77" i="7"/>
  <c r="H78" i="7"/>
  <c r="H79" i="7"/>
  <c r="H80" i="7"/>
  <c r="H81" i="7"/>
  <c r="H82" i="7"/>
  <c r="D78" i="8" s="1"/>
  <c r="H83" i="7"/>
  <c r="H84" i="7"/>
  <c r="H85" i="7"/>
  <c r="D81" i="8" s="1"/>
  <c r="H86" i="7"/>
  <c r="H87" i="7"/>
  <c r="H88" i="7"/>
  <c r="D84" i="8" s="1"/>
  <c r="H89" i="7"/>
  <c r="H90" i="7"/>
  <c r="H91" i="7"/>
  <c r="H92" i="7"/>
  <c r="H93" i="7"/>
  <c r="H94" i="7"/>
  <c r="D90" i="8" s="1"/>
  <c r="H95" i="7"/>
  <c r="D91" i="8" s="1"/>
  <c r="H96" i="7"/>
  <c r="H97" i="7"/>
  <c r="H98" i="7"/>
  <c r="H99" i="7"/>
  <c r="H100" i="7"/>
  <c r="H101" i="7"/>
  <c r="H102" i="7"/>
  <c r="D98" i="8" s="1"/>
  <c r="H103" i="7"/>
  <c r="H104" i="7"/>
  <c r="H105" i="7"/>
  <c r="H106" i="7"/>
  <c r="H107" i="7"/>
  <c r="H108" i="7"/>
  <c r="H109" i="7"/>
  <c r="H110" i="7"/>
  <c r="D106" i="8" s="1"/>
  <c r="H111" i="7"/>
  <c r="H112" i="7"/>
  <c r="D108" i="8" s="1"/>
  <c r="H113" i="7"/>
  <c r="D109" i="8" s="1"/>
  <c r="H114" i="7"/>
  <c r="H115" i="7"/>
  <c r="H116" i="7"/>
  <c r="D112" i="8" s="1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D132" i="8" s="1"/>
  <c r="H137" i="7"/>
  <c r="H138" i="7"/>
  <c r="H139" i="7"/>
  <c r="H140" i="7"/>
  <c r="H141" i="7"/>
  <c r="D137" i="8" s="1"/>
  <c r="H142" i="7"/>
  <c r="H143" i="7"/>
  <c r="H144" i="7"/>
  <c r="D140" i="8" s="1"/>
  <c r="H145" i="7"/>
  <c r="D141" i="8" s="1"/>
  <c r="H146" i="7"/>
  <c r="H147" i="7"/>
  <c r="H148" i="7"/>
  <c r="H149" i="7"/>
  <c r="H150" i="7"/>
  <c r="D146" i="8" s="1"/>
  <c r="H151" i="7"/>
  <c r="H152" i="7"/>
  <c r="D148" i="8" s="1"/>
  <c r="H153" i="7"/>
  <c r="H154" i="7"/>
  <c r="H155" i="7"/>
  <c r="H156" i="7"/>
  <c r="H157" i="7"/>
  <c r="H158" i="7"/>
  <c r="D154" i="8" s="1"/>
  <c r="H159" i="7"/>
  <c r="D155" i="8" s="1"/>
  <c r="H160" i="7"/>
  <c r="D156" i="8" s="1"/>
  <c r="H161" i="7"/>
  <c r="H162" i="7"/>
  <c r="H163" i="7"/>
  <c r="H164" i="7"/>
  <c r="D160" i="8" s="1"/>
  <c r="H165" i="7"/>
  <c r="H166" i="7"/>
  <c r="H167" i="7"/>
  <c r="H168" i="7"/>
  <c r="D164" i="8" s="1"/>
  <c r="H169" i="7"/>
  <c r="H170" i="7"/>
  <c r="H171" i="7"/>
  <c r="H172" i="7"/>
  <c r="H173" i="7"/>
  <c r="H174" i="7"/>
  <c r="D170" i="8" s="1"/>
  <c r="H175" i="7"/>
  <c r="H176" i="7"/>
  <c r="H177" i="7"/>
  <c r="H178" i="7"/>
  <c r="H179" i="7"/>
  <c r="H180" i="7"/>
  <c r="D176" i="8" s="1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D192" i="8" s="1"/>
  <c r="H197" i="7"/>
  <c r="H198" i="7"/>
  <c r="H199" i="7"/>
  <c r="H200" i="7"/>
  <c r="H201" i="7"/>
  <c r="H202" i="7"/>
  <c r="H203" i="7"/>
  <c r="H204" i="7"/>
  <c r="H205" i="7"/>
  <c r="H206" i="7"/>
  <c r="D202" i="8" s="1"/>
  <c r="H207" i="7"/>
  <c r="H208" i="7"/>
  <c r="D204" i="8" s="1"/>
  <c r="H209" i="7"/>
  <c r="H210" i="7"/>
  <c r="H211" i="7"/>
  <c r="H212" i="7"/>
  <c r="H213" i="7"/>
  <c r="H214" i="7"/>
  <c r="D210" i="8" s="1"/>
  <c r="H215" i="7"/>
  <c r="H216" i="7"/>
  <c r="H217" i="7"/>
  <c r="H218" i="7"/>
  <c r="H219" i="7"/>
  <c r="H220" i="7"/>
  <c r="D216" i="8" s="1"/>
  <c r="H221" i="7"/>
  <c r="H222" i="7"/>
  <c r="D218" i="8" s="1"/>
  <c r="H223" i="7"/>
  <c r="D219" i="8" s="1"/>
  <c r="H224" i="7"/>
  <c r="H225" i="7"/>
  <c r="H226" i="7"/>
  <c r="H227" i="7"/>
  <c r="H228" i="7"/>
  <c r="H229" i="7"/>
  <c r="H230" i="7"/>
  <c r="H231" i="7"/>
  <c r="H232" i="7"/>
  <c r="H233" i="7"/>
  <c r="H234" i="7"/>
  <c r="D230" i="8" s="1"/>
  <c r="H235" i="7"/>
  <c r="H236" i="7"/>
  <c r="H237" i="7"/>
  <c r="H238" i="7"/>
  <c r="H239" i="7"/>
  <c r="H240" i="7"/>
  <c r="H241" i="7"/>
  <c r="H242" i="7"/>
  <c r="H243" i="7"/>
  <c r="H244" i="7"/>
  <c r="D240" i="8" s="1"/>
  <c r="H245" i="7"/>
  <c r="H246" i="7"/>
  <c r="H247" i="7"/>
  <c r="H248" i="7"/>
  <c r="H249" i="7"/>
  <c r="H250" i="7"/>
  <c r="H251" i="7"/>
  <c r="H252" i="7"/>
  <c r="H253" i="7"/>
  <c r="H254" i="7"/>
  <c r="H255" i="7"/>
  <c r="H256" i="7"/>
  <c r="D252" i="8" s="1"/>
  <c r="H257" i="7"/>
  <c r="H258" i="7"/>
  <c r="H259" i="7"/>
  <c r="D255" i="8" s="1"/>
  <c r="H260" i="7"/>
  <c r="H261" i="7"/>
  <c r="H262" i="7"/>
  <c r="H263" i="7"/>
  <c r="D259" i="8" s="1"/>
  <c r="H264" i="7"/>
  <c r="D260" i="8" s="1"/>
  <c r="H265" i="7"/>
  <c r="H266" i="7"/>
  <c r="H267" i="7"/>
  <c r="H268" i="7"/>
  <c r="H269" i="7"/>
  <c r="H270" i="7"/>
  <c r="D266" i="8" s="1"/>
  <c r="H271" i="7"/>
  <c r="H272" i="7"/>
  <c r="H273" i="7"/>
  <c r="D269" i="8" s="1"/>
  <c r="H274" i="7"/>
  <c r="H275" i="7"/>
  <c r="H276" i="7"/>
  <c r="D272" i="8" s="1"/>
  <c r="H277" i="7"/>
  <c r="H278" i="7"/>
  <c r="H279" i="7"/>
  <c r="H280" i="7"/>
  <c r="D276" i="8" s="1"/>
  <c r="H281" i="7"/>
  <c r="H282" i="7"/>
  <c r="H283" i="7"/>
  <c r="H284" i="7"/>
  <c r="H285" i="7"/>
  <c r="H286" i="7"/>
  <c r="D282" i="8" s="1"/>
  <c r="H287" i="7"/>
  <c r="D283" i="8" s="1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D296" i="8" s="1"/>
  <c r="H301" i="7"/>
  <c r="H302" i="7"/>
  <c r="D298" i="8" s="1"/>
  <c r="H303" i="7"/>
  <c r="H304" i="7"/>
  <c r="H305" i="7"/>
  <c r="H306" i="7"/>
  <c r="D302" i="8" s="1"/>
  <c r="H307" i="7"/>
  <c r="H308" i="7"/>
  <c r="D304" i="8" s="1"/>
  <c r="H309" i="7"/>
  <c r="H310" i="7"/>
  <c r="H311" i="7"/>
  <c r="H312" i="7"/>
  <c r="H313" i="7"/>
  <c r="H314" i="7"/>
  <c r="D310" i="8" s="1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D332" i="8" s="1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D352" i="8" s="1"/>
  <c r="H357" i="7"/>
  <c r="H358" i="7"/>
  <c r="H359" i="7"/>
  <c r="H360" i="7"/>
  <c r="D356" i="8" s="1"/>
  <c r="H361" i="7"/>
  <c r="H362" i="7"/>
  <c r="D358" i="8" s="1"/>
  <c r="H363" i="7"/>
  <c r="H364" i="7"/>
  <c r="D360" i="8" s="1"/>
  <c r="H365" i="7"/>
  <c r="H366" i="7"/>
  <c r="H367" i="7"/>
  <c r="H368" i="7"/>
  <c r="H369" i="7"/>
  <c r="D365" i="8" s="1"/>
  <c r="H370" i="7"/>
  <c r="D366" i="8" s="1"/>
  <c r="H371" i="7"/>
  <c r="H372" i="7"/>
  <c r="H373" i="7"/>
  <c r="H374" i="7"/>
  <c r="H375" i="7"/>
  <c r="H376" i="7"/>
  <c r="H377" i="7"/>
  <c r="H378" i="7"/>
  <c r="D374" i="8" s="1"/>
  <c r="H379" i="7"/>
  <c r="H380" i="7"/>
  <c r="H381" i="7"/>
  <c r="D377" i="8" s="1"/>
  <c r="H382" i="7"/>
  <c r="H383" i="7"/>
  <c r="H384" i="7"/>
  <c r="H385" i="7"/>
  <c r="D381" i="8" s="1"/>
  <c r="H386" i="7"/>
  <c r="H387" i="7"/>
  <c r="H388" i="7"/>
  <c r="H389" i="7"/>
  <c r="H390" i="7"/>
  <c r="D386" i="8" s="1"/>
  <c r="H391" i="7"/>
  <c r="H392" i="7"/>
  <c r="H393" i="7"/>
  <c r="H394" i="7"/>
  <c r="H395" i="7"/>
  <c r="H396" i="7"/>
  <c r="H397" i="7"/>
  <c r="H398" i="7"/>
  <c r="H399" i="7"/>
  <c r="H400" i="7"/>
  <c r="D396" i="8" s="1"/>
  <c r="H401" i="7"/>
  <c r="H402" i="7"/>
  <c r="H403" i="7"/>
  <c r="H404" i="7"/>
  <c r="H405" i="7"/>
  <c r="H406" i="7"/>
  <c r="H407" i="7"/>
  <c r="D403" i="8" s="1"/>
  <c r="H408" i="7"/>
  <c r="H409" i="7"/>
  <c r="H410" i="7"/>
  <c r="H411" i="7"/>
  <c r="H412" i="7"/>
  <c r="H413" i="7"/>
  <c r="D409" i="8" s="1"/>
  <c r="H414" i="7"/>
  <c r="D410" i="8" s="1"/>
  <c r="H415" i="7"/>
  <c r="H416" i="7"/>
  <c r="H417" i="7"/>
  <c r="H418" i="7"/>
  <c r="H419" i="7"/>
  <c r="H420" i="7"/>
  <c r="D416" i="8" s="1"/>
  <c r="H421" i="7"/>
  <c r="H422" i="7"/>
  <c r="H423" i="7"/>
  <c r="H424" i="7"/>
  <c r="D420" i="8" s="1"/>
  <c r="H425" i="7"/>
  <c r="H426" i="7"/>
  <c r="H427" i="7"/>
  <c r="H428" i="7"/>
  <c r="H429" i="7"/>
  <c r="H430" i="7"/>
  <c r="H431" i="7"/>
  <c r="H432" i="7"/>
  <c r="H433" i="7"/>
  <c r="D429" i="8" s="1"/>
  <c r="H434" i="7"/>
  <c r="D430" i="8" s="1"/>
  <c r="H435" i="7"/>
  <c r="D431" i="8" s="1"/>
  <c r="H436" i="7"/>
  <c r="H437" i="7"/>
  <c r="H438" i="7"/>
  <c r="H439" i="7"/>
  <c r="H440" i="7"/>
  <c r="D436" i="8" s="1"/>
  <c r="H441" i="7"/>
  <c r="H442" i="7"/>
  <c r="H443" i="7"/>
  <c r="H444" i="7"/>
  <c r="D440" i="8" s="1"/>
  <c r="H445" i="7"/>
  <c r="D441" i="8" s="1"/>
  <c r="H446" i="7"/>
  <c r="D442" i="8" s="1"/>
  <c r="H447" i="7"/>
  <c r="H448" i="7"/>
  <c r="H449" i="7"/>
  <c r="H450" i="7"/>
  <c r="H451" i="7"/>
  <c r="H452" i="7"/>
  <c r="H453" i="7"/>
  <c r="H454" i="7"/>
  <c r="D450" i="8" s="1"/>
  <c r="H455" i="7"/>
  <c r="H456" i="7"/>
  <c r="H457" i="7"/>
  <c r="H458" i="7"/>
  <c r="H459" i="7"/>
  <c r="H460" i="7"/>
  <c r="H461" i="7"/>
  <c r="H462" i="7"/>
  <c r="H463" i="7"/>
  <c r="H464" i="7"/>
  <c r="H465" i="7"/>
  <c r="D461" i="8" s="1"/>
  <c r="H466" i="7"/>
  <c r="D462" i="8" s="1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D480" i="8" s="1"/>
  <c r="H485" i="7"/>
  <c r="H486" i="7"/>
  <c r="H487" i="7"/>
  <c r="H488" i="7"/>
  <c r="D484" i="8" s="1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D498" i="8" s="1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D514" i="8" s="1"/>
  <c r="H519" i="7"/>
  <c r="D515" i="8" s="1"/>
  <c r="H520" i="7"/>
  <c r="H521" i="7"/>
  <c r="H522" i="7"/>
  <c r="D518" i="8" s="1"/>
  <c r="H523" i="7"/>
  <c r="H524" i="7"/>
  <c r="H525" i="7"/>
  <c r="D521" i="8" s="1"/>
  <c r="H526" i="7"/>
  <c r="H527" i="7"/>
  <c r="H528" i="7"/>
  <c r="H529" i="7"/>
  <c r="H530" i="7"/>
  <c r="H531" i="7"/>
  <c r="H532" i="7"/>
  <c r="H533" i="7"/>
  <c r="H534" i="7"/>
  <c r="H535" i="7"/>
  <c r="H536" i="7"/>
  <c r="D532" i="8" s="1"/>
  <c r="H537" i="7"/>
  <c r="H538" i="7"/>
  <c r="D534" i="8" s="1"/>
  <c r="H539" i="7"/>
  <c r="H540" i="7"/>
  <c r="H541" i="7"/>
  <c r="H542" i="7"/>
  <c r="H543" i="7"/>
  <c r="H544" i="7"/>
  <c r="H545" i="7"/>
  <c r="H546" i="7"/>
  <c r="H547" i="7"/>
  <c r="H548" i="7"/>
  <c r="H549" i="7"/>
  <c r="H550" i="7"/>
  <c r="D546" i="8" s="1"/>
  <c r="H551" i="7"/>
  <c r="H552" i="7"/>
  <c r="D548" i="8" s="1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D563" i="8" s="1"/>
  <c r="H568" i="7"/>
  <c r="H569" i="7"/>
  <c r="H570" i="7"/>
  <c r="H571" i="7"/>
  <c r="H572" i="7"/>
  <c r="D568" i="8" s="1"/>
  <c r="H573" i="7"/>
  <c r="H574" i="7"/>
  <c r="H575" i="7"/>
  <c r="H576" i="7"/>
  <c r="H577" i="7"/>
  <c r="H578" i="7"/>
  <c r="H579" i="7"/>
  <c r="H580" i="7"/>
  <c r="H581" i="7"/>
  <c r="H582" i="7"/>
  <c r="D578" i="8" s="1"/>
  <c r="H583" i="7"/>
  <c r="H584" i="7"/>
  <c r="D580" i="8" s="1"/>
  <c r="H585" i="7"/>
  <c r="H586" i="7"/>
  <c r="H587" i="7"/>
  <c r="H588" i="7"/>
  <c r="H589" i="7"/>
  <c r="H590" i="7"/>
  <c r="H591" i="7"/>
  <c r="H592" i="7"/>
  <c r="D588" i="8" s="1"/>
  <c r="H593" i="7"/>
  <c r="H594" i="7"/>
  <c r="H595" i="7"/>
  <c r="H596" i="7"/>
  <c r="H597" i="7"/>
  <c r="H598" i="7"/>
  <c r="D594" i="8" s="1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D610" i="8" s="1"/>
  <c r="H615" i="7"/>
  <c r="H616" i="7"/>
  <c r="D612" i="8" s="1"/>
  <c r="H617" i="7"/>
  <c r="H618" i="7"/>
  <c r="H619" i="7"/>
  <c r="H620" i="7"/>
  <c r="H621" i="7"/>
  <c r="H622" i="7"/>
  <c r="H623" i="7"/>
  <c r="D619" i="8" s="1"/>
  <c r="H624" i="7"/>
  <c r="H625" i="7"/>
  <c r="H626" i="7"/>
  <c r="D622" i="8" s="1"/>
  <c r="H627" i="7"/>
  <c r="H628" i="7"/>
  <c r="H629" i="7"/>
  <c r="H630" i="7"/>
  <c r="D626" i="8" s="1"/>
  <c r="H631" i="7"/>
  <c r="H632" i="7"/>
  <c r="H633" i="7"/>
  <c r="H634" i="7"/>
  <c r="H635" i="7"/>
  <c r="H636" i="7"/>
  <c r="D632" i="8" s="1"/>
  <c r="H637" i="7"/>
  <c r="D633" i="8" s="1"/>
  <c r="H638" i="7"/>
  <c r="H639" i="7"/>
  <c r="H640" i="7"/>
  <c r="D636" i="8" s="1"/>
  <c r="H641" i="7"/>
  <c r="H642" i="7"/>
  <c r="H643" i="7"/>
  <c r="D639" i="8" s="1"/>
  <c r="H644" i="7"/>
  <c r="H645" i="7"/>
  <c r="H646" i="7"/>
  <c r="H647" i="7"/>
  <c r="H648" i="7"/>
  <c r="D644" i="8" s="1"/>
  <c r="H649" i="7"/>
  <c r="H650" i="7"/>
  <c r="H651" i="7"/>
  <c r="H652" i="7"/>
  <c r="H653" i="7"/>
  <c r="H654" i="7"/>
  <c r="H655" i="7"/>
  <c r="H656" i="7"/>
  <c r="H657" i="7"/>
  <c r="H658" i="7"/>
  <c r="D654" i="8" s="1"/>
  <c r="H659" i="7"/>
  <c r="H660" i="7"/>
  <c r="H661" i="7"/>
  <c r="H662" i="7"/>
  <c r="H663" i="7"/>
  <c r="H664" i="7"/>
  <c r="H665" i="7"/>
  <c r="H666" i="7"/>
  <c r="H667" i="7"/>
  <c r="H668" i="7"/>
  <c r="D664" i="8" s="1"/>
  <c r="H669" i="7"/>
  <c r="D665" i="8" s="1"/>
  <c r="H670" i="7"/>
  <c r="D666" i="8" s="1"/>
  <c r="H671" i="7"/>
  <c r="H672" i="7"/>
  <c r="H673" i="7"/>
  <c r="D669" i="8" s="1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D708" i="8" s="1"/>
  <c r="H713" i="7"/>
  <c r="H714" i="7"/>
  <c r="H715" i="7"/>
  <c r="H716" i="7"/>
  <c r="H717" i="7"/>
  <c r="H718" i="7"/>
  <c r="H719" i="7"/>
  <c r="H720" i="7"/>
  <c r="H721" i="7"/>
  <c r="D717" i="8" s="1"/>
  <c r="H722" i="7"/>
  <c r="H723" i="7"/>
  <c r="H724" i="7"/>
  <c r="H725" i="7"/>
  <c r="H726" i="7"/>
  <c r="H727" i="7"/>
  <c r="H728" i="7"/>
  <c r="H729" i="7"/>
  <c r="H730" i="7"/>
  <c r="H731" i="7"/>
  <c r="H732" i="7"/>
  <c r="D728" i="8" s="1"/>
  <c r="H733" i="7"/>
  <c r="D729" i="8" s="1"/>
  <c r="H734" i="7"/>
  <c r="H735" i="7"/>
  <c r="H736" i="7"/>
  <c r="H737" i="7"/>
  <c r="H738" i="7"/>
  <c r="D734" i="8" s="1"/>
  <c r="H739" i="7"/>
  <c r="H740" i="7"/>
  <c r="H741" i="7"/>
  <c r="H742" i="7"/>
  <c r="H743" i="7"/>
  <c r="H744" i="7"/>
  <c r="H745" i="7"/>
  <c r="H746" i="7"/>
  <c r="H747" i="7"/>
  <c r="H748" i="7"/>
  <c r="H749" i="7"/>
  <c r="D745" i="8" s="1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D760" i="8" s="1"/>
  <c r="H765" i="7"/>
  <c r="H766" i="7"/>
  <c r="H767" i="7"/>
  <c r="H768" i="7"/>
  <c r="H769" i="7"/>
  <c r="H770" i="7"/>
  <c r="D766" i="8" s="1"/>
  <c r="H771" i="7"/>
  <c r="H772" i="7"/>
  <c r="H773" i="7"/>
  <c r="H774" i="7"/>
  <c r="H775" i="7"/>
  <c r="H776" i="7"/>
  <c r="D772" i="8" s="1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D786" i="8" s="1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D815" i="8" s="1"/>
  <c r="H820" i="7"/>
  <c r="H821" i="7"/>
  <c r="H822" i="7"/>
  <c r="H823" i="7"/>
  <c r="H824" i="7"/>
  <c r="H825" i="7"/>
  <c r="H826" i="7"/>
  <c r="D822" i="8" s="1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D836" i="8" s="1"/>
  <c r="H841" i="7"/>
  <c r="D837" i="8" s="1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D850" i="8" s="1"/>
  <c r="H855" i="7"/>
  <c r="H856" i="7"/>
  <c r="H857" i="7"/>
  <c r="H858" i="7"/>
  <c r="H859" i="7"/>
  <c r="D855" i="8" s="1"/>
  <c r="H860" i="7"/>
  <c r="D856" i="8" s="1"/>
  <c r="H861" i="7"/>
  <c r="D857" i="8" s="1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D871" i="8" s="1"/>
  <c r="H876" i="7"/>
  <c r="D872" i="8" s="1"/>
  <c r="H877" i="7"/>
  <c r="H878" i="7"/>
  <c r="H879" i="7"/>
  <c r="H880" i="7"/>
  <c r="H881" i="7"/>
  <c r="H882" i="7"/>
  <c r="D878" i="8" s="1"/>
  <c r="H883" i="7"/>
  <c r="H884" i="7"/>
  <c r="H885" i="7"/>
  <c r="H886" i="7"/>
  <c r="H887" i="7"/>
  <c r="H888" i="7"/>
  <c r="H889" i="7"/>
  <c r="H890" i="7"/>
  <c r="H891" i="7"/>
  <c r="H892" i="7"/>
  <c r="D888" i="8" s="1"/>
  <c r="H893" i="7"/>
  <c r="H894" i="7"/>
  <c r="D890" i="8" s="1"/>
  <c r="H895" i="7"/>
  <c r="H896" i="7"/>
  <c r="H897" i="7"/>
  <c r="H898" i="7"/>
  <c r="H899" i="7"/>
  <c r="H900" i="7"/>
  <c r="H901" i="7"/>
  <c r="H902" i="7"/>
  <c r="H903" i="7"/>
  <c r="D899" i="8" s="1"/>
  <c r="H904" i="7"/>
  <c r="H905" i="7"/>
  <c r="H906" i="7"/>
  <c r="H907" i="7"/>
  <c r="H908" i="7"/>
  <c r="D904" i="8" s="1"/>
  <c r="H909" i="7"/>
  <c r="H910" i="7"/>
  <c r="D906" i="8" s="1"/>
  <c r="H911" i="7"/>
  <c r="H912" i="7"/>
  <c r="H913" i="7"/>
  <c r="H914" i="7"/>
  <c r="H915" i="7"/>
  <c r="D911" i="8" s="1"/>
  <c r="H916" i="7"/>
  <c r="D912" i="8" s="1"/>
  <c r="H917" i="7"/>
  <c r="D913" i="8" s="1"/>
  <c r="H918" i="7"/>
  <c r="H919" i="7"/>
  <c r="H920" i="7"/>
  <c r="H921" i="7"/>
  <c r="H922" i="7"/>
  <c r="H923" i="7"/>
  <c r="H924" i="7"/>
  <c r="D920" i="8" s="1"/>
  <c r="H925" i="7"/>
  <c r="H926" i="7"/>
  <c r="H927" i="7"/>
  <c r="H928" i="7"/>
  <c r="H929" i="7"/>
  <c r="H930" i="7"/>
  <c r="H931" i="7"/>
  <c r="D927" i="8" s="1"/>
  <c r="H932" i="7"/>
  <c r="D928" i="8" s="1"/>
  <c r="H933" i="7"/>
  <c r="H934" i="7"/>
  <c r="H935" i="7"/>
  <c r="H936" i="7"/>
  <c r="H937" i="7"/>
  <c r="H938" i="7"/>
  <c r="D934" i="8" s="1"/>
  <c r="H939" i="7"/>
  <c r="H940" i="7"/>
  <c r="H941" i="7"/>
  <c r="H942" i="7"/>
  <c r="H943" i="7"/>
  <c r="H944" i="7"/>
  <c r="H945" i="7"/>
  <c r="H946" i="7"/>
  <c r="D942" i="8" s="1"/>
  <c r="H947" i="7"/>
  <c r="H948" i="7"/>
  <c r="D944" i="8" s="1"/>
  <c r="H949" i="7"/>
  <c r="H950" i="7"/>
  <c r="H951" i="7"/>
  <c r="H952" i="7"/>
  <c r="D948" i="8" s="1"/>
  <c r="H953" i="7"/>
  <c r="H954" i="7"/>
  <c r="H955" i="7"/>
  <c r="H956" i="7"/>
  <c r="D952" i="8" s="1"/>
  <c r="H957" i="7"/>
  <c r="H958" i="7"/>
  <c r="H959" i="7"/>
  <c r="H960" i="7"/>
  <c r="H961" i="7"/>
  <c r="H962" i="7"/>
  <c r="H963" i="7"/>
  <c r="D959" i="8" s="1"/>
  <c r="H964" i="7"/>
  <c r="D960" i="8" s="1"/>
  <c r="H965" i="7"/>
  <c r="H966" i="7"/>
  <c r="D962" i="8" s="1"/>
  <c r="H967" i="7"/>
  <c r="H968" i="7"/>
  <c r="H969" i="7"/>
  <c r="H970" i="7"/>
  <c r="H971" i="7"/>
  <c r="H972" i="7"/>
  <c r="D968" i="8" s="1"/>
  <c r="H973" i="7"/>
  <c r="D969" i="8" s="1"/>
  <c r="H974" i="7"/>
  <c r="H975" i="7"/>
  <c r="H976" i="7"/>
  <c r="H977" i="7"/>
  <c r="H978" i="7"/>
  <c r="H979" i="7"/>
  <c r="D975" i="8" s="1"/>
  <c r="H980" i="7"/>
  <c r="D976" i="8" s="1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D997" i="8" s="1"/>
  <c r="H1002" i="7"/>
  <c r="H1003" i="7"/>
  <c r="H1004" i="7"/>
  <c r="D1000" i="8" s="1"/>
  <c r="H1005" i="7"/>
  <c r="H1006" i="7"/>
  <c r="H1007" i="7"/>
  <c r="H1008" i="7"/>
  <c r="D1004" i="8" s="1"/>
  <c r="H1009" i="7"/>
  <c r="D2" i="8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6" i="4"/>
  <c r="H7" i="4"/>
  <c r="F3" i="8" s="1"/>
  <c r="H8" i="4"/>
  <c r="F4" i="8" s="1"/>
  <c r="H9" i="4"/>
  <c r="F5" i="8" s="1"/>
  <c r="H10" i="4"/>
  <c r="F6" i="8" s="1"/>
  <c r="H11" i="4"/>
  <c r="F7" i="8" s="1"/>
  <c r="H12" i="4"/>
  <c r="F8" i="8" s="1"/>
  <c r="H13" i="4"/>
  <c r="F9" i="8" s="1"/>
  <c r="H14" i="4"/>
  <c r="F10" i="8" s="1"/>
  <c r="H15" i="4"/>
  <c r="F11" i="8" s="1"/>
  <c r="H16" i="4"/>
  <c r="F12" i="8" s="1"/>
  <c r="H17" i="4"/>
  <c r="F13" i="8" s="1"/>
  <c r="H18" i="4"/>
  <c r="F14" i="8" s="1"/>
  <c r="H19" i="4"/>
  <c r="F15" i="8" s="1"/>
  <c r="H20" i="4"/>
  <c r="F16" i="8" s="1"/>
  <c r="H21" i="4"/>
  <c r="F17" i="8" s="1"/>
  <c r="H22" i="4"/>
  <c r="F18" i="8" s="1"/>
  <c r="H23" i="4"/>
  <c r="F19" i="8" s="1"/>
  <c r="H24" i="4"/>
  <c r="F20" i="8" s="1"/>
  <c r="H25" i="4"/>
  <c r="F21" i="8" s="1"/>
  <c r="H26" i="4"/>
  <c r="F22" i="8" s="1"/>
  <c r="H27" i="4"/>
  <c r="F23" i="8" s="1"/>
  <c r="H28" i="4"/>
  <c r="F24" i="8" s="1"/>
  <c r="H29" i="4"/>
  <c r="F25" i="8" s="1"/>
  <c r="H30" i="4"/>
  <c r="F26" i="8" s="1"/>
  <c r="H31" i="4"/>
  <c r="F27" i="8" s="1"/>
  <c r="H32" i="4"/>
  <c r="F28" i="8" s="1"/>
  <c r="H33" i="4"/>
  <c r="F29" i="8" s="1"/>
  <c r="H34" i="4"/>
  <c r="F30" i="8" s="1"/>
  <c r="H35" i="4"/>
  <c r="F31" i="8" s="1"/>
  <c r="H36" i="4"/>
  <c r="F32" i="8" s="1"/>
  <c r="H37" i="4"/>
  <c r="F33" i="8" s="1"/>
  <c r="H38" i="4"/>
  <c r="F34" i="8" s="1"/>
  <c r="H39" i="4"/>
  <c r="F35" i="8" s="1"/>
  <c r="H40" i="4"/>
  <c r="F36" i="8" s="1"/>
  <c r="H41" i="4"/>
  <c r="F37" i="8" s="1"/>
  <c r="H42" i="4"/>
  <c r="F38" i="8" s="1"/>
  <c r="H43" i="4"/>
  <c r="F39" i="8" s="1"/>
  <c r="H44" i="4"/>
  <c r="F40" i="8" s="1"/>
  <c r="H45" i="4"/>
  <c r="F41" i="8" s="1"/>
  <c r="H46" i="4"/>
  <c r="F42" i="8" s="1"/>
  <c r="H47" i="4"/>
  <c r="F43" i="8" s="1"/>
  <c r="H48" i="4"/>
  <c r="F44" i="8" s="1"/>
  <c r="H49" i="4"/>
  <c r="F45" i="8" s="1"/>
  <c r="H50" i="4"/>
  <c r="F46" i="8" s="1"/>
  <c r="H51" i="4"/>
  <c r="F47" i="8" s="1"/>
  <c r="H52" i="4"/>
  <c r="F48" i="8" s="1"/>
  <c r="H53" i="4"/>
  <c r="F49" i="8" s="1"/>
  <c r="H54" i="4"/>
  <c r="F50" i="8" s="1"/>
  <c r="H55" i="4"/>
  <c r="F51" i="8" s="1"/>
  <c r="H56" i="4"/>
  <c r="F52" i="8" s="1"/>
  <c r="H57" i="4"/>
  <c r="F53" i="8" s="1"/>
  <c r="H58" i="4"/>
  <c r="F54" i="8" s="1"/>
  <c r="H59" i="4"/>
  <c r="F55" i="8" s="1"/>
  <c r="H60" i="4"/>
  <c r="F56" i="8" s="1"/>
  <c r="H61" i="4"/>
  <c r="F57" i="8" s="1"/>
  <c r="H62" i="4"/>
  <c r="F58" i="8" s="1"/>
  <c r="H63" i="4"/>
  <c r="F59" i="8" s="1"/>
  <c r="H64" i="4"/>
  <c r="F60" i="8" s="1"/>
  <c r="H65" i="4"/>
  <c r="F61" i="8" s="1"/>
  <c r="H66" i="4"/>
  <c r="F62" i="8" s="1"/>
  <c r="H67" i="4"/>
  <c r="F63" i="8" s="1"/>
  <c r="H68" i="4"/>
  <c r="F64" i="8" s="1"/>
  <c r="H69" i="4"/>
  <c r="F65" i="8" s="1"/>
  <c r="H70" i="4"/>
  <c r="F66" i="8" s="1"/>
  <c r="H71" i="4"/>
  <c r="F67" i="8" s="1"/>
  <c r="H72" i="4"/>
  <c r="F68" i="8" s="1"/>
  <c r="H73" i="4"/>
  <c r="F69" i="8" s="1"/>
  <c r="H74" i="4"/>
  <c r="F70" i="8" s="1"/>
  <c r="H75" i="4"/>
  <c r="F71" i="8" s="1"/>
  <c r="H76" i="4"/>
  <c r="F72" i="8" s="1"/>
  <c r="H77" i="4"/>
  <c r="F73" i="8" s="1"/>
  <c r="H78" i="4"/>
  <c r="F74" i="8" s="1"/>
  <c r="H79" i="4"/>
  <c r="F75" i="8" s="1"/>
  <c r="H80" i="4"/>
  <c r="F76" i="8" s="1"/>
  <c r="H81" i="4"/>
  <c r="F77" i="8" s="1"/>
  <c r="H82" i="4"/>
  <c r="F78" i="8" s="1"/>
  <c r="H83" i="4"/>
  <c r="F79" i="8" s="1"/>
  <c r="H84" i="4"/>
  <c r="F80" i="8" s="1"/>
  <c r="H85" i="4"/>
  <c r="F81" i="8" s="1"/>
  <c r="H86" i="4"/>
  <c r="F82" i="8" s="1"/>
  <c r="H87" i="4"/>
  <c r="F83" i="8" s="1"/>
  <c r="H88" i="4"/>
  <c r="F84" i="8" s="1"/>
  <c r="H89" i="4"/>
  <c r="F85" i="8" s="1"/>
  <c r="H90" i="4"/>
  <c r="F86" i="8" s="1"/>
  <c r="H91" i="4"/>
  <c r="F87" i="8" s="1"/>
  <c r="H92" i="4"/>
  <c r="F88" i="8" s="1"/>
  <c r="H93" i="4"/>
  <c r="F89" i="8" s="1"/>
  <c r="H94" i="4"/>
  <c r="F90" i="8" s="1"/>
  <c r="H95" i="4"/>
  <c r="F91" i="8" s="1"/>
  <c r="H96" i="4"/>
  <c r="F92" i="8" s="1"/>
  <c r="H97" i="4"/>
  <c r="F93" i="8" s="1"/>
  <c r="H98" i="4"/>
  <c r="F94" i="8" s="1"/>
  <c r="H99" i="4"/>
  <c r="F95" i="8" s="1"/>
  <c r="H100" i="4"/>
  <c r="F96" i="8" s="1"/>
  <c r="H101" i="4"/>
  <c r="F97" i="8" s="1"/>
  <c r="H102" i="4"/>
  <c r="F98" i="8" s="1"/>
  <c r="H103" i="4"/>
  <c r="F99" i="8" s="1"/>
  <c r="H104" i="4"/>
  <c r="F100" i="8" s="1"/>
  <c r="H105" i="4"/>
  <c r="F101" i="8" s="1"/>
  <c r="H106" i="4"/>
  <c r="F102" i="8" s="1"/>
  <c r="H107" i="4"/>
  <c r="F103" i="8" s="1"/>
  <c r="H108" i="4"/>
  <c r="F104" i="8" s="1"/>
  <c r="H109" i="4"/>
  <c r="F105" i="8" s="1"/>
  <c r="H110" i="4"/>
  <c r="F106" i="8" s="1"/>
  <c r="H111" i="4"/>
  <c r="F107" i="8" s="1"/>
  <c r="H112" i="4"/>
  <c r="F108" i="8" s="1"/>
  <c r="H113" i="4"/>
  <c r="F109" i="8" s="1"/>
  <c r="H114" i="4"/>
  <c r="F110" i="8" s="1"/>
  <c r="H115" i="4"/>
  <c r="F111" i="8" s="1"/>
  <c r="H116" i="4"/>
  <c r="F112" i="8" s="1"/>
  <c r="H117" i="4"/>
  <c r="F113" i="8" s="1"/>
  <c r="H118" i="4"/>
  <c r="F114" i="8" s="1"/>
  <c r="H119" i="4"/>
  <c r="F115" i="8" s="1"/>
  <c r="H120" i="4"/>
  <c r="F116" i="8" s="1"/>
  <c r="H121" i="4"/>
  <c r="F117" i="8" s="1"/>
  <c r="H122" i="4"/>
  <c r="F118" i="8" s="1"/>
  <c r="H123" i="4"/>
  <c r="F119" i="8" s="1"/>
  <c r="H124" i="4"/>
  <c r="F120" i="8" s="1"/>
  <c r="H125" i="4"/>
  <c r="F121" i="8" s="1"/>
  <c r="H126" i="4"/>
  <c r="F122" i="8" s="1"/>
  <c r="H127" i="4"/>
  <c r="F123" i="8" s="1"/>
  <c r="H128" i="4"/>
  <c r="F124" i="8" s="1"/>
  <c r="H129" i="4"/>
  <c r="F125" i="8" s="1"/>
  <c r="H130" i="4"/>
  <c r="F126" i="8" s="1"/>
  <c r="H131" i="4"/>
  <c r="F127" i="8" s="1"/>
  <c r="H132" i="4"/>
  <c r="F128" i="8" s="1"/>
  <c r="H133" i="4"/>
  <c r="F129" i="8" s="1"/>
  <c r="H134" i="4"/>
  <c r="F130" i="8" s="1"/>
  <c r="H135" i="4"/>
  <c r="F131" i="8" s="1"/>
  <c r="H136" i="4"/>
  <c r="F132" i="8" s="1"/>
  <c r="H137" i="4"/>
  <c r="F133" i="8" s="1"/>
  <c r="H138" i="4"/>
  <c r="F134" i="8" s="1"/>
  <c r="H139" i="4"/>
  <c r="F135" i="8" s="1"/>
  <c r="H140" i="4"/>
  <c r="F136" i="8" s="1"/>
  <c r="H141" i="4"/>
  <c r="F137" i="8" s="1"/>
  <c r="H142" i="4"/>
  <c r="F138" i="8" s="1"/>
  <c r="H143" i="4"/>
  <c r="F139" i="8" s="1"/>
  <c r="H144" i="4"/>
  <c r="F140" i="8" s="1"/>
  <c r="H145" i="4"/>
  <c r="F141" i="8" s="1"/>
  <c r="H146" i="4"/>
  <c r="F142" i="8" s="1"/>
  <c r="H147" i="4"/>
  <c r="F143" i="8" s="1"/>
  <c r="H148" i="4"/>
  <c r="F144" i="8" s="1"/>
  <c r="H149" i="4"/>
  <c r="F145" i="8" s="1"/>
  <c r="H150" i="4"/>
  <c r="F146" i="8" s="1"/>
  <c r="H151" i="4"/>
  <c r="F147" i="8" s="1"/>
  <c r="H152" i="4"/>
  <c r="F148" i="8" s="1"/>
  <c r="H153" i="4"/>
  <c r="F149" i="8" s="1"/>
  <c r="H154" i="4"/>
  <c r="F150" i="8" s="1"/>
  <c r="H155" i="4"/>
  <c r="F151" i="8" s="1"/>
  <c r="H156" i="4"/>
  <c r="F152" i="8" s="1"/>
  <c r="H157" i="4"/>
  <c r="F153" i="8" s="1"/>
  <c r="H158" i="4"/>
  <c r="F154" i="8" s="1"/>
  <c r="H159" i="4"/>
  <c r="F155" i="8" s="1"/>
  <c r="H160" i="4"/>
  <c r="F156" i="8" s="1"/>
  <c r="H161" i="4"/>
  <c r="F157" i="8" s="1"/>
  <c r="H162" i="4"/>
  <c r="F158" i="8" s="1"/>
  <c r="H163" i="4"/>
  <c r="F159" i="8" s="1"/>
  <c r="H164" i="4"/>
  <c r="F160" i="8" s="1"/>
  <c r="H165" i="4"/>
  <c r="F161" i="8" s="1"/>
  <c r="H166" i="4"/>
  <c r="F162" i="8" s="1"/>
  <c r="H167" i="4"/>
  <c r="F163" i="8" s="1"/>
  <c r="H168" i="4"/>
  <c r="F164" i="8" s="1"/>
  <c r="H169" i="4"/>
  <c r="F165" i="8" s="1"/>
  <c r="H170" i="4"/>
  <c r="F166" i="8" s="1"/>
  <c r="H171" i="4"/>
  <c r="F167" i="8" s="1"/>
  <c r="H172" i="4"/>
  <c r="F168" i="8" s="1"/>
  <c r="H173" i="4"/>
  <c r="F169" i="8" s="1"/>
  <c r="H174" i="4"/>
  <c r="F170" i="8" s="1"/>
  <c r="H175" i="4"/>
  <c r="F171" i="8" s="1"/>
  <c r="H176" i="4"/>
  <c r="F172" i="8" s="1"/>
  <c r="H177" i="4"/>
  <c r="F173" i="8" s="1"/>
  <c r="H178" i="4"/>
  <c r="F174" i="8" s="1"/>
  <c r="H179" i="4"/>
  <c r="F175" i="8" s="1"/>
  <c r="H180" i="4"/>
  <c r="F176" i="8" s="1"/>
  <c r="H181" i="4"/>
  <c r="F177" i="8" s="1"/>
  <c r="H182" i="4"/>
  <c r="F178" i="8" s="1"/>
  <c r="H183" i="4"/>
  <c r="F179" i="8" s="1"/>
  <c r="H184" i="4"/>
  <c r="F180" i="8" s="1"/>
  <c r="H185" i="4"/>
  <c r="F181" i="8" s="1"/>
  <c r="H186" i="4"/>
  <c r="F182" i="8" s="1"/>
  <c r="H187" i="4"/>
  <c r="F183" i="8" s="1"/>
  <c r="H188" i="4"/>
  <c r="F184" i="8" s="1"/>
  <c r="H189" i="4"/>
  <c r="F185" i="8" s="1"/>
  <c r="H190" i="4"/>
  <c r="F186" i="8" s="1"/>
  <c r="H191" i="4"/>
  <c r="F187" i="8" s="1"/>
  <c r="H192" i="4"/>
  <c r="F188" i="8" s="1"/>
  <c r="H193" i="4"/>
  <c r="F189" i="8" s="1"/>
  <c r="H194" i="4"/>
  <c r="F190" i="8" s="1"/>
  <c r="H195" i="4"/>
  <c r="F191" i="8" s="1"/>
  <c r="H196" i="4"/>
  <c r="F192" i="8" s="1"/>
  <c r="H197" i="4"/>
  <c r="F193" i="8" s="1"/>
  <c r="H198" i="4"/>
  <c r="F194" i="8" s="1"/>
  <c r="H199" i="4"/>
  <c r="F195" i="8" s="1"/>
  <c r="H200" i="4"/>
  <c r="F196" i="8" s="1"/>
  <c r="H201" i="4"/>
  <c r="F197" i="8" s="1"/>
  <c r="H202" i="4"/>
  <c r="F198" i="8" s="1"/>
  <c r="H203" i="4"/>
  <c r="F199" i="8" s="1"/>
  <c r="H204" i="4"/>
  <c r="F200" i="8" s="1"/>
  <c r="H205" i="4"/>
  <c r="F201" i="8" s="1"/>
  <c r="H206" i="4"/>
  <c r="F202" i="8" s="1"/>
  <c r="H207" i="4"/>
  <c r="F203" i="8" s="1"/>
  <c r="H208" i="4"/>
  <c r="F204" i="8" s="1"/>
  <c r="H209" i="4"/>
  <c r="F205" i="8" s="1"/>
  <c r="H210" i="4"/>
  <c r="F206" i="8" s="1"/>
  <c r="H211" i="4"/>
  <c r="F207" i="8" s="1"/>
  <c r="H212" i="4"/>
  <c r="F208" i="8" s="1"/>
  <c r="H213" i="4"/>
  <c r="F209" i="8" s="1"/>
  <c r="H214" i="4"/>
  <c r="F210" i="8" s="1"/>
  <c r="H215" i="4"/>
  <c r="F211" i="8" s="1"/>
  <c r="H216" i="4"/>
  <c r="F212" i="8" s="1"/>
  <c r="H217" i="4"/>
  <c r="F213" i="8" s="1"/>
  <c r="H218" i="4"/>
  <c r="F214" i="8" s="1"/>
  <c r="H219" i="4"/>
  <c r="F215" i="8" s="1"/>
  <c r="H220" i="4"/>
  <c r="F216" i="8" s="1"/>
  <c r="H221" i="4"/>
  <c r="F217" i="8" s="1"/>
  <c r="H222" i="4"/>
  <c r="F218" i="8" s="1"/>
  <c r="H223" i="4"/>
  <c r="F219" i="8" s="1"/>
  <c r="H224" i="4"/>
  <c r="F220" i="8" s="1"/>
  <c r="H225" i="4"/>
  <c r="F221" i="8" s="1"/>
  <c r="H226" i="4"/>
  <c r="F222" i="8" s="1"/>
  <c r="H227" i="4"/>
  <c r="F223" i="8" s="1"/>
  <c r="H228" i="4"/>
  <c r="F224" i="8" s="1"/>
  <c r="H229" i="4"/>
  <c r="F225" i="8" s="1"/>
  <c r="H230" i="4"/>
  <c r="F226" i="8" s="1"/>
  <c r="H231" i="4"/>
  <c r="F227" i="8" s="1"/>
  <c r="H232" i="4"/>
  <c r="F228" i="8" s="1"/>
  <c r="H233" i="4"/>
  <c r="F229" i="8" s="1"/>
  <c r="H234" i="4"/>
  <c r="F230" i="8" s="1"/>
  <c r="H235" i="4"/>
  <c r="F231" i="8" s="1"/>
  <c r="H236" i="4"/>
  <c r="F232" i="8" s="1"/>
  <c r="H237" i="4"/>
  <c r="F233" i="8" s="1"/>
  <c r="H238" i="4"/>
  <c r="F234" i="8" s="1"/>
  <c r="H239" i="4"/>
  <c r="F235" i="8" s="1"/>
  <c r="H240" i="4"/>
  <c r="F236" i="8" s="1"/>
  <c r="H241" i="4"/>
  <c r="F237" i="8" s="1"/>
  <c r="H242" i="4"/>
  <c r="F238" i="8" s="1"/>
  <c r="H243" i="4"/>
  <c r="F239" i="8" s="1"/>
  <c r="H244" i="4"/>
  <c r="F240" i="8" s="1"/>
  <c r="H245" i="4"/>
  <c r="F241" i="8" s="1"/>
  <c r="H246" i="4"/>
  <c r="F242" i="8" s="1"/>
  <c r="H247" i="4"/>
  <c r="F243" i="8" s="1"/>
  <c r="H248" i="4"/>
  <c r="F244" i="8" s="1"/>
  <c r="H249" i="4"/>
  <c r="F245" i="8" s="1"/>
  <c r="H250" i="4"/>
  <c r="F246" i="8" s="1"/>
  <c r="H251" i="4"/>
  <c r="F247" i="8" s="1"/>
  <c r="H252" i="4"/>
  <c r="F248" i="8" s="1"/>
  <c r="H253" i="4"/>
  <c r="F249" i="8" s="1"/>
  <c r="H254" i="4"/>
  <c r="F250" i="8" s="1"/>
  <c r="H255" i="4"/>
  <c r="F251" i="8" s="1"/>
  <c r="H256" i="4"/>
  <c r="F252" i="8" s="1"/>
  <c r="H257" i="4"/>
  <c r="F253" i="8" s="1"/>
  <c r="H258" i="4"/>
  <c r="F254" i="8" s="1"/>
  <c r="H259" i="4"/>
  <c r="F255" i="8" s="1"/>
  <c r="H260" i="4"/>
  <c r="F256" i="8" s="1"/>
  <c r="H261" i="4"/>
  <c r="F257" i="8" s="1"/>
  <c r="H262" i="4"/>
  <c r="F258" i="8" s="1"/>
  <c r="H263" i="4"/>
  <c r="F259" i="8" s="1"/>
  <c r="H264" i="4"/>
  <c r="F260" i="8" s="1"/>
  <c r="H265" i="4"/>
  <c r="F261" i="8" s="1"/>
  <c r="H266" i="4"/>
  <c r="F262" i="8" s="1"/>
  <c r="H267" i="4"/>
  <c r="F263" i="8" s="1"/>
  <c r="H268" i="4"/>
  <c r="F264" i="8" s="1"/>
  <c r="H269" i="4"/>
  <c r="F265" i="8" s="1"/>
  <c r="H270" i="4"/>
  <c r="F266" i="8" s="1"/>
  <c r="H271" i="4"/>
  <c r="F267" i="8" s="1"/>
  <c r="H272" i="4"/>
  <c r="F268" i="8" s="1"/>
  <c r="H273" i="4"/>
  <c r="F269" i="8" s="1"/>
  <c r="H274" i="4"/>
  <c r="F270" i="8" s="1"/>
  <c r="H275" i="4"/>
  <c r="F271" i="8" s="1"/>
  <c r="H276" i="4"/>
  <c r="F272" i="8" s="1"/>
  <c r="H277" i="4"/>
  <c r="F273" i="8" s="1"/>
  <c r="H278" i="4"/>
  <c r="F274" i="8" s="1"/>
  <c r="H279" i="4"/>
  <c r="F275" i="8" s="1"/>
  <c r="H280" i="4"/>
  <c r="F276" i="8" s="1"/>
  <c r="H281" i="4"/>
  <c r="F277" i="8" s="1"/>
  <c r="H282" i="4"/>
  <c r="F278" i="8" s="1"/>
  <c r="H283" i="4"/>
  <c r="F279" i="8" s="1"/>
  <c r="H284" i="4"/>
  <c r="F280" i="8" s="1"/>
  <c r="H285" i="4"/>
  <c r="F281" i="8" s="1"/>
  <c r="H286" i="4"/>
  <c r="F282" i="8" s="1"/>
  <c r="H287" i="4"/>
  <c r="F283" i="8" s="1"/>
  <c r="H288" i="4"/>
  <c r="F284" i="8" s="1"/>
  <c r="H289" i="4"/>
  <c r="F285" i="8" s="1"/>
  <c r="H290" i="4"/>
  <c r="F286" i="8" s="1"/>
  <c r="H291" i="4"/>
  <c r="F287" i="8" s="1"/>
  <c r="H292" i="4"/>
  <c r="F288" i="8" s="1"/>
  <c r="H293" i="4"/>
  <c r="F289" i="8" s="1"/>
  <c r="H294" i="4"/>
  <c r="F290" i="8" s="1"/>
  <c r="H295" i="4"/>
  <c r="F291" i="8" s="1"/>
  <c r="H296" i="4"/>
  <c r="F292" i="8" s="1"/>
  <c r="H297" i="4"/>
  <c r="F293" i="8" s="1"/>
  <c r="H298" i="4"/>
  <c r="F294" i="8" s="1"/>
  <c r="H299" i="4"/>
  <c r="F295" i="8" s="1"/>
  <c r="H300" i="4"/>
  <c r="F296" i="8" s="1"/>
  <c r="H301" i="4"/>
  <c r="F297" i="8" s="1"/>
  <c r="H302" i="4"/>
  <c r="F298" i="8" s="1"/>
  <c r="H303" i="4"/>
  <c r="F299" i="8" s="1"/>
  <c r="H304" i="4"/>
  <c r="F300" i="8" s="1"/>
  <c r="H305" i="4"/>
  <c r="F301" i="8" s="1"/>
  <c r="H306" i="4"/>
  <c r="F302" i="8" s="1"/>
  <c r="H307" i="4"/>
  <c r="F303" i="8" s="1"/>
  <c r="H308" i="4"/>
  <c r="F304" i="8" s="1"/>
  <c r="H309" i="4"/>
  <c r="F305" i="8" s="1"/>
  <c r="H310" i="4"/>
  <c r="F306" i="8" s="1"/>
  <c r="H311" i="4"/>
  <c r="F307" i="8" s="1"/>
  <c r="H312" i="4"/>
  <c r="F308" i="8" s="1"/>
  <c r="H313" i="4"/>
  <c r="F309" i="8" s="1"/>
  <c r="H314" i="4"/>
  <c r="F310" i="8" s="1"/>
  <c r="H315" i="4"/>
  <c r="F311" i="8" s="1"/>
  <c r="H316" i="4"/>
  <c r="F312" i="8" s="1"/>
  <c r="H317" i="4"/>
  <c r="F313" i="8" s="1"/>
  <c r="H318" i="4"/>
  <c r="F314" i="8" s="1"/>
  <c r="H319" i="4"/>
  <c r="F315" i="8" s="1"/>
  <c r="H320" i="4"/>
  <c r="F316" i="8" s="1"/>
  <c r="H321" i="4"/>
  <c r="F317" i="8" s="1"/>
  <c r="H322" i="4"/>
  <c r="F318" i="8" s="1"/>
  <c r="H323" i="4"/>
  <c r="F319" i="8" s="1"/>
  <c r="H324" i="4"/>
  <c r="F320" i="8" s="1"/>
  <c r="H325" i="4"/>
  <c r="F321" i="8" s="1"/>
  <c r="H326" i="4"/>
  <c r="F322" i="8" s="1"/>
  <c r="H327" i="4"/>
  <c r="F323" i="8" s="1"/>
  <c r="H328" i="4"/>
  <c r="F324" i="8" s="1"/>
  <c r="H329" i="4"/>
  <c r="F325" i="8" s="1"/>
  <c r="H330" i="4"/>
  <c r="F326" i="8" s="1"/>
  <c r="H331" i="4"/>
  <c r="F327" i="8" s="1"/>
  <c r="H332" i="4"/>
  <c r="F328" i="8" s="1"/>
  <c r="H333" i="4"/>
  <c r="F329" i="8" s="1"/>
  <c r="H334" i="4"/>
  <c r="F330" i="8" s="1"/>
  <c r="H335" i="4"/>
  <c r="F331" i="8" s="1"/>
  <c r="H336" i="4"/>
  <c r="F332" i="8" s="1"/>
  <c r="H337" i="4"/>
  <c r="F333" i="8" s="1"/>
  <c r="H338" i="4"/>
  <c r="F334" i="8" s="1"/>
  <c r="H339" i="4"/>
  <c r="F335" i="8" s="1"/>
  <c r="H340" i="4"/>
  <c r="F336" i="8" s="1"/>
  <c r="H341" i="4"/>
  <c r="F337" i="8" s="1"/>
  <c r="H342" i="4"/>
  <c r="F338" i="8" s="1"/>
  <c r="H343" i="4"/>
  <c r="F339" i="8" s="1"/>
  <c r="H344" i="4"/>
  <c r="F340" i="8" s="1"/>
  <c r="H345" i="4"/>
  <c r="F341" i="8" s="1"/>
  <c r="H346" i="4"/>
  <c r="F342" i="8" s="1"/>
  <c r="H347" i="4"/>
  <c r="F343" i="8" s="1"/>
  <c r="H348" i="4"/>
  <c r="F344" i="8" s="1"/>
  <c r="H349" i="4"/>
  <c r="F345" i="8" s="1"/>
  <c r="H350" i="4"/>
  <c r="F346" i="8" s="1"/>
  <c r="H351" i="4"/>
  <c r="F347" i="8" s="1"/>
  <c r="H352" i="4"/>
  <c r="F348" i="8" s="1"/>
  <c r="H353" i="4"/>
  <c r="F349" i="8" s="1"/>
  <c r="H354" i="4"/>
  <c r="F350" i="8" s="1"/>
  <c r="H355" i="4"/>
  <c r="F351" i="8" s="1"/>
  <c r="H356" i="4"/>
  <c r="F352" i="8" s="1"/>
  <c r="H357" i="4"/>
  <c r="F353" i="8" s="1"/>
  <c r="H358" i="4"/>
  <c r="F354" i="8" s="1"/>
  <c r="H359" i="4"/>
  <c r="F355" i="8" s="1"/>
  <c r="H360" i="4"/>
  <c r="F356" i="8" s="1"/>
  <c r="H361" i="4"/>
  <c r="F357" i="8" s="1"/>
  <c r="H362" i="4"/>
  <c r="F358" i="8" s="1"/>
  <c r="H363" i="4"/>
  <c r="F359" i="8" s="1"/>
  <c r="H364" i="4"/>
  <c r="F360" i="8" s="1"/>
  <c r="H365" i="4"/>
  <c r="F361" i="8" s="1"/>
  <c r="H366" i="4"/>
  <c r="F362" i="8" s="1"/>
  <c r="H367" i="4"/>
  <c r="F363" i="8" s="1"/>
  <c r="H368" i="4"/>
  <c r="F364" i="8" s="1"/>
  <c r="H369" i="4"/>
  <c r="F365" i="8" s="1"/>
  <c r="H370" i="4"/>
  <c r="F366" i="8" s="1"/>
  <c r="H371" i="4"/>
  <c r="F367" i="8" s="1"/>
  <c r="H372" i="4"/>
  <c r="F368" i="8" s="1"/>
  <c r="H373" i="4"/>
  <c r="F369" i="8" s="1"/>
  <c r="H374" i="4"/>
  <c r="F370" i="8" s="1"/>
  <c r="H375" i="4"/>
  <c r="F371" i="8" s="1"/>
  <c r="H376" i="4"/>
  <c r="F372" i="8" s="1"/>
  <c r="H377" i="4"/>
  <c r="F373" i="8" s="1"/>
  <c r="H378" i="4"/>
  <c r="F374" i="8" s="1"/>
  <c r="H379" i="4"/>
  <c r="F375" i="8" s="1"/>
  <c r="H380" i="4"/>
  <c r="F376" i="8" s="1"/>
  <c r="H381" i="4"/>
  <c r="F377" i="8" s="1"/>
  <c r="H382" i="4"/>
  <c r="F378" i="8" s="1"/>
  <c r="H383" i="4"/>
  <c r="F379" i="8" s="1"/>
  <c r="H384" i="4"/>
  <c r="F380" i="8" s="1"/>
  <c r="H385" i="4"/>
  <c r="F381" i="8" s="1"/>
  <c r="H386" i="4"/>
  <c r="F382" i="8" s="1"/>
  <c r="H387" i="4"/>
  <c r="F383" i="8" s="1"/>
  <c r="H388" i="4"/>
  <c r="F384" i="8" s="1"/>
  <c r="H389" i="4"/>
  <c r="F385" i="8" s="1"/>
  <c r="H390" i="4"/>
  <c r="F386" i="8" s="1"/>
  <c r="H391" i="4"/>
  <c r="F387" i="8" s="1"/>
  <c r="H392" i="4"/>
  <c r="F388" i="8" s="1"/>
  <c r="H393" i="4"/>
  <c r="F389" i="8" s="1"/>
  <c r="H394" i="4"/>
  <c r="F390" i="8" s="1"/>
  <c r="H395" i="4"/>
  <c r="F391" i="8" s="1"/>
  <c r="H396" i="4"/>
  <c r="F392" i="8" s="1"/>
  <c r="H397" i="4"/>
  <c r="F393" i="8" s="1"/>
  <c r="H398" i="4"/>
  <c r="F394" i="8" s="1"/>
  <c r="H399" i="4"/>
  <c r="F395" i="8" s="1"/>
  <c r="H400" i="4"/>
  <c r="F396" i="8" s="1"/>
  <c r="H401" i="4"/>
  <c r="F397" i="8" s="1"/>
  <c r="H402" i="4"/>
  <c r="F398" i="8" s="1"/>
  <c r="H403" i="4"/>
  <c r="F399" i="8" s="1"/>
  <c r="H404" i="4"/>
  <c r="F400" i="8" s="1"/>
  <c r="H405" i="4"/>
  <c r="F401" i="8" s="1"/>
  <c r="H406" i="4"/>
  <c r="F402" i="8" s="1"/>
  <c r="H407" i="4"/>
  <c r="F403" i="8" s="1"/>
  <c r="H408" i="4"/>
  <c r="F404" i="8" s="1"/>
  <c r="H409" i="4"/>
  <c r="F405" i="8" s="1"/>
  <c r="H410" i="4"/>
  <c r="F406" i="8" s="1"/>
  <c r="H411" i="4"/>
  <c r="F407" i="8" s="1"/>
  <c r="H412" i="4"/>
  <c r="F408" i="8" s="1"/>
  <c r="H413" i="4"/>
  <c r="F409" i="8" s="1"/>
  <c r="H414" i="4"/>
  <c r="F410" i="8" s="1"/>
  <c r="H415" i="4"/>
  <c r="F411" i="8" s="1"/>
  <c r="H416" i="4"/>
  <c r="F412" i="8" s="1"/>
  <c r="H417" i="4"/>
  <c r="F413" i="8" s="1"/>
  <c r="H418" i="4"/>
  <c r="F414" i="8" s="1"/>
  <c r="H419" i="4"/>
  <c r="F415" i="8" s="1"/>
  <c r="H420" i="4"/>
  <c r="F416" i="8" s="1"/>
  <c r="H421" i="4"/>
  <c r="F417" i="8" s="1"/>
  <c r="H422" i="4"/>
  <c r="F418" i="8" s="1"/>
  <c r="H423" i="4"/>
  <c r="F419" i="8" s="1"/>
  <c r="H424" i="4"/>
  <c r="F420" i="8" s="1"/>
  <c r="H425" i="4"/>
  <c r="F421" i="8" s="1"/>
  <c r="H426" i="4"/>
  <c r="F422" i="8" s="1"/>
  <c r="H427" i="4"/>
  <c r="F423" i="8" s="1"/>
  <c r="H428" i="4"/>
  <c r="F424" i="8" s="1"/>
  <c r="H429" i="4"/>
  <c r="F425" i="8" s="1"/>
  <c r="H430" i="4"/>
  <c r="F426" i="8" s="1"/>
  <c r="H431" i="4"/>
  <c r="F427" i="8" s="1"/>
  <c r="H432" i="4"/>
  <c r="F428" i="8" s="1"/>
  <c r="H433" i="4"/>
  <c r="F429" i="8" s="1"/>
  <c r="H434" i="4"/>
  <c r="F430" i="8" s="1"/>
  <c r="H435" i="4"/>
  <c r="F431" i="8" s="1"/>
  <c r="H436" i="4"/>
  <c r="F432" i="8" s="1"/>
  <c r="H437" i="4"/>
  <c r="F433" i="8" s="1"/>
  <c r="H438" i="4"/>
  <c r="F434" i="8" s="1"/>
  <c r="H439" i="4"/>
  <c r="F435" i="8" s="1"/>
  <c r="H440" i="4"/>
  <c r="F436" i="8" s="1"/>
  <c r="H441" i="4"/>
  <c r="F437" i="8" s="1"/>
  <c r="H442" i="4"/>
  <c r="F438" i="8" s="1"/>
  <c r="H443" i="4"/>
  <c r="F439" i="8" s="1"/>
  <c r="H444" i="4"/>
  <c r="F440" i="8" s="1"/>
  <c r="H445" i="4"/>
  <c r="F441" i="8" s="1"/>
  <c r="H446" i="4"/>
  <c r="F442" i="8" s="1"/>
  <c r="H447" i="4"/>
  <c r="F443" i="8" s="1"/>
  <c r="H448" i="4"/>
  <c r="F444" i="8" s="1"/>
  <c r="H449" i="4"/>
  <c r="F445" i="8" s="1"/>
  <c r="H450" i="4"/>
  <c r="F446" i="8" s="1"/>
  <c r="H451" i="4"/>
  <c r="F447" i="8" s="1"/>
  <c r="H452" i="4"/>
  <c r="F448" i="8" s="1"/>
  <c r="H453" i="4"/>
  <c r="F449" i="8" s="1"/>
  <c r="H454" i="4"/>
  <c r="F450" i="8" s="1"/>
  <c r="H455" i="4"/>
  <c r="F451" i="8" s="1"/>
  <c r="H456" i="4"/>
  <c r="F452" i="8" s="1"/>
  <c r="H457" i="4"/>
  <c r="F453" i="8" s="1"/>
  <c r="H458" i="4"/>
  <c r="F454" i="8" s="1"/>
  <c r="H459" i="4"/>
  <c r="F455" i="8" s="1"/>
  <c r="H460" i="4"/>
  <c r="F456" i="8" s="1"/>
  <c r="H461" i="4"/>
  <c r="F457" i="8" s="1"/>
  <c r="H462" i="4"/>
  <c r="F458" i="8" s="1"/>
  <c r="H463" i="4"/>
  <c r="F459" i="8" s="1"/>
  <c r="H464" i="4"/>
  <c r="F460" i="8" s="1"/>
  <c r="H465" i="4"/>
  <c r="F461" i="8" s="1"/>
  <c r="H466" i="4"/>
  <c r="F462" i="8" s="1"/>
  <c r="H467" i="4"/>
  <c r="F463" i="8" s="1"/>
  <c r="H468" i="4"/>
  <c r="F464" i="8" s="1"/>
  <c r="H469" i="4"/>
  <c r="F465" i="8" s="1"/>
  <c r="H470" i="4"/>
  <c r="F466" i="8" s="1"/>
  <c r="H471" i="4"/>
  <c r="F467" i="8" s="1"/>
  <c r="H472" i="4"/>
  <c r="F468" i="8" s="1"/>
  <c r="H473" i="4"/>
  <c r="F469" i="8" s="1"/>
  <c r="H474" i="4"/>
  <c r="F470" i="8" s="1"/>
  <c r="H475" i="4"/>
  <c r="F471" i="8" s="1"/>
  <c r="H476" i="4"/>
  <c r="F472" i="8" s="1"/>
  <c r="H477" i="4"/>
  <c r="F473" i="8" s="1"/>
  <c r="H478" i="4"/>
  <c r="F474" i="8" s="1"/>
  <c r="H479" i="4"/>
  <c r="F475" i="8" s="1"/>
  <c r="H480" i="4"/>
  <c r="F476" i="8" s="1"/>
  <c r="H481" i="4"/>
  <c r="F477" i="8" s="1"/>
  <c r="H482" i="4"/>
  <c r="F478" i="8" s="1"/>
  <c r="H483" i="4"/>
  <c r="F479" i="8" s="1"/>
  <c r="H484" i="4"/>
  <c r="F480" i="8" s="1"/>
  <c r="H485" i="4"/>
  <c r="F481" i="8" s="1"/>
  <c r="H486" i="4"/>
  <c r="F482" i="8" s="1"/>
  <c r="H487" i="4"/>
  <c r="F483" i="8" s="1"/>
  <c r="H488" i="4"/>
  <c r="F484" i="8" s="1"/>
  <c r="H489" i="4"/>
  <c r="F485" i="8" s="1"/>
  <c r="H490" i="4"/>
  <c r="F486" i="8" s="1"/>
  <c r="H491" i="4"/>
  <c r="F487" i="8" s="1"/>
  <c r="H492" i="4"/>
  <c r="F488" i="8" s="1"/>
  <c r="H493" i="4"/>
  <c r="F489" i="8" s="1"/>
  <c r="H494" i="4"/>
  <c r="F490" i="8" s="1"/>
  <c r="H495" i="4"/>
  <c r="F491" i="8" s="1"/>
  <c r="H496" i="4"/>
  <c r="F492" i="8" s="1"/>
  <c r="H497" i="4"/>
  <c r="F493" i="8" s="1"/>
  <c r="H498" i="4"/>
  <c r="F494" i="8" s="1"/>
  <c r="H499" i="4"/>
  <c r="F495" i="8" s="1"/>
  <c r="H500" i="4"/>
  <c r="F496" i="8" s="1"/>
  <c r="H501" i="4"/>
  <c r="F497" i="8" s="1"/>
  <c r="H502" i="4"/>
  <c r="F498" i="8" s="1"/>
  <c r="H503" i="4"/>
  <c r="F499" i="8" s="1"/>
  <c r="H504" i="4"/>
  <c r="F500" i="8" s="1"/>
  <c r="H505" i="4"/>
  <c r="F501" i="8" s="1"/>
  <c r="H506" i="4"/>
  <c r="F502" i="8" s="1"/>
  <c r="H507" i="4"/>
  <c r="F503" i="8" s="1"/>
  <c r="H508" i="4"/>
  <c r="F504" i="8" s="1"/>
  <c r="H509" i="4"/>
  <c r="F505" i="8" s="1"/>
  <c r="H510" i="4"/>
  <c r="F506" i="8" s="1"/>
  <c r="H511" i="4"/>
  <c r="F507" i="8" s="1"/>
  <c r="H512" i="4"/>
  <c r="F508" i="8" s="1"/>
  <c r="H513" i="4"/>
  <c r="F509" i="8" s="1"/>
  <c r="H514" i="4"/>
  <c r="F510" i="8" s="1"/>
  <c r="H515" i="4"/>
  <c r="F511" i="8" s="1"/>
  <c r="H516" i="4"/>
  <c r="F512" i="8" s="1"/>
  <c r="H517" i="4"/>
  <c r="F513" i="8" s="1"/>
  <c r="H518" i="4"/>
  <c r="F514" i="8" s="1"/>
  <c r="H519" i="4"/>
  <c r="F515" i="8" s="1"/>
  <c r="H520" i="4"/>
  <c r="F516" i="8" s="1"/>
  <c r="H521" i="4"/>
  <c r="F517" i="8" s="1"/>
  <c r="H522" i="4"/>
  <c r="F518" i="8" s="1"/>
  <c r="H523" i="4"/>
  <c r="F519" i="8" s="1"/>
  <c r="H524" i="4"/>
  <c r="F520" i="8" s="1"/>
  <c r="H525" i="4"/>
  <c r="F521" i="8" s="1"/>
  <c r="H526" i="4"/>
  <c r="F522" i="8" s="1"/>
  <c r="H527" i="4"/>
  <c r="F523" i="8" s="1"/>
  <c r="H528" i="4"/>
  <c r="F524" i="8" s="1"/>
  <c r="H529" i="4"/>
  <c r="F525" i="8" s="1"/>
  <c r="H530" i="4"/>
  <c r="F526" i="8" s="1"/>
  <c r="H531" i="4"/>
  <c r="F527" i="8" s="1"/>
  <c r="H532" i="4"/>
  <c r="F528" i="8" s="1"/>
  <c r="H533" i="4"/>
  <c r="F529" i="8" s="1"/>
  <c r="H534" i="4"/>
  <c r="F530" i="8" s="1"/>
  <c r="H535" i="4"/>
  <c r="F531" i="8" s="1"/>
  <c r="H536" i="4"/>
  <c r="F532" i="8" s="1"/>
  <c r="H537" i="4"/>
  <c r="F533" i="8" s="1"/>
  <c r="H538" i="4"/>
  <c r="F534" i="8" s="1"/>
  <c r="H539" i="4"/>
  <c r="F535" i="8" s="1"/>
  <c r="H540" i="4"/>
  <c r="F536" i="8" s="1"/>
  <c r="H541" i="4"/>
  <c r="F537" i="8" s="1"/>
  <c r="H542" i="4"/>
  <c r="F538" i="8" s="1"/>
  <c r="H543" i="4"/>
  <c r="F539" i="8" s="1"/>
  <c r="H544" i="4"/>
  <c r="F540" i="8" s="1"/>
  <c r="H545" i="4"/>
  <c r="F541" i="8" s="1"/>
  <c r="H546" i="4"/>
  <c r="F542" i="8" s="1"/>
  <c r="H547" i="4"/>
  <c r="F543" i="8" s="1"/>
  <c r="H548" i="4"/>
  <c r="F544" i="8" s="1"/>
  <c r="H549" i="4"/>
  <c r="F545" i="8" s="1"/>
  <c r="H550" i="4"/>
  <c r="F546" i="8" s="1"/>
  <c r="H551" i="4"/>
  <c r="F547" i="8" s="1"/>
  <c r="H552" i="4"/>
  <c r="F548" i="8" s="1"/>
  <c r="H553" i="4"/>
  <c r="F549" i="8" s="1"/>
  <c r="H554" i="4"/>
  <c r="F550" i="8" s="1"/>
  <c r="H555" i="4"/>
  <c r="F551" i="8" s="1"/>
  <c r="H556" i="4"/>
  <c r="F552" i="8" s="1"/>
  <c r="H557" i="4"/>
  <c r="F553" i="8" s="1"/>
  <c r="H558" i="4"/>
  <c r="F554" i="8" s="1"/>
  <c r="H559" i="4"/>
  <c r="F555" i="8" s="1"/>
  <c r="H560" i="4"/>
  <c r="F556" i="8" s="1"/>
  <c r="H561" i="4"/>
  <c r="F557" i="8" s="1"/>
  <c r="H562" i="4"/>
  <c r="F558" i="8" s="1"/>
  <c r="H563" i="4"/>
  <c r="F559" i="8" s="1"/>
  <c r="H564" i="4"/>
  <c r="F560" i="8" s="1"/>
  <c r="H565" i="4"/>
  <c r="F561" i="8" s="1"/>
  <c r="H566" i="4"/>
  <c r="F562" i="8" s="1"/>
  <c r="H567" i="4"/>
  <c r="F563" i="8" s="1"/>
  <c r="H568" i="4"/>
  <c r="F564" i="8" s="1"/>
  <c r="H569" i="4"/>
  <c r="F565" i="8" s="1"/>
  <c r="H570" i="4"/>
  <c r="F566" i="8" s="1"/>
  <c r="H571" i="4"/>
  <c r="F567" i="8" s="1"/>
  <c r="H572" i="4"/>
  <c r="F568" i="8" s="1"/>
  <c r="H573" i="4"/>
  <c r="F569" i="8" s="1"/>
  <c r="H574" i="4"/>
  <c r="F570" i="8" s="1"/>
  <c r="H575" i="4"/>
  <c r="F571" i="8" s="1"/>
  <c r="H576" i="4"/>
  <c r="F572" i="8" s="1"/>
  <c r="H577" i="4"/>
  <c r="F573" i="8" s="1"/>
  <c r="H578" i="4"/>
  <c r="F574" i="8" s="1"/>
  <c r="H579" i="4"/>
  <c r="F575" i="8" s="1"/>
  <c r="H580" i="4"/>
  <c r="F576" i="8" s="1"/>
  <c r="H581" i="4"/>
  <c r="F577" i="8" s="1"/>
  <c r="H582" i="4"/>
  <c r="F578" i="8" s="1"/>
  <c r="H583" i="4"/>
  <c r="F579" i="8" s="1"/>
  <c r="H584" i="4"/>
  <c r="F580" i="8" s="1"/>
  <c r="H585" i="4"/>
  <c r="F581" i="8" s="1"/>
  <c r="H586" i="4"/>
  <c r="F582" i="8" s="1"/>
  <c r="H587" i="4"/>
  <c r="F583" i="8" s="1"/>
  <c r="H588" i="4"/>
  <c r="F584" i="8" s="1"/>
  <c r="H589" i="4"/>
  <c r="F585" i="8" s="1"/>
  <c r="H590" i="4"/>
  <c r="F586" i="8" s="1"/>
  <c r="H591" i="4"/>
  <c r="F587" i="8" s="1"/>
  <c r="H592" i="4"/>
  <c r="F588" i="8" s="1"/>
  <c r="H593" i="4"/>
  <c r="F589" i="8" s="1"/>
  <c r="H594" i="4"/>
  <c r="F590" i="8" s="1"/>
  <c r="H595" i="4"/>
  <c r="F591" i="8" s="1"/>
  <c r="H596" i="4"/>
  <c r="F592" i="8" s="1"/>
  <c r="H597" i="4"/>
  <c r="F593" i="8" s="1"/>
  <c r="H598" i="4"/>
  <c r="F594" i="8" s="1"/>
  <c r="H599" i="4"/>
  <c r="F595" i="8" s="1"/>
  <c r="H600" i="4"/>
  <c r="F596" i="8" s="1"/>
  <c r="H601" i="4"/>
  <c r="F597" i="8" s="1"/>
  <c r="H602" i="4"/>
  <c r="F598" i="8" s="1"/>
  <c r="H603" i="4"/>
  <c r="F599" i="8" s="1"/>
  <c r="H604" i="4"/>
  <c r="F600" i="8" s="1"/>
  <c r="H605" i="4"/>
  <c r="F601" i="8" s="1"/>
  <c r="H606" i="4"/>
  <c r="F602" i="8" s="1"/>
  <c r="H607" i="4"/>
  <c r="F603" i="8" s="1"/>
  <c r="H608" i="4"/>
  <c r="F604" i="8" s="1"/>
  <c r="H609" i="4"/>
  <c r="F605" i="8" s="1"/>
  <c r="H610" i="4"/>
  <c r="F606" i="8" s="1"/>
  <c r="H611" i="4"/>
  <c r="F607" i="8" s="1"/>
  <c r="H612" i="4"/>
  <c r="F608" i="8" s="1"/>
  <c r="H613" i="4"/>
  <c r="F609" i="8" s="1"/>
  <c r="H614" i="4"/>
  <c r="F610" i="8" s="1"/>
  <c r="H615" i="4"/>
  <c r="F611" i="8" s="1"/>
  <c r="H616" i="4"/>
  <c r="F612" i="8" s="1"/>
  <c r="H617" i="4"/>
  <c r="F613" i="8" s="1"/>
  <c r="H618" i="4"/>
  <c r="F614" i="8" s="1"/>
  <c r="H619" i="4"/>
  <c r="F615" i="8" s="1"/>
  <c r="H620" i="4"/>
  <c r="F616" i="8" s="1"/>
  <c r="H621" i="4"/>
  <c r="F617" i="8" s="1"/>
  <c r="H622" i="4"/>
  <c r="F618" i="8" s="1"/>
  <c r="H623" i="4"/>
  <c r="F619" i="8" s="1"/>
  <c r="H624" i="4"/>
  <c r="F620" i="8" s="1"/>
  <c r="H625" i="4"/>
  <c r="F621" i="8" s="1"/>
  <c r="H626" i="4"/>
  <c r="F622" i="8" s="1"/>
  <c r="H627" i="4"/>
  <c r="F623" i="8" s="1"/>
  <c r="H628" i="4"/>
  <c r="F624" i="8" s="1"/>
  <c r="H629" i="4"/>
  <c r="F625" i="8" s="1"/>
  <c r="H630" i="4"/>
  <c r="F626" i="8" s="1"/>
  <c r="H631" i="4"/>
  <c r="F627" i="8" s="1"/>
  <c r="H632" i="4"/>
  <c r="F628" i="8" s="1"/>
  <c r="H633" i="4"/>
  <c r="F629" i="8" s="1"/>
  <c r="H634" i="4"/>
  <c r="F630" i="8" s="1"/>
  <c r="H635" i="4"/>
  <c r="F631" i="8" s="1"/>
  <c r="H636" i="4"/>
  <c r="F632" i="8" s="1"/>
  <c r="H637" i="4"/>
  <c r="F633" i="8" s="1"/>
  <c r="H638" i="4"/>
  <c r="F634" i="8" s="1"/>
  <c r="H639" i="4"/>
  <c r="F635" i="8" s="1"/>
  <c r="H640" i="4"/>
  <c r="F636" i="8" s="1"/>
  <c r="H641" i="4"/>
  <c r="F637" i="8" s="1"/>
  <c r="H642" i="4"/>
  <c r="F638" i="8" s="1"/>
  <c r="H643" i="4"/>
  <c r="F639" i="8" s="1"/>
  <c r="H644" i="4"/>
  <c r="F640" i="8" s="1"/>
  <c r="H645" i="4"/>
  <c r="F641" i="8" s="1"/>
  <c r="H646" i="4"/>
  <c r="F642" i="8" s="1"/>
  <c r="H647" i="4"/>
  <c r="F643" i="8" s="1"/>
  <c r="H648" i="4"/>
  <c r="F644" i="8" s="1"/>
  <c r="H649" i="4"/>
  <c r="F645" i="8" s="1"/>
  <c r="H650" i="4"/>
  <c r="F646" i="8" s="1"/>
  <c r="H651" i="4"/>
  <c r="F647" i="8" s="1"/>
  <c r="H652" i="4"/>
  <c r="F648" i="8" s="1"/>
  <c r="H653" i="4"/>
  <c r="F649" i="8" s="1"/>
  <c r="H654" i="4"/>
  <c r="F650" i="8" s="1"/>
  <c r="H655" i="4"/>
  <c r="F651" i="8" s="1"/>
  <c r="H656" i="4"/>
  <c r="F652" i="8" s="1"/>
  <c r="H657" i="4"/>
  <c r="F653" i="8" s="1"/>
  <c r="H658" i="4"/>
  <c r="F654" i="8" s="1"/>
  <c r="H659" i="4"/>
  <c r="F655" i="8" s="1"/>
  <c r="H660" i="4"/>
  <c r="F656" i="8" s="1"/>
  <c r="H661" i="4"/>
  <c r="F657" i="8" s="1"/>
  <c r="H662" i="4"/>
  <c r="F658" i="8" s="1"/>
  <c r="H663" i="4"/>
  <c r="F659" i="8" s="1"/>
  <c r="H664" i="4"/>
  <c r="F660" i="8" s="1"/>
  <c r="H665" i="4"/>
  <c r="F661" i="8" s="1"/>
  <c r="H666" i="4"/>
  <c r="F662" i="8" s="1"/>
  <c r="H667" i="4"/>
  <c r="F663" i="8" s="1"/>
  <c r="H668" i="4"/>
  <c r="F664" i="8" s="1"/>
  <c r="H669" i="4"/>
  <c r="F665" i="8" s="1"/>
  <c r="H670" i="4"/>
  <c r="F666" i="8" s="1"/>
  <c r="H671" i="4"/>
  <c r="F667" i="8" s="1"/>
  <c r="H672" i="4"/>
  <c r="F668" i="8" s="1"/>
  <c r="H673" i="4"/>
  <c r="F669" i="8" s="1"/>
  <c r="H674" i="4"/>
  <c r="F670" i="8" s="1"/>
  <c r="H675" i="4"/>
  <c r="F671" i="8" s="1"/>
  <c r="H676" i="4"/>
  <c r="F672" i="8" s="1"/>
  <c r="H677" i="4"/>
  <c r="F673" i="8" s="1"/>
  <c r="H678" i="4"/>
  <c r="F674" i="8" s="1"/>
  <c r="H679" i="4"/>
  <c r="F675" i="8" s="1"/>
  <c r="H680" i="4"/>
  <c r="F676" i="8" s="1"/>
  <c r="H681" i="4"/>
  <c r="F677" i="8" s="1"/>
  <c r="H682" i="4"/>
  <c r="F678" i="8" s="1"/>
  <c r="H683" i="4"/>
  <c r="F679" i="8" s="1"/>
  <c r="H684" i="4"/>
  <c r="F680" i="8" s="1"/>
  <c r="H685" i="4"/>
  <c r="F681" i="8" s="1"/>
  <c r="H686" i="4"/>
  <c r="F682" i="8" s="1"/>
  <c r="H687" i="4"/>
  <c r="F683" i="8" s="1"/>
  <c r="H688" i="4"/>
  <c r="F684" i="8" s="1"/>
  <c r="H689" i="4"/>
  <c r="F685" i="8" s="1"/>
  <c r="H690" i="4"/>
  <c r="F686" i="8" s="1"/>
  <c r="H691" i="4"/>
  <c r="F687" i="8" s="1"/>
  <c r="H692" i="4"/>
  <c r="F688" i="8" s="1"/>
  <c r="H693" i="4"/>
  <c r="F689" i="8" s="1"/>
  <c r="H694" i="4"/>
  <c r="F690" i="8" s="1"/>
  <c r="H695" i="4"/>
  <c r="F691" i="8" s="1"/>
  <c r="H696" i="4"/>
  <c r="F692" i="8" s="1"/>
  <c r="H697" i="4"/>
  <c r="F693" i="8" s="1"/>
  <c r="H698" i="4"/>
  <c r="F694" i="8" s="1"/>
  <c r="H699" i="4"/>
  <c r="F695" i="8" s="1"/>
  <c r="H700" i="4"/>
  <c r="F696" i="8" s="1"/>
  <c r="H701" i="4"/>
  <c r="F697" i="8" s="1"/>
  <c r="H702" i="4"/>
  <c r="F698" i="8" s="1"/>
  <c r="H703" i="4"/>
  <c r="F699" i="8" s="1"/>
  <c r="H704" i="4"/>
  <c r="F700" i="8" s="1"/>
  <c r="H705" i="4"/>
  <c r="F701" i="8" s="1"/>
  <c r="H706" i="4"/>
  <c r="F702" i="8" s="1"/>
  <c r="H707" i="4"/>
  <c r="F703" i="8" s="1"/>
  <c r="H708" i="4"/>
  <c r="F704" i="8" s="1"/>
  <c r="H709" i="4"/>
  <c r="F705" i="8" s="1"/>
  <c r="H710" i="4"/>
  <c r="F706" i="8" s="1"/>
  <c r="H711" i="4"/>
  <c r="F707" i="8" s="1"/>
  <c r="H712" i="4"/>
  <c r="F708" i="8" s="1"/>
  <c r="H713" i="4"/>
  <c r="F709" i="8" s="1"/>
  <c r="H714" i="4"/>
  <c r="F710" i="8" s="1"/>
  <c r="H715" i="4"/>
  <c r="F711" i="8" s="1"/>
  <c r="H716" i="4"/>
  <c r="F712" i="8" s="1"/>
  <c r="H717" i="4"/>
  <c r="F713" i="8" s="1"/>
  <c r="H718" i="4"/>
  <c r="F714" i="8" s="1"/>
  <c r="H719" i="4"/>
  <c r="F715" i="8" s="1"/>
  <c r="H720" i="4"/>
  <c r="F716" i="8" s="1"/>
  <c r="H721" i="4"/>
  <c r="F717" i="8" s="1"/>
  <c r="H722" i="4"/>
  <c r="F718" i="8" s="1"/>
  <c r="H723" i="4"/>
  <c r="F719" i="8" s="1"/>
  <c r="H724" i="4"/>
  <c r="F720" i="8" s="1"/>
  <c r="H725" i="4"/>
  <c r="F721" i="8" s="1"/>
  <c r="H726" i="4"/>
  <c r="F722" i="8" s="1"/>
  <c r="H727" i="4"/>
  <c r="F723" i="8" s="1"/>
  <c r="H728" i="4"/>
  <c r="F724" i="8" s="1"/>
  <c r="H729" i="4"/>
  <c r="F725" i="8" s="1"/>
  <c r="H730" i="4"/>
  <c r="F726" i="8" s="1"/>
  <c r="H731" i="4"/>
  <c r="F727" i="8" s="1"/>
  <c r="H732" i="4"/>
  <c r="F728" i="8" s="1"/>
  <c r="H733" i="4"/>
  <c r="F729" i="8" s="1"/>
  <c r="H734" i="4"/>
  <c r="F730" i="8" s="1"/>
  <c r="H735" i="4"/>
  <c r="F731" i="8" s="1"/>
  <c r="H736" i="4"/>
  <c r="F732" i="8" s="1"/>
  <c r="H737" i="4"/>
  <c r="F733" i="8" s="1"/>
  <c r="H738" i="4"/>
  <c r="F734" i="8" s="1"/>
  <c r="H739" i="4"/>
  <c r="F735" i="8" s="1"/>
  <c r="H740" i="4"/>
  <c r="F736" i="8" s="1"/>
  <c r="H741" i="4"/>
  <c r="F737" i="8" s="1"/>
  <c r="H742" i="4"/>
  <c r="F738" i="8" s="1"/>
  <c r="H743" i="4"/>
  <c r="F739" i="8" s="1"/>
  <c r="H744" i="4"/>
  <c r="F740" i="8" s="1"/>
  <c r="H745" i="4"/>
  <c r="F741" i="8" s="1"/>
  <c r="H746" i="4"/>
  <c r="F742" i="8" s="1"/>
  <c r="H747" i="4"/>
  <c r="F743" i="8" s="1"/>
  <c r="H748" i="4"/>
  <c r="F744" i="8" s="1"/>
  <c r="H749" i="4"/>
  <c r="F745" i="8" s="1"/>
  <c r="H750" i="4"/>
  <c r="F746" i="8" s="1"/>
  <c r="H751" i="4"/>
  <c r="F747" i="8" s="1"/>
  <c r="H752" i="4"/>
  <c r="F748" i="8" s="1"/>
  <c r="H753" i="4"/>
  <c r="F749" i="8" s="1"/>
  <c r="H754" i="4"/>
  <c r="F750" i="8" s="1"/>
  <c r="H755" i="4"/>
  <c r="F751" i="8" s="1"/>
  <c r="H756" i="4"/>
  <c r="F752" i="8" s="1"/>
  <c r="H757" i="4"/>
  <c r="F753" i="8" s="1"/>
  <c r="H758" i="4"/>
  <c r="F754" i="8" s="1"/>
  <c r="H759" i="4"/>
  <c r="F755" i="8" s="1"/>
  <c r="H760" i="4"/>
  <c r="F756" i="8" s="1"/>
  <c r="H761" i="4"/>
  <c r="F757" i="8" s="1"/>
  <c r="H762" i="4"/>
  <c r="F758" i="8" s="1"/>
  <c r="H763" i="4"/>
  <c r="F759" i="8" s="1"/>
  <c r="H764" i="4"/>
  <c r="F760" i="8" s="1"/>
  <c r="H765" i="4"/>
  <c r="F761" i="8" s="1"/>
  <c r="H766" i="4"/>
  <c r="F762" i="8" s="1"/>
  <c r="H767" i="4"/>
  <c r="F763" i="8" s="1"/>
  <c r="H768" i="4"/>
  <c r="F764" i="8" s="1"/>
  <c r="H769" i="4"/>
  <c r="F765" i="8" s="1"/>
  <c r="H770" i="4"/>
  <c r="F766" i="8" s="1"/>
  <c r="H771" i="4"/>
  <c r="F767" i="8" s="1"/>
  <c r="H772" i="4"/>
  <c r="F768" i="8" s="1"/>
  <c r="H773" i="4"/>
  <c r="F769" i="8" s="1"/>
  <c r="H774" i="4"/>
  <c r="F770" i="8" s="1"/>
  <c r="H775" i="4"/>
  <c r="F771" i="8" s="1"/>
  <c r="H776" i="4"/>
  <c r="F772" i="8" s="1"/>
  <c r="H777" i="4"/>
  <c r="F773" i="8" s="1"/>
  <c r="H778" i="4"/>
  <c r="F774" i="8" s="1"/>
  <c r="H779" i="4"/>
  <c r="F775" i="8" s="1"/>
  <c r="H780" i="4"/>
  <c r="F776" i="8" s="1"/>
  <c r="H781" i="4"/>
  <c r="F777" i="8" s="1"/>
  <c r="H782" i="4"/>
  <c r="F778" i="8" s="1"/>
  <c r="H783" i="4"/>
  <c r="F779" i="8" s="1"/>
  <c r="H784" i="4"/>
  <c r="F780" i="8" s="1"/>
  <c r="H785" i="4"/>
  <c r="F781" i="8" s="1"/>
  <c r="H786" i="4"/>
  <c r="F782" i="8" s="1"/>
  <c r="H787" i="4"/>
  <c r="F783" i="8" s="1"/>
  <c r="H788" i="4"/>
  <c r="F784" i="8" s="1"/>
  <c r="H789" i="4"/>
  <c r="F785" i="8" s="1"/>
  <c r="H790" i="4"/>
  <c r="F786" i="8" s="1"/>
  <c r="H791" i="4"/>
  <c r="F787" i="8" s="1"/>
  <c r="H792" i="4"/>
  <c r="F788" i="8" s="1"/>
  <c r="H793" i="4"/>
  <c r="F789" i="8" s="1"/>
  <c r="H794" i="4"/>
  <c r="F790" i="8" s="1"/>
  <c r="H795" i="4"/>
  <c r="F791" i="8" s="1"/>
  <c r="H796" i="4"/>
  <c r="F792" i="8" s="1"/>
  <c r="H797" i="4"/>
  <c r="F793" i="8" s="1"/>
  <c r="H798" i="4"/>
  <c r="F794" i="8" s="1"/>
  <c r="H799" i="4"/>
  <c r="F795" i="8" s="1"/>
  <c r="H800" i="4"/>
  <c r="F796" i="8" s="1"/>
  <c r="H801" i="4"/>
  <c r="F797" i="8" s="1"/>
  <c r="H802" i="4"/>
  <c r="F798" i="8" s="1"/>
  <c r="H803" i="4"/>
  <c r="F799" i="8" s="1"/>
  <c r="H804" i="4"/>
  <c r="F800" i="8" s="1"/>
  <c r="H805" i="4"/>
  <c r="F801" i="8" s="1"/>
  <c r="H806" i="4"/>
  <c r="F802" i="8" s="1"/>
  <c r="H807" i="4"/>
  <c r="F803" i="8" s="1"/>
  <c r="H808" i="4"/>
  <c r="F804" i="8" s="1"/>
  <c r="H809" i="4"/>
  <c r="F805" i="8" s="1"/>
  <c r="H810" i="4"/>
  <c r="F806" i="8" s="1"/>
  <c r="H811" i="4"/>
  <c r="F807" i="8" s="1"/>
  <c r="H812" i="4"/>
  <c r="F808" i="8" s="1"/>
  <c r="H813" i="4"/>
  <c r="F809" i="8" s="1"/>
  <c r="H814" i="4"/>
  <c r="F810" i="8" s="1"/>
  <c r="H815" i="4"/>
  <c r="F811" i="8" s="1"/>
  <c r="H816" i="4"/>
  <c r="F812" i="8" s="1"/>
  <c r="H817" i="4"/>
  <c r="F813" i="8" s="1"/>
  <c r="H818" i="4"/>
  <c r="F814" i="8" s="1"/>
  <c r="H819" i="4"/>
  <c r="F815" i="8" s="1"/>
  <c r="H820" i="4"/>
  <c r="F816" i="8" s="1"/>
  <c r="H821" i="4"/>
  <c r="F817" i="8" s="1"/>
  <c r="H822" i="4"/>
  <c r="F818" i="8" s="1"/>
  <c r="H823" i="4"/>
  <c r="F819" i="8" s="1"/>
  <c r="H824" i="4"/>
  <c r="F820" i="8" s="1"/>
  <c r="H825" i="4"/>
  <c r="F821" i="8" s="1"/>
  <c r="H826" i="4"/>
  <c r="F822" i="8" s="1"/>
  <c r="H827" i="4"/>
  <c r="F823" i="8" s="1"/>
  <c r="H828" i="4"/>
  <c r="F824" i="8" s="1"/>
  <c r="H829" i="4"/>
  <c r="F825" i="8" s="1"/>
  <c r="H830" i="4"/>
  <c r="F826" i="8" s="1"/>
  <c r="H831" i="4"/>
  <c r="F827" i="8" s="1"/>
  <c r="H832" i="4"/>
  <c r="F828" i="8" s="1"/>
  <c r="H833" i="4"/>
  <c r="F829" i="8" s="1"/>
  <c r="H834" i="4"/>
  <c r="F830" i="8" s="1"/>
  <c r="H835" i="4"/>
  <c r="F831" i="8" s="1"/>
  <c r="H836" i="4"/>
  <c r="F832" i="8" s="1"/>
  <c r="H837" i="4"/>
  <c r="F833" i="8" s="1"/>
  <c r="H838" i="4"/>
  <c r="F834" i="8" s="1"/>
  <c r="H839" i="4"/>
  <c r="F835" i="8" s="1"/>
  <c r="H840" i="4"/>
  <c r="F836" i="8" s="1"/>
  <c r="H841" i="4"/>
  <c r="F837" i="8" s="1"/>
  <c r="H842" i="4"/>
  <c r="F838" i="8" s="1"/>
  <c r="H843" i="4"/>
  <c r="F839" i="8" s="1"/>
  <c r="H844" i="4"/>
  <c r="F840" i="8" s="1"/>
  <c r="H845" i="4"/>
  <c r="F841" i="8" s="1"/>
  <c r="H846" i="4"/>
  <c r="F842" i="8" s="1"/>
  <c r="H847" i="4"/>
  <c r="F843" i="8" s="1"/>
  <c r="H848" i="4"/>
  <c r="F844" i="8" s="1"/>
  <c r="H849" i="4"/>
  <c r="F845" i="8" s="1"/>
  <c r="H850" i="4"/>
  <c r="F846" i="8" s="1"/>
  <c r="H851" i="4"/>
  <c r="F847" i="8" s="1"/>
  <c r="H852" i="4"/>
  <c r="F848" i="8" s="1"/>
  <c r="H853" i="4"/>
  <c r="F849" i="8" s="1"/>
  <c r="H854" i="4"/>
  <c r="F850" i="8" s="1"/>
  <c r="H855" i="4"/>
  <c r="F851" i="8" s="1"/>
  <c r="H856" i="4"/>
  <c r="F852" i="8" s="1"/>
  <c r="H857" i="4"/>
  <c r="F853" i="8" s="1"/>
  <c r="H858" i="4"/>
  <c r="F854" i="8" s="1"/>
  <c r="H859" i="4"/>
  <c r="F855" i="8" s="1"/>
  <c r="H860" i="4"/>
  <c r="F856" i="8" s="1"/>
  <c r="H861" i="4"/>
  <c r="F857" i="8" s="1"/>
  <c r="H862" i="4"/>
  <c r="F858" i="8" s="1"/>
  <c r="H863" i="4"/>
  <c r="F859" i="8" s="1"/>
  <c r="H864" i="4"/>
  <c r="F860" i="8" s="1"/>
  <c r="H865" i="4"/>
  <c r="F861" i="8" s="1"/>
  <c r="H866" i="4"/>
  <c r="F862" i="8" s="1"/>
  <c r="H867" i="4"/>
  <c r="F863" i="8" s="1"/>
  <c r="H868" i="4"/>
  <c r="F864" i="8" s="1"/>
  <c r="H869" i="4"/>
  <c r="F865" i="8" s="1"/>
  <c r="H870" i="4"/>
  <c r="F866" i="8" s="1"/>
  <c r="H871" i="4"/>
  <c r="F867" i="8" s="1"/>
  <c r="H872" i="4"/>
  <c r="F868" i="8" s="1"/>
  <c r="H873" i="4"/>
  <c r="F869" i="8" s="1"/>
  <c r="H874" i="4"/>
  <c r="F870" i="8" s="1"/>
  <c r="H875" i="4"/>
  <c r="F871" i="8" s="1"/>
  <c r="H876" i="4"/>
  <c r="F872" i="8" s="1"/>
  <c r="H877" i="4"/>
  <c r="F873" i="8" s="1"/>
  <c r="H878" i="4"/>
  <c r="F874" i="8" s="1"/>
  <c r="H879" i="4"/>
  <c r="F875" i="8" s="1"/>
  <c r="H880" i="4"/>
  <c r="F876" i="8" s="1"/>
  <c r="H881" i="4"/>
  <c r="F877" i="8" s="1"/>
  <c r="H882" i="4"/>
  <c r="F878" i="8" s="1"/>
  <c r="H883" i="4"/>
  <c r="F879" i="8" s="1"/>
  <c r="H884" i="4"/>
  <c r="F880" i="8" s="1"/>
  <c r="H885" i="4"/>
  <c r="F881" i="8" s="1"/>
  <c r="H886" i="4"/>
  <c r="F882" i="8" s="1"/>
  <c r="H887" i="4"/>
  <c r="F883" i="8" s="1"/>
  <c r="H888" i="4"/>
  <c r="F884" i="8" s="1"/>
  <c r="H889" i="4"/>
  <c r="F885" i="8" s="1"/>
  <c r="H890" i="4"/>
  <c r="F886" i="8" s="1"/>
  <c r="H891" i="4"/>
  <c r="F887" i="8" s="1"/>
  <c r="H892" i="4"/>
  <c r="F888" i="8" s="1"/>
  <c r="H893" i="4"/>
  <c r="F889" i="8" s="1"/>
  <c r="H894" i="4"/>
  <c r="F890" i="8" s="1"/>
  <c r="H895" i="4"/>
  <c r="F891" i="8" s="1"/>
  <c r="H896" i="4"/>
  <c r="F892" i="8" s="1"/>
  <c r="H897" i="4"/>
  <c r="F893" i="8" s="1"/>
  <c r="H898" i="4"/>
  <c r="F894" i="8" s="1"/>
  <c r="H899" i="4"/>
  <c r="F895" i="8" s="1"/>
  <c r="H900" i="4"/>
  <c r="F896" i="8" s="1"/>
  <c r="H901" i="4"/>
  <c r="F897" i="8" s="1"/>
  <c r="H902" i="4"/>
  <c r="F898" i="8" s="1"/>
  <c r="H903" i="4"/>
  <c r="F899" i="8" s="1"/>
  <c r="H904" i="4"/>
  <c r="F900" i="8" s="1"/>
  <c r="H905" i="4"/>
  <c r="F901" i="8" s="1"/>
  <c r="H906" i="4"/>
  <c r="F902" i="8" s="1"/>
  <c r="H907" i="4"/>
  <c r="F903" i="8" s="1"/>
  <c r="H908" i="4"/>
  <c r="F904" i="8" s="1"/>
  <c r="H909" i="4"/>
  <c r="F905" i="8" s="1"/>
  <c r="H910" i="4"/>
  <c r="F906" i="8" s="1"/>
  <c r="H911" i="4"/>
  <c r="F907" i="8" s="1"/>
  <c r="H912" i="4"/>
  <c r="F908" i="8" s="1"/>
  <c r="H913" i="4"/>
  <c r="F909" i="8" s="1"/>
  <c r="H914" i="4"/>
  <c r="F910" i="8" s="1"/>
  <c r="H915" i="4"/>
  <c r="F911" i="8" s="1"/>
  <c r="H916" i="4"/>
  <c r="F912" i="8" s="1"/>
  <c r="H917" i="4"/>
  <c r="F913" i="8" s="1"/>
  <c r="H918" i="4"/>
  <c r="F914" i="8" s="1"/>
  <c r="H919" i="4"/>
  <c r="F915" i="8" s="1"/>
  <c r="H920" i="4"/>
  <c r="F916" i="8" s="1"/>
  <c r="H921" i="4"/>
  <c r="F917" i="8" s="1"/>
  <c r="H922" i="4"/>
  <c r="F918" i="8" s="1"/>
  <c r="H923" i="4"/>
  <c r="F919" i="8" s="1"/>
  <c r="H924" i="4"/>
  <c r="F920" i="8" s="1"/>
  <c r="H925" i="4"/>
  <c r="F921" i="8" s="1"/>
  <c r="H926" i="4"/>
  <c r="F922" i="8" s="1"/>
  <c r="H927" i="4"/>
  <c r="F923" i="8" s="1"/>
  <c r="H928" i="4"/>
  <c r="F924" i="8" s="1"/>
  <c r="H929" i="4"/>
  <c r="F925" i="8" s="1"/>
  <c r="H930" i="4"/>
  <c r="F926" i="8" s="1"/>
  <c r="H931" i="4"/>
  <c r="F927" i="8" s="1"/>
  <c r="H932" i="4"/>
  <c r="F928" i="8" s="1"/>
  <c r="H933" i="4"/>
  <c r="F929" i="8" s="1"/>
  <c r="H934" i="4"/>
  <c r="F930" i="8" s="1"/>
  <c r="H935" i="4"/>
  <c r="F931" i="8" s="1"/>
  <c r="H936" i="4"/>
  <c r="F932" i="8" s="1"/>
  <c r="H937" i="4"/>
  <c r="F933" i="8" s="1"/>
  <c r="H938" i="4"/>
  <c r="F934" i="8" s="1"/>
  <c r="H939" i="4"/>
  <c r="F935" i="8" s="1"/>
  <c r="H940" i="4"/>
  <c r="F936" i="8" s="1"/>
  <c r="H941" i="4"/>
  <c r="F937" i="8" s="1"/>
  <c r="H942" i="4"/>
  <c r="F938" i="8" s="1"/>
  <c r="H943" i="4"/>
  <c r="F939" i="8" s="1"/>
  <c r="H944" i="4"/>
  <c r="F940" i="8" s="1"/>
  <c r="H945" i="4"/>
  <c r="F941" i="8" s="1"/>
  <c r="H946" i="4"/>
  <c r="F942" i="8" s="1"/>
  <c r="H947" i="4"/>
  <c r="F943" i="8" s="1"/>
  <c r="H948" i="4"/>
  <c r="F944" i="8" s="1"/>
  <c r="H949" i="4"/>
  <c r="F945" i="8" s="1"/>
  <c r="H950" i="4"/>
  <c r="F946" i="8" s="1"/>
  <c r="H951" i="4"/>
  <c r="F947" i="8" s="1"/>
  <c r="H952" i="4"/>
  <c r="F948" i="8" s="1"/>
  <c r="H953" i="4"/>
  <c r="F949" i="8" s="1"/>
  <c r="H954" i="4"/>
  <c r="F950" i="8" s="1"/>
  <c r="H955" i="4"/>
  <c r="F951" i="8" s="1"/>
  <c r="H956" i="4"/>
  <c r="F952" i="8" s="1"/>
  <c r="H957" i="4"/>
  <c r="F953" i="8" s="1"/>
  <c r="H958" i="4"/>
  <c r="F954" i="8" s="1"/>
  <c r="H959" i="4"/>
  <c r="F955" i="8" s="1"/>
  <c r="H960" i="4"/>
  <c r="F956" i="8" s="1"/>
  <c r="H961" i="4"/>
  <c r="F957" i="8" s="1"/>
  <c r="H962" i="4"/>
  <c r="F958" i="8" s="1"/>
  <c r="H963" i="4"/>
  <c r="F959" i="8" s="1"/>
  <c r="H964" i="4"/>
  <c r="F960" i="8" s="1"/>
  <c r="H965" i="4"/>
  <c r="F961" i="8" s="1"/>
  <c r="H966" i="4"/>
  <c r="F962" i="8" s="1"/>
  <c r="H967" i="4"/>
  <c r="F963" i="8" s="1"/>
  <c r="H968" i="4"/>
  <c r="F964" i="8" s="1"/>
  <c r="H969" i="4"/>
  <c r="F965" i="8" s="1"/>
  <c r="H970" i="4"/>
  <c r="F966" i="8" s="1"/>
  <c r="H971" i="4"/>
  <c r="F967" i="8" s="1"/>
  <c r="H972" i="4"/>
  <c r="F968" i="8" s="1"/>
  <c r="H973" i="4"/>
  <c r="F969" i="8" s="1"/>
  <c r="H974" i="4"/>
  <c r="F970" i="8" s="1"/>
  <c r="H975" i="4"/>
  <c r="F971" i="8" s="1"/>
  <c r="H976" i="4"/>
  <c r="F972" i="8" s="1"/>
  <c r="H977" i="4"/>
  <c r="F973" i="8" s="1"/>
  <c r="H978" i="4"/>
  <c r="F974" i="8" s="1"/>
  <c r="H979" i="4"/>
  <c r="F975" i="8" s="1"/>
  <c r="H980" i="4"/>
  <c r="F976" i="8" s="1"/>
  <c r="H981" i="4"/>
  <c r="F977" i="8" s="1"/>
  <c r="H982" i="4"/>
  <c r="F978" i="8" s="1"/>
  <c r="H983" i="4"/>
  <c r="F979" i="8" s="1"/>
  <c r="H984" i="4"/>
  <c r="F980" i="8" s="1"/>
  <c r="H985" i="4"/>
  <c r="F981" i="8" s="1"/>
  <c r="H986" i="4"/>
  <c r="F982" i="8" s="1"/>
  <c r="H987" i="4"/>
  <c r="F983" i="8" s="1"/>
  <c r="H988" i="4"/>
  <c r="F984" i="8" s="1"/>
  <c r="H989" i="4"/>
  <c r="F985" i="8" s="1"/>
  <c r="H990" i="4"/>
  <c r="F986" i="8" s="1"/>
  <c r="H991" i="4"/>
  <c r="F987" i="8" s="1"/>
  <c r="H992" i="4"/>
  <c r="F988" i="8" s="1"/>
  <c r="H993" i="4"/>
  <c r="F989" i="8" s="1"/>
  <c r="H994" i="4"/>
  <c r="F990" i="8" s="1"/>
  <c r="H995" i="4"/>
  <c r="F991" i="8" s="1"/>
  <c r="H996" i="4"/>
  <c r="F992" i="8" s="1"/>
  <c r="H997" i="4"/>
  <c r="F993" i="8" s="1"/>
  <c r="H998" i="4"/>
  <c r="F994" i="8" s="1"/>
  <c r="H999" i="4"/>
  <c r="F995" i="8" s="1"/>
  <c r="H1000" i="4"/>
  <c r="F996" i="8" s="1"/>
  <c r="H1001" i="4"/>
  <c r="F997" i="8" s="1"/>
  <c r="H1002" i="4"/>
  <c r="F998" i="8" s="1"/>
  <c r="H1003" i="4"/>
  <c r="F999" i="8" s="1"/>
  <c r="H1004" i="4"/>
  <c r="F1000" i="8" s="1"/>
  <c r="H1005" i="4"/>
  <c r="F1001" i="8" s="1"/>
  <c r="H1006" i="4"/>
  <c r="F1002" i="8" s="1"/>
  <c r="H1007" i="4"/>
  <c r="F1003" i="8" s="1"/>
  <c r="H1008" i="4"/>
  <c r="F1004" i="8" s="1"/>
  <c r="H1009" i="4"/>
  <c r="F1005" i="8" s="1"/>
  <c r="H7" i="5"/>
  <c r="E3" i="8" s="1"/>
  <c r="H8" i="5"/>
  <c r="H9" i="5"/>
  <c r="H10" i="5"/>
  <c r="H11" i="5"/>
  <c r="E7" i="8" s="1"/>
  <c r="H12" i="5"/>
  <c r="H13" i="5"/>
  <c r="H14" i="5"/>
  <c r="E10" i="8" s="1"/>
  <c r="H15" i="5"/>
  <c r="E11" i="8" s="1"/>
  <c r="H16" i="5"/>
  <c r="H17" i="5"/>
  <c r="H18" i="5"/>
  <c r="E14" i="8" s="1"/>
  <c r="H19" i="5"/>
  <c r="E15" i="8" s="1"/>
  <c r="H20" i="5"/>
  <c r="H21" i="5"/>
  <c r="H22" i="5"/>
  <c r="E18" i="8" s="1"/>
  <c r="H23" i="5"/>
  <c r="E19" i="8" s="1"/>
  <c r="H24" i="5"/>
  <c r="H25" i="5"/>
  <c r="H26" i="5"/>
  <c r="E22" i="8" s="1"/>
  <c r="H27" i="5"/>
  <c r="E23" i="8" s="1"/>
  <c r="H28" i="5"/>
  <c r="H29" i="5"/>
  <c r="H30" i="5"/>
  <c r="H31" i="5"/>
  <c r="E27" i="8" s="1"/>
  <c r="H32" i="5"/>
  <c r="H33" i="5"/>
  <c r="H34" i="5"/>
  <c r="E30" i="8" s="1"/>
  <c r="H35" i="5"/>
  <c r="E31" i="8" s="1"/>
  <c r="H36" i="5"/>
  <c r="H37" i="5"/>
  <c r="H38" i="5"/>
  <c r="E34" i="8" s="1"/>
  <c r="H39" i="5"/>
  <c r="E35" i="8" s="1"/>
  <c r="H40" i="5"/>
  <c r="H41" i="5"/>
  <c r="H42" i="5"/>
  <c r="E38" i="8" s="1"/>
  <c r="H43" i="5"/>
  <c r="E39" i="8" s="1"/>
  <c r="H44" i="5"/>
  <c r="H45" i="5"/>
  <c r="H46" i="5"/>
  <c r="E42" i="8" s="1"/>
  <c r="H47" i="5"/>
  <c r="E43" i="8" s="1"/>
  <c r="H48" i="5"/>
  <c r="H49" i="5"/>
  <c r="H50" i="5"/>
  <c r="E46" i="8" s="1"/>
  <c r="H51" i="5"/>
  <c r="E47" i="8" s="1"/>
  <c r="H52" i="5"/>
  <c r="H53" i="5"/>
  <c r="H54" i="5"/>
  <c r="E50" i="8" s="1"/>
  <c r="H55" i="5"/>
  <c r="E51" i="8" s="1"/>
  <c r="H56" i="5"/>
  <c r="H57" i="5"/>
  <c r="H58" i="5"/>
  <c r="E54" i="8" s="1"/>
  <c r="H59" i="5"/>
  <c r="E55" i="8" s="1"/>
  <c r="H60" i="5"/>
  <c r="H61" i="5"/>
  <c r="H62" i="5"/>
  <c r="E58" i="8" s="1"/>
  <c r="H63" i="5"/>
  <c r="E59" i="8" s="1"/>
  <c r="H64" i="5"/>
  <c r="H65" i="5"/>
  <c r="H66" i="5"/>
  <c r="E62" i="8" s="1"/>
  <c r="H67" i="5"/>
  <c r="E63" i="8" s="1"/>
  <c r="H68" i="5"/>
  <c r="H69" i="5"/>
  <c r="H70" i="5"/>
  <c r="E66" i="8" s="1"/>
  <c r="H71" i="5"/>
  <c r="E67" i="8" s="1"/>
  <c r="H72" i="5"/>
  <c r="H73" i="5"/>
  <c r="H74" i="5"/>
  <c r="E70" i="8" s="1"/>
  <c r="H75" i="5"/>
  <c r="E71" i="8" s="1"/>
  <c r="H76" i="5"/>
  <c r="H77" i="5"/>
  <c r="H78" i="5"/>
  <c r="E74" i="8" s="1"/>
  <c r="H79" i="5"/>
  <c r="E75" i="8" s="1"/>
  <c r="H80" i="5"/>
  <c r="H81" i="5"/>
  <c r="H82" i="5"/>
  <c r="E78" i="8" s="1"/>
  <c r="H83" i="5"/>
  <c r="E79" i="8" s="1"/>
  <c r="H84" i="5"/>
  <c r="H85" i="5"/>
  <c r="H86" i="5"/>
  <c r="E82" i="8" s="1"/>
  <c r="H87" i="5"/>
  <c r="E83" i="8" s="1"/>
  <c r="H88" i="5"/>
  <c r="H89" i="5"/>
  <c r="H90" i="5"/>
  <c r="E86" i="8" s="1"/>
  <c r="H91" i="5"/>
  <c r="E87" i="8" s="1"/>
  <c r="H92" i="5"/>
  <c r="H93" i="5"/>
  <c r="H94" i="5"/>
  <c r="E90" i="8" s="1"/>
  <c r="H95" i="5"/>
  <c r="E91" i="8" s="1"/>
  <c r="H96" i="5"/>
  <c r="H97" i="5"/>
  <c r="H98" i="5"/>
  <c r="E94" i="8" s="1"/>
  <c r="H99" i="5"/>
  <c r="E95" i="8" s="1"/>
  <c r="H100" i="5"/>
  <c r="H101" i="5"/>
  <c r="H102" i="5"/>
  <c r="E98" i="8" s="1"/>
  <c r="H103" i="5"/>
  <c r="E99" i="8" s="1"/>
  <c r="H104" i="5"/>
  <c r="H105" i="5"/>
  <c r="H106" i="5"/>
  <c r="E102" i="8" s="1"/>
  <c r="H107" i="5"/>
  <c r="E103" i="8" s="1"/>
  <c r="H108" i="5"/>
  <c r="H109" i="5"/>
  <c r="H110" i="5"/>
  <c r="E106" i="8" s="1"/>
  <c r="H111" i="5"/>
  <c r="E107" i="8" s="1"/>
  <c r="H112" i="5"/>
  <c r="H113" i="5"/>
  <c r="H114" i="5"/>
  <c r="E110" i="8" s="1"/>
  <c r="H115" i="5"/>
  <c r="E111" i="8" s="1"/>
  <c r="H116" i="5"/>
  <c r="H117" i="5"/>
  <c r="H118" i="5"/>
  <c r="E114" i="8" s="1"/>
  <c r="H119" i="5"/>
  <c r="E115" i="8" s="1"/>
  <c r="H120" i="5"/>
  <c r="H121" i="5"/>
  <c r="H122" i="5"/>
  <c r="E118" i="8" s="1"/>
  <c r="H123" i="5"/>
  <c r="E119" i="8" s="1"/>
  <c r="H124" i="5"/>
  <c r="H125" i="5"/>
  <c r="H126" i="5"/>
  <c r="E122" i="8" s="1"/>
  <c r="H127" i="5"/>
  <c r="E123" i="8" s="1"/>
  <c r="H128" i="5"/>
  <c r="H129" i="5"/>
  <c r="H130" i="5"/>
  <c r="E126" i="8" s="1"/>
  <c r="H131" i="5"/>
  <c r="E127" i="8" s="1"/>
  <c r="H132" i="5"/>
  <c r="H133" i="5"/>
  <c r="H134" i="5"/>
  <c r="E130" i="8" s="1"/>
  <c r="H135" i="5"/>
  <c r="E131" i="8" s="1"/>
  <c r="H136" i="5"/>
  <c r="H137" i="5"/>
  <c r="H138" i="5"/>
  <c r="E134" i="8" s="1"/>
  <c r="H139" i="5"/>
  <c r="E135" i="8" s="1"/>
  <c r="H140" i="5"/>
  <c r="H141" i="5"/>
  <c r="H142" i="5"/>
  <c r="E138" i="8" s="1"/>
  <c r="H143" i="5"/>
  <c r="E139" i="8" s="1"/>
  <c r="H144" i="5"/>
  <c r="H145" i="5"/>
  <c r="H146" i="5"/>
  <c r="E142" i="8" s="1"/>
  <c r="H147" i="5"/>
  <c r="E143" i="8" s="1"/>
  <c r="H148" i="5"/>
  <c r="H149" i="5"/>
  <c r="H150" i="5"/>
  <c r="E146" i="8" s="1"/>
  <c r="H151" i="5"/>
  <c r="E147" i="8" s="1"/>
  <c r="H152" i="5"/>
  <c r="H153" i="5"/>
  <c r="H154" i="5"/>
  <c r="E150" i="8" s="1"/>
  <c r="H155" i="5"/>
  <c r="E151" i="8" s="1"/>
  <c r="H156" i="5"/>
  <c r="H157" i="5"/>
  <c r="H158" i="5"/>
  <c r="E154" i="8" s="1"/>
  <c r="H159" i="5"/>
  <c r="E155" i="8" s="1"/>
  <c r="H160" i="5"/>
  <c r="H161" i="5"/>
  <c r="H162" i="5"/>
  <c r="E158" i="8" s="1"/>
  <c r="H163" i="5"/>
  <c r="E159" i="8" s="1"/>
  <c r="H164" i="5"/>
  <c r="H165" i="5"/>
  <c r="H166" i="5"/>
  <c r="E162" i="8" s="1"/>
  <c r="H167" i="5"/>
  <c r="E163" i="8" s="1"/>
  <c r="H168" i="5"/>
  <c r="H169" i="5"/>
  <c r="H170" i="5"/>
  <c r="E166" i="8" s="1"/>
  <c r="H171" i="5"/>
  <c r="E167" i="8" s="1"/>
  <c r="H172" i="5"/>
  <c r="H173" i="5"/>
  <c r="H174" i="5"/>
  <c r="E170" i="8" s="1"/>
  <c r="H175" i="5"/>
  <c r="E171" i="8" s="1"/>
  <c r="H176" i="5"/>
  <c r="H177" i="5"/>
  <c r="H178" i="5"/>
  <c r="H179" i="5"/>
  <c r="E175" i="8" s="1"/>
  <c r="H180" i="5"/>
  <c r="H181" i="5"/>
  <c r="H182" i="5"/>
  <c r="E178" i="8" s="1"/>
  <c r="H183" i="5"/>
  <c r="E179" i="8" s="1"/>
  <c r="H184" i="5"/>
  <c r="H185" i="5"/>
  <c r="H186" i="5"/>
  <c r="E182" i="8" s="1"/>
  <c r="H187" i="5"/>
  <c r="E183" i="8" s="1"/>
  <c r="H188" i="5"/>
  <c r="H189" i="5"/>
  <c r="H190" i="5"/>
  <c r="H191" i="5"/>
  <c r="E187" i="8" s="1"/>
  <c r="H192" i="5"/>
  <c r="H193" i="5"/>
  <c r="H194" i="5"/>
  <c r="H195" i="5"/>
  <c r="E191" i="8" s="1"/>
  <c r="H196" i="5"/>
  <c r="H197" i="5"/>
  <c r="H198" i="5"/>
  <c r="E194" i="8" s="1"/>
  <c r="H199" i="5"/>
  <c r="E195" i="8" s="1"/>
  <c r="H200" i="5"/>
  <c r="H201" i="5"/>
  <c r="H202" i="5"/>
  <c r="H203" i="5"/>
  <c r="E199" i="8" s="1"/>
  <c r="H204" i="5"/>
  <c r="H205" i="5"/>
  <c r="H206" i="5"/>
  <c r="H207" i="5"/>
  <c r="E203" i="8" s="1"/>
  <c r="H208" i="5"/>
  <c r="H209" i="5"/>
  <c r="H210" i="5"/>
  <c r="E206" i="8" s="1"/>
  <c r="H211" i="5"/>
  <c r="E207" i="8" s="1"/>
  <c r="H212" i="5"/>
  <c r="H213" i="5"/>
  <c r="H214" i="5"/>
  <c r="E210" i="8" s="1"/>
  <c r="H215" i="5"/>
  <c r="E211" i="8" s="1"/>
  <c r="H216" i="5"/>
  <c r="H217" i="5"/>
  <c r="H218" i="5"/>
  <c r="H219" i="5"/>
  <c r="E215" i="8" s="1"/>
  <c r="H220" i="5"/>
  <c r="H221" i="5"/>
  <c r="H222" i="5"/>
  <c r="E218" i="8" s="1"/>
  <c r="H223" i="5"/>
  <c r="E219" i="8" s="1"/>
  <c r="H224" i="5"/>
  <c r="H225" i="5"/>
  <c r="H226" i="5"/>
  <c r="E222" i="8" s="1"/>
  <c r="H227" i="5"/>
  <c r="E223" i="8" s="1"/>
  <c r="H228" i="5"/>
  <c r="H229" i="5"/>
  <c r="H230" i="5"/>
  <c r="E226" i="8" s="1"/>
  <c r="H231" i="5"/>
  <c r="E227" i="8" s="1"/>
  <c r="H232" i="5"/>
  <c r="H233" i="5"/>
  <c r="H234" i="5"/>
  <c r="E230" i="8" s="1"/>
  <c r="H235" i="5"/>
  <c r="E231" i="8" s="1"/>
  <c r="H236" i="5"/>
  <c r="H237" i="5"/>
  <c r="H238" i="5"/>
  <c r="E234" i="8" s="1"/>
  <c r="H239" i="5"/>
  <c r="E235" i="8" s="1"/>
  <c r="H240" i="5"/>
  <c r="H241" i="5"/>
  <c r="H242" i="5"/>
  <c r="H243" i="5"/>
  <c r="E239" i="8" s="1"/>
  <c r="H244" i="5"/>
  <c r="H245" i="5"/>
  <c r="H246" i="5"/>
  <c r="E242" i="8" s="1"/>
  <c r="H247" i="5"/>
  <c r="E243" i="8" s="1"/>
  <c r="H248" i="5"/>
  <c r="H249" i="5"/>
  <c r="H250" i="5"/>
  <c r="E246" i="8" s="1"/>
  <c r="H251" i="5"/>
  <c r="E247" i="8" s="1"/>
  <c r="H252" i="5"/>
  <c r="H253" i="5"/>
  <c r="H254" i="5"/>
  <c r="H255" i="5"/>
  <c r="E251" i="8" s="1"/>
  <c r="H256" i="5"/>
  <c r="H257" i="5"/>
  <c r="H258" i="5"/>
  <c r="H259" i="5"/>
  <c r="E255" i="8" s="1"/>
  <c r="H260" i="5"/>
  <c r="H261" i="5"/>
  <c r="H262" i="5"/>
  <c r="E258" i="8" s="1"/>
  <c r="H263" i="5"/>
  <c r="E259" i="8" s="1"/>
  <c r="H264" i="5"/>
  <c r="H265" i="5"/>
  <c r="H266" i="5"/>
  <c r="H267" i="5"/>
  <c r="E263" i="8" s="1"/>
  <c r="H268" i="5"/>
  <c r="H269" i="5"/>
  <c r="H270" i="5"/>
  <c r="H271" i="5"/>
  <c r="E267" i="8" s="1"/>
  <c r="H272" i="5"/>
  <c r="H273" i="5"/>
  <c r="H274" i="5"/>
  <c r="E270" i="8" s="1"/>
  <c r="H275" i="5"/>
  <c r="E271" i="8" s="1"/>
  <c r="H276" i="5"/>
  <c r="H277" i="5"/>
  <c r="H278" i="5"/>
  <c r="E274" i="8" s="1"/>
  <c r="H279" i="5"/>
  <c r="E275" i="8" s="1"/>
  <c r="H280" i="5"/>
  <c r="H281" i="5"/>
  <c r="H282" i="5"/>
  <c r="H283" i="5"/>
  <c r="E279" i="8" s="1"/>
  <c r="H284" i="5"/>
  <c r="H285" i="5"/>
  <c r="H286" i="5"/>
  <c r="E282" i="8" s="1"/>
  <c r="H287" i="5"/>
  <c r="E283" i="8" s="1"/>
  <c r="H288" i="5"/>
  <c r="H289" i="5"/>
  <c r="H290" i="5"/>
  <c r="E286" i="8" s="1"/>
  <c r="H291" i="5"/>
  <c r="E287" i="8" s="1"/>
  <c r="H292" i="5"/>
  <c r="H293" i="5"/>
  <c r="H294" i="5"/>
  <c r="E290" i="8" s="1"/>
  <c r="H295" i="5"/>
  <c r="E291" i="8" s="1"/>
  <c r="H296" i="5"/>
  <c r="H297" i="5"/>
  <c r="H298" i="5"/>
  <c r="E294" i="8" s="1"/>
  <c r="H299" i="5"/>
  <c r="E295" i="8" s="1"/>
  <c r="H300" i="5"/>
  <c r="H301" i="5"/>
  <c r="H302" i="5"/>
  <c r="E298" i="8" s="1"/>
  <c r="H303" i="5"/>
  <c r="E299" i="8" s="1"/>
  <c r="H304" i="5"/>
  <c r="H305" i="5"/>
  <c r="H306" i="5"/>
  <c r="H307" i="5"/>
  <c r="E303" i="8" s="1"/>
  <c r="H308" i="5"/>
  <c r="H309" i="5"/>
  <c r="H310" i="5"/>
  <c r="E306" i="8" s="1"/>
  <c r="H311" i="5"/>
  <c r="E307" i="8" s="1"/>
  <c r="H312" i="5"/>
  <c r="H313" i="5"/>
  <c r="H314" i="5"/>
  <c r="E310" i="8" s="1"/>
  <c r="H315" i="5"/>
  <c r="E311" i="8" s="1"/>
  <c r="H316" i="5"/>
  <c r="H317" i="5"/>
  <c r="H318" i="5"/>
  <c r="H319" i="5"/>
  <c r="E315" i="8" s="1"/>
  <c r="H320" i="5"/>
  <c r="H321" i="5"/>
  <c r="H322" i="5"/>
  <c r="H323" i="5"/>
  <c r="E319" i="8" s="1"/>
  <c r="H324" i="5"/>
  <c r="H325" i="5"/>
  <c r="H326" i="5"/>
  <c r="E322" i="8" s="1"/>
  <c r="H327" i="5"/>
  <c r="E323" i="8" s="1"/>
  <c r="H328" i="5"/>
  <c r="H329" i="5"/>
  <c r="H330" i="5"/>
  <c r="H331" i="5"/>
  <c r="E327" i="8" s="1"/>
  <c r="H332" i="5"/>
  <c r="H333" i="5"/>
  <c r="H334" i="5"/>
  <c r="H335" i="5"/>
  <c r="E331" i="8" s="1"/>
  <c r="H336" i="5"/>
  <c r="H337" i="5"/>
  <c r="H338" i="5"/>
  <c r="E334" i="8" s="1"/>
  <c r="H339" i="5"/>
  <c r="E335" i="8" s="1"/>
  <c r="H340" i="5"/>
  <c r="H341" i="5"/>
  <c r="H342" i="5"/>
  <c r="E338" i="8" s="1"/>
  <c r="H343" i="5"/>
  <c r="E339" i="8" s="1"/>
  <c r="H344" i="5"/>
  <c r="H345" i="5"/>
  <c r="H346" i="5"/>
  <c r="H347" i="5"/>
  <c r="E343" i="8" s="1"/>
  <c r="H348" i="5"/>
  <c r="H349" i="5"/>
  <c r="H350" i="5"/>
  <c r="E346" i="8" s="1"/>
  <c r="H351" i="5"/>
  <c r="E347" i="8" s="1"/>
  <c r="H352" i="5"/>
  <c r="H353" i="5"/>
  <c r="H354" i="5"/>
  <c r="E350" i="8" s="1"/>
  <c r="H355" i="5"/>
  <c r="E351" i="8" s="1"/>
  <c r="H356" i="5"/>
  <c r="H357" i="5"/>
  <c r="H358" i="5"/>
  <c r="E354" i="8" s="1"/>
  <c r="H359" i="5"/>
  <c r="E355" i="8" s="1"/>
  <c r="H360" i="5"/>
  <c r="H361" i="5"/>
  <c r="H362" i="5"/>
  <c r="E358" i="8" s="1"/>
  <c r="H363" i="5"/>
  <c r="E359" i="8" s="1"/>
  <c r="H364" i="5"/>
  <c r="H365" i="5"/>
  <c r="H366" i="5"/>
  <c r="E362" i="8" s="1"/>
  <c r="H367" i="5"/>
  <c r="E363" i="8" s="1"/>
  <c r="H368" i="5"/>
  <c r="H369" i="5"/>
  <c r="H370" i="5"/>
  <c r="H371" i="5"/>
  <c r="E367" i="8" s="1"/>
  <c r="H372" i="5"/>
  <c r="H373" i="5"/>
  <c r="H374" i="5"/>
  <c r="E370" i="8" s="1"/>
  <c r="H375" i="5"/>
  <c r="E371" i="8" s="1"/>
  <c r="H376" i="5"/>
  <c r="H377" i="5"/>
  <c r="H378" i="5"/>
  <c r="E374" i="8" s="1"/>
  <c r="H379" i="5"/>
  <c r="E375" i="8" s="1"/>
  <c r="H380" i="5"/>
  <c r="H381" i="5"/>
  <c r="H382" i="5"/>
  <c r="E378" i="8" s="1"/>
  <c r="H383" i="5"/>
  <c r="E379" i="8" s="1"/>
  <c r="H384" i="5"/>
  <c r="H385" i="5"/>
  <c r="H386" i="5"/>
  <c r="H387" i="5"/>
  <c r="E383" i="8" s="1"/>
  <c r="H388" i="5"/>
  <c r="H389" i="5"/>
  <c r="H390" i="5"/>
  <c r="E386" i="8" s="1"/>
  <c r="H391" i="5"/>
  <c r="E387" i="8" s="1"/>
  <c r="H392" i="5"/>
  <c r="H393" i="5"/>
  <c r="H394" i="5"/>
  <c r="E390" i="8" s="1"/>
  <c r="H395" i="5"/>
  <c r="E391" i="8" s="1"/>
  <c r="H396" i="5"/>
  <c r="H397" i="5"/>
  <c r="H398" i="5"/>
  <c r="H399" i="5"/>
  <c r="E395" i="8" s="1"/>
  <c r="H400" i="5"/>
  <c r="H401" i="5"/>
  <c r="H402" i="5"/>
  <c r="E398" i="8" s="1"/>
  <c r="H403" i="5"/>
  <c r="E399" i="8" s="1"/>
  <c r="H404" i="5"/>
  <c r="H405" i="5"/>
  <c r="H406" i="5"/>
  <c r="E402" i="8" s="1"/>
  <c r="H407" i="5"/>
  <c r="E403" i="8" s="1"/>
  <c r="H408" i="5"/>
  <c r="H409" i="5"/>
  <c r="H410" i="5"/>
  <c r="H411" i="5"/>
  <c r="E407" i="8" s="1"/>
  <c r="H412" i="5"/>
  <c r="H413" i="5"/>
  <c r="H414" i="5"/>
  <c r="E410" i="8" s="1"/>
  <c r="H415" i="5"/>
  <c r="E411" i="8" s="1"/>
  <c r="H416" i="5"/>
  <c r="H417" i="5"/>
  <c r="H418" i="5"/>
  <c r="E414" i="8" s="1"/>
  <c r="H419" i="5"/>
  <c r="E415" i="8" s="1"/>
  <c r="H420" i="5"/>
  <c r="H421" i="5"/>
  <c r="H422" i="5"/>
  <c r="E418" i="8" s="1"/>
  <c r="H423" i="5"/>
  <c r="E419" i="8" s="1"/>
  <c r="H424" i="5"/>
  <c r="H425" i="5"/>
  <c r="H426" i="5"/>
  <c r="E422" i="8" s="1"/>
  <c r="H427" i="5"/>
  <c r="E423" i="8" s="1"/>
  <c r="H428" i="5"/>
  <c r="H429" i="5"/>
  <c r="H430" i="5"/>
  <c r="E426" i="8" s="1"/>
  <c r="H431" i="5"/>
  <c r="E427" i="8" s="1"/>
  <c r="H432" i="5"/>
  <c r="H433" i="5"/>
  <c r="H434" i="5"/>
  <c r="H435" i="5"/>
  <c r="E431" i="8" s="1"/>
  <c r="H436" i="5"/>
  <c r="H437" i="5"/>
  <c r="H438" i="5"/>
  <c r="E434" i="8" s="1"/>
  <c r="H439" i="5"/>
  <c r="E435" i="8" s="1"/>
  <c r="H440" i="5"/>
  <c r="H441" i="5"/>
  <c r="H442" i="5"/>
  <c r="E438" i="8" s="1"/>
  <c r="H443" i="5"/>
  <c r="E439" i="8" s="1"/>
  <c r="H444" i="5"/>
  <c r="H445" i="5"/>
  <c r="H446" i="5"/>
  <c r="H447" i="5"/>
  <c r="E443" i="8" s="1"/>
  <c r="H448" i="5"/>
  <c r="H449" i="5"/>
  <c r="H450" i="5"/>
  <c r="H451" i="5"/>
  <c r="E447" i="8" s="1"/>
  <c r="H452" i="5"/>
  <c r="H453" i="5"/>
  <c r="H454" i="5"/>
  <c r="E450" i="8" s="1"/>
  <c r="H455" i="5"/>
  <c r="E451" i="8" s="1"/>
  <c r="H456" i="5"/>
  <c r="H457" i="5"/>
  <c r="H458" i="5"/>
  <c r="H459" i="5"/>
  <c r="E455" i="8" s="1"/>
  <c r="H460" i="5"/>
  <c r="H461" i="5"/>
  <c r="H462" i="5"/>
  <c r="H463" i="5"/>
  <c r="E459" i="8" s="1"/>
  <c r="H464" i="5"/>
  <c r="H465" i="5"/>
  <c r="H466" i="5"/>
  <c r="E462" i="8" s="1"/>
  <c r="H467" i="5"/>
  <c r="E463" i="8" s="1"/>
  <c r="H468" i="5"/>
  <c r="H469" i="5"/>
  <c r="H470" i="5"/>
  <c r="E466" i="8" s="1"/>
  <c r="H471" i="5"/>
  <c r="E467" i="8" s="1"/>
  <c r="H472" i="5"/>
  <c r="H473" i="5"/>
  <c r="H474" i="5"/>
  <c r="E470" i="8" s="1"/>
  <c r="H475" i="5"/>
  <c r="E471" i="8" s="1"/>
  <c r="H476" i="5"/>
  <c r="H477" i="5"/>
  <c r="H478" i="5"/>
  <c r="E474" i="8" s="1"/>
  <c r="H479" i="5"/>
  <c r="E475" i="8" s="1"/>
  <c r="H480" i="5"/>
  <c r="H481" i="5"/>
  <c r="H482" i="5"/>
  <c r="E478" i="8" s="1"/>
  <c r="H483" i="5"/>
  <c r="E479" i="8" s="1"/>
  <c r="H484" i="5"/>
  <c r="H485" i="5"/>
  <c r="H486" i="5"/>
  <c r="E482" i="8" s="1"/>
  <c r="H487" i="5"/>
  <c r="E483" i="8" s="1"/>
  <c r="H488" i="5"/>
  <c r="H489" i="5"/>
  <c r="H490" i="5"/>
  <c r="E486" i="8" s="1"/>
  <c r="H491" i="5"/>
  <c r="E487" i="8" s="1"/>
  <c r="H492" i="5"/>
  <c r="H493" i="5"/>
  <c r="H494" i="5"/>
  <c r="E490" i="8" s="1"/>
  <c r="H495" i="5"/>
  <c r="E491" i="8" s="1"/>
  <c r="H496" i="5"/>
  <c r="H497" i="5"/>
  <c r="H498" i="5"/>
  <c r="E494" i="8" s="1"/>
  <c r="H499" i="5"/>
  <c r="E495" i="8" s="1"/>
  <c r="H500" i="5"/>
  <c r="H501" i="5"/>
  <c r="H502" i="5"/>
  <c r="E498" i="8" s="1"/>
  <c r="H503" i="5"/>
  <c r="E499" i="8" s="1"/>
  <c r="H504" i="5"/>
  <c r="H505" i="5"/>
  <c r="H506" i="5"/>
  <c r="E502" i="8" s="1"/>
  <c r="H507" i="5"/>
  <c r="E503" i="8" s="1"/>
  <c r="H508" i="5"/>
  <c r="H509" i="5"/>
  <c r="H510" i="5"/>
  <c r="E506" i="8" s="1"/>
  <c r="H511" i="5"/>
  <c r="E507" i="8" s="1"/>
  <c r="H512" i="5"/>
  <c r="H513" i="5"/>
  <c r="H514" i="5"/>
  <c r="E510" i="8" s="1"/>
  <c r="H515" i="5"/>
  <c r="E511" i="8" s="1"/>
  <c r="H516" i="5"/>
  <c r="H517" i="5"/>
  <c r="H518" i="5"/>
  <c r="E514" i="8" s="1"/>
  <c r="H519" i="5"/>
  <c r="E515" i="8" s="1"/>
  <c r="H520" i="5"/>
  <c r="H521" i="5"/>
  <c r="H522" i="5"/>
  <c r="E518" i="8" s="1"/>
  <c r="H523" i="5"/>
  <c r="E519" i="8" s="1"/>
  <c r="H524" i="5"/>
  <c r="H525" i="5"/>
  <c r="H526" i="5"/>
  <c r="E522" i="8" s="1"/>
  <c r="H527" i="5"/>
  <c r="E523" i="8" s="1"/>
  <c r="H528" i="5"/>
  <c r="H529" i="5"/>
  <c r="H530" i="5"/>
  <c r="E526" i="8" s="1"/>
  <c r="H531" i="5"/>
  <c r="H532" i="5"/>
  <c r="H533" i="5"/>
  <c r="H534" i="5"/>
  <c r="E530" i="8" s="1"/>
  <c r="H535" i="5"/>
  <c r="E531" i="8" s="1"/>
  <c r="H536" i="5"/>
  <c r="H537" i="5"/>
  <c r="H538" i="5"/>
  <c r="E534" i="8" s="1"/>
  <c r="H539" i="5"/>
  <c r="E535" i="8" s="1"/>
  <c r="H540" i="5"/>
  <c r="H541" i="5"/>
  <c r="H542" i="5"/>
  <c r="E538" i="8" s="1"/>
  <c r="H543" i="5"/>
  <c r="E539" i="8" s="1"/>
  <c r="H544" i="5"/>
  <c r="H545" i="5"/>
  <c r="H546" i="5"/>
  <c r="E542" i="8" s="1"/>
  <c r="H547" i="5"/>
  <c r="E543" i="8" s="1"/>
  <c r="H548" i="5"/>
  <c r="H549" i="5"/>
  <c r="H550" i="5"/>
  <c r="E546" i="8" s="1"/>
  <c r="H551" i="5"/>
  <c r="E547" i="8" s="1"/>
  <c r="H552" i="5"/>
  <c r="H553" i="5"/>
  <c r="H554" i="5"/>
  <c r="E550" i="8" s="1"/>
  <c r="H555" i="5"/>
  <c r="E551" i="8" s="1"/>
  <c r="H556" i="5"/>
  <c r="H557" i="5"/>
  <c r="H558" i="5"/>
  <c r="E554" i="8" s="1"/>
  <c r="H559" i="5"/>
  <c r="E555" i="8" s="1"/>
  <c r="H560" i="5"/>
  <c r="H561" i="5"/>
  <c r="H562" i="5"/>
  <c r="E558" i="8" s="1"/>
  <c r="H563" i="5"/>
  <c r="E559" i="8" s="1"/>
  <c r="H564" i="5"/>
  <c r="H565" i="5"/>
  <c r="H566" i="5"/>
  <c r="E562" i="8" s="1"/>
  <c r="H567" i="5"/>
  <c r="E563" i="8" s="1"/>
  <c r="H568" i="5"/>
  <c r="H569" i="5"/>
  <c r="H570" i="5"/>
  <c r="E566" i="8" s="1"/>
  <c r="H571" i="5"/>
  <c r="E567" i="8" s="1"/>
  <c r="H572" i="5"/>
  <c r="H573" i="5"/>
  <c r="H574" i="5"/>
  <c r="E570" i="8" s="1"/>
  <c r="H575" i="5"/>
  <c r="E571" i="8" s="1"/>
  <c r="H576" i="5"/>
  <c r="H577" i="5"/>
  <c r="H578" i="5"/>
  <c r="E574" i="8" s="1"/>
  <c r="H579" i="5"/>
  <c r="E575" i="8" s="1"/>
  <c r="H580" i="5"/>
  <c r="H581" i="5"/>
  <c r="H582" i="5"/>
  <c r="E578" i="8" s="1"/>
  <c r="H583" i="5"/>
  <c r="E579" i="8" s="1"/>
  <c r="H584" i="5"/>
  <c r="H585" i="5"/>
  <c r="H586" i="5"/>
  <c r="E582" i="8" s="1"/>
  <c r="H587" i="5"/>
  <c r="E583" i="8" s="1"/>
  <c r="H588" i="5"/>
  <c r="H589" i="5"/>
  <c r="H590" i="5"/>
  <c r="E586" i="8" s="1"/>
  <c r="H591" i="5"/>
  <c r="E587" i="8" s="1"/>
  <c r="H592" i="5"/>
  <c r="H593" i="5"/>
  <c r="H594" i="5"/>
  <c r="E590" i="8" s="1"/>
  <c r="H595" i="5"/>
  <c r="H596" i="5"/>
  <c r="H597" i="5"/>
  <c r="H598" i="5"/>
  <c r="E594" i="8" s="1"/>
  <c r="H599" i="5"/>
  <c r="E595" i="8" s="1"/>
  <c r="H600" i="5"/>
  <c r="H601" i="5"/>
  <c r="H602" i="5"/>
  <c r="E598" i="8" s="1"/>
  <c r="H603" i="5"/>
  <c r="E599" i="8" s="1"/>
  <c r="H604" i="5"/>
  <c r="H605" i="5"/>
  <c r="H606" i="5"/>
  <c r="E602" i="8" s="1"/>
  <c r="H607" i="5"/>
  <c r="E603" i="8" s="1"/>
  <c r="H608" i="5"/>
  <c r="H609" i="5"/>
  <c r="H610" i="5"/>
  <c r="E606" i="8" s="1"/>
  <c r="H611" i="5"/>
  <c r="E607" i="8" s="1"/>
  <c r="H612" i="5"/>
  <c r="H613" i="5"/>
  <c r="H614" i="5"/>
  <c r="E610" i="8" s="1"/>
  <c r="H615" i="5"/>
  <c r="E611" i="8" s="1"/>
  <c r="H616" i="5"/>
  <c r="H617" i="5"/>
  <c r="H618" i="5"/>
  <c r="E614" i="8" s="1"/>
  <c r="H619" i="5"/>
  <c r="E615" i="8" s="1"/>
  <c r="H620" i="5"/>
  <c r="H621" i="5"/>
  <c r="H622" i="5"/>
  <c r="E618" i="8" s="1"/>
  <c r="H623" i="5"/>
  <c r="E619" i="8" s="1"/>
  <c r="H624" i="5"/>
  <c r="H625" i="5"/>
  <c r="H626" i="5"/>
  <c r="E622" i="8" s="1"/>
  <c r="H627" i="5"/>
  <c r="E623" i="8" s="1"/>
  <c r="H628" i="5"/>
  <c r="H629" i="5"/>
  <c r="H630" i="5"/>
  <c r="E626" i="8" s="1"/>
  <c r="H631" i="5"/>
  <c r="E627" i="8" s="1"/>
  <c r="H632" i="5"/>
  <c r="H633" i="5"/>
  <c r="H634" i="5"/>
  <c r="E630" i="8" s="1"/>
  <c r="H635" i="5"/>
  <c r="E631" i="8" s="1"/>
  <c r="H636" i="5"/>
  <c r="H637" i="5"/>
  <c r="H638" i="5"/>
  <c r="E634" i="8" s="1"/>
  <c r="H639" i="5"/>
  <c r="E635" i="8" s="1"/>
  <c r="H640" i="5"/>
  <c r="H641" i="5"/>
  <c r="H642" i="5"/>
  <c r="E638" i="8" s="1"/>
  <c r="H643" i="5"/>
  <c r="E639" i="8" s="1"/>
  <c r="H644" i="5"/>
  <c r="H645" i="5"/>
  <c r="H646" i="5"/>
  <c r="E642" i="8" s="1"/>
  <c r="H647" i="5"/>
  <c r="E643" i="8" s="1"/>
  <c r="H648" i="5"/>
  <c r="H649" i="5"/>
  <c r="H650" i="5"/>
  <c r="E646" i="8" s="1"/>
  <c r="H651" i="5"/>
  <c r="E647" i="8" s="1"/>
  <c r="H652" i="5"/>
  <c r="H653" i="5"/>
  <c r="H654" i="5"/>
  <c r="E650" i="8" s="1"/>
  <c r="H655" i="5"/>
  <c r="E651" i="8" s="1"/>
  <c r="H656" i="5"/>
  <c r="H657" i="5"/>
  <c r="H658" i="5"/>
  <c r="E654" i="8" s="1"/>
  <c r="H659" i="5"/>
  <c r="H660" i="5"/>
  <c r="H661" i="5"/>
  <c r="H662" i="5"/>
  <c r="E658" i="8" s="1"/>
  <c r="H663" i="5"/>
  <c r="E659" i="8" s="1"/>
  <c r="H664" i="5"/>
  <c r="H665" i="5"/>
  <c r="H666" i="5"/>
  <c r="E662" i="8" s="1"/>
  <c r="H667" i="5"/>
  <c r="E663" i="8" s="1"/>
  <c r="H668" i="5"/>
  <c r="H669" i="5"/>
  <c r="H670" i="5"/>
  <c r="E666" i="8" s="1"/>
  <c r="H671" i="5"/>
  <c r="E667" i="8" s="1"/>
  <c r="H672" i="5"/>
  <c r="H673" i="5"/>
  <c r="H674" i="5"/>
  <c r="E670" i="8" s="1"/>
  <c r="H675" i="5"/>
  <c r="E671" i="8" s="1"/>
  <c r="H676" i="5"/>
  <c r="H677" i="5"/>
  <c r="H678" i="5"/>
  <c r="E674" i="8" s="1"/>
  <c r="H679" i="5"/>
  <c r="E675" i="8" s="1"/>
  <c r="H680" i="5"/>
  <c r="H681" i="5"/>
  <c r="H682" i="5"/>
  <c r="E678" i="8" s="1"/>
  <c r="H683" i="5"/>
  <c r="E679" i="8" s="1"/>
  <c r="H684" i="5"/>
  <c r="H685" i="5"/>
  <c r="H686" i="5"/>
  <c r="E682" i="8" s="1"/>
  <c r="H687" i="5"/>
  <c r="E683" i="8" s="1"/>
  <c r="H688" i="5"/>
  <c r="H689" i="5"/>
  <c r="H690" i="5"/>
  <c r="E686" i="8" s="1"/>
  <c r="H691" i="5"/>
  <c r="E687" i="8" s="1"/>
  <c r="H692" i="5"/>
  <c r="H693" i="5"/>
  <c r="H694" i="5"/>
  <c r="E690" i="8" s="1"/>
  <c r="H695" i="5"/>
  <c r="E691" i="8" s="1"/>
  <c r="H696" i="5"/>
  <c r="H697" i="5"/>
  <c r="H698" i="5"/>
  <c r="E694" i="8" s="1"/>
  <c r="H699" i="5"/>
  <c r="E695" i="8" s="1"/>
  <c r="H700" i="5"/>
  <c r="H701" i="5"/>
  <c r="H702" i="5"/>
  <c r="E698" i="8" s="1"/>
  <c r="H703" i="5"/>
  <c r="E699" i="8" s="1"/>
  <c r="H704" i="5"/>
  <c r="H705" i="5"/>
  <c r="H706" i="5"/>
  <c r="E702" i="8" s="1"/>
  <c r="H707" i="5"/>
  <c r="E703" i="8" s="1"/>
  <c r="H708" i="5"/>
  <c r="H709" i="5"/>
  <c r="H710" i="5"/>
  <c r="E706" i="8" s="1"/>
  <c r="H711" i="5"/>
  <c r="E707" i="8" s="1"/>
  <c r="H712" i="5"/>
  <c r="H713" i="5"/>
  <c r="H714" i="5"/>
  <c r="E710" i="8" s="1"/>
  <c r="H715" i="5"/>
  <c r="E711" i="8" s="1"/>
  <c r="H716" i="5"/>
  <c r="H717" i="5"/>
  <c r="H718" i="5"/>
  <c r="E714" i="8" s="1"/>
  <c r="H719" i="5"/>
  <c r="E715" i="8" s="1"/>
  <c r="H720" i="5"/>
  <c r="H721" i="5"/>
  <c r="H722" i="5"/>
  <c r="E718" i="8" s="1"/>
  <c r="H723" i="5"/>
  <c r="H724" i="5"/>
  <c r="H725" i="5"/>
  <c r="H726" i="5"/>
  <c r="E722" i="8" s="1"/>
  <c r="H727" i="5"/>
  <c r="E723" i="8" s="1"/>
  <c r="H728" i="5"/>
  <c r="H729" i="5"/>
  <c r="H730" i="5"/>
  <c r="E726" i="8" s="1"/>
  <c r="H731" i="5"/>
  <c r="E727" i="8" s="1"/>
  <c r="H732" i="5"/>
  <c r="H733" i="5"/>
  <c r="H734" i="5"/>
  <c r="E730" i="8" s="1"/>
  <c r="H735" i="5"/>
  <c r="E731" i="8" s="1"/>
  <c r="H736" i="5"/>
  <c r="H737" i="5"/>
  <c r="H738" i="5"/>
  <c r="E734" i="8" s="1"/>
  <c r="H739" i="5"/>
  <c r="E735" i="8" s="1"/>
  <c r="H740" i="5"/>
  <c r="H741" i="5"/>
  <c r="H742" i="5"/>
  <c r="E738" i="8" s="1"/>
  <c r="H743" i="5"/>
  <c r="E739" i="8" s="1"/>
  <c r="H744" i="5"/>
  <c r="H745" i="5"/>
  <c r="H746" i="5"/>
  <c r="E742" i="8" s="1"/>
  <c r="H747" i="5"/>
  <c r="E743" i="8" s="1"/>
  <c r="H748" i="5"/>
  <c r="H749" i="5"/>
  <c r="H750" i="5"/>
  <c r="E746" i="8" s="1"/>
  <c r="H751" i="5"/>
  <c r="E747" i="8" s="1"/>
  <c r="H752" i="5"/>
  <c r="H753" i="5"/>
  <c r="H754" i="5"/>
  <c r="E750" i="8" s="1"/>
  <c r="H755" i="5"/>
  <c r="E751" i="8" s="1"/>
  <c r="H756" i="5"/>
  <c r="H757" i="5"/>
  <c r="H758" i="5"/>
  <c r="E754" i="8" s="1"/>
  <c r="H759" i="5"/>
  <c r="E755" i="8" s="1"/>
  <c r="H760" i="5"/>
  <c r="H761" i="5"/>
  <c r="H762" i="5"/>
  <c r="H763" i="5"/>
  <c r="E759" i="8" s="1"/>
  <c r="H764" i="5"/>
  <c r="H765" i="5"/>
  <c r="H766" i="5"/>
  <c r="H767" i="5"/>
  <c r="E763" i="8" s="1"/>
  <c r="H768" i="5"/>
  <c r="H769" i="5"/>
  <c r="H770" i="5"/>
  <c r="E766" i="8" s="1"/>
  <c r="H771" i="5"/>
  <c r="E767" i="8" s="1"/>
  <c r="H772" i="5"/>
  <c r="H773" i="5"/>
  <c r="H774" i="5"/>
  <c r="E770" i="8" s="1"/>
  <c r="H775" i="5"/>
  <c r="E771" i="8" s="1"/>
  <c r="H776" i="5"/>
  <c r="H777" i="5"/>
  <c r="H778" i="5"/>
  <c r="H779" i="5"/>
  <c r="E775" i="8" s="1"/>
  <c r="H780" i="5"/>
  <c r="H781" i="5"/>
  <c r="H782" i="5"/>
  <c r="H783" i="5"/>
  <c r="E779" i="8" s="1"/>
  <c r="H784" i="5"/>
  <c r="H785" i="5"/>
  <c r="H786" i="5"/>
  <c r="E782" i="8" s="1"/>
  <c r="H787" i="5"/>
  <c r="E783" i="8" s="1"/>
  <c r="H788" i="5"/>
  <c r="H789" i="5"/>
  <c r="H790" i="5"/>
  <c r="E786" i="8" s="1"/>
  <c r="H791" i="5"/>
  <c r="E787" i="8" s="1"/>
  <c r="H792" i="5"/>
  <c r="H793" i="5"/>
  <c r="H794" i="5"/>
  <c r="H795" i="5"/>
  <c r="E791" i="8" s="1"/>
  <c r="H796" i="5"/>
  <c r="H797" i="5"/>
  <c r="H798" i="5"/>
  <c r="H799" i="5"/>
  <c r="E795" i="8" s="1"/>
  <c r="H800" i="5"/>
  <c r="H801" i="5"/>
  <c r="H802" i="5"/>
  <c r="E798" i="8" s="1"/>
  <c r="H803" i="5"/>
  <c r="E799" i="8" s="1"/>
  <c r="H804" i="5"/>
  <c r="H805" i="5"/>
  <c r="H806" i="5"/>
  <c r="E802" i="8" s="1"/>
  <c r="H807" i="5"/>
  <c r="E803" i="8" s="1"/>
  <c r="H808" i="5"/>
  <c r="H809" i="5"/>
  <c r="H810" i="5"/>
  <c r="H811" i="5"/>
  <c r="E807" i="8" s="1"/>
  <c r="H812" i="5"/>
  <c r="H813" i="5"/>
  <c r="H814" i="5"/>
  <c r="H815" i="5"/>
  <c r="E811" i="8" s="1"/>
  <c r="H816" i="5"/>
  <c r="H817" i="5"/>
  <c r="H818" i="5"/>
  <c r="E814" i="8" s="1"/>
  <c r="H819" i="5"/>
  <c r="E815" i="8" s="1"/>
  <c r="H820" i="5"/>
  <c r="H821" i="5"/>
  <c r="H822" i="5"/>
  <c r="E818" i="8" s="1"/>
  <c r="H823" i="5"/>
  <c r="E819" i="8" s="1"/>
  <c r="H824" i="5"/>
  <c r="H825" i="5"/>
  <c r="H826" i="5"/>
  <c r="H827" i="5"/>
  <c r="E823" i="8" s="1"/>
  <c r="H828" i="5"/>
  <c r="H829" i="5"/>
  <c r="H830" i="5"/>
  <c r="H831" i="5"/>
  <c r="E827" i="8" s="1"/>
  <c r="H832" i="5"/>
  <c r="H833" i="5"/>
  <c r="H834" i="5"/>
  <c r="E830" i="8" s="1"/>
  <c r="H835" i="5"/>
  <c r="E831" i="8" s="1"/>
  <c r="H836" i="5"/>
  <c r="H837" i="5"/>
  <c r="H838" i="5"/>
  <c r="E834" i="8" s="1"/>
  <c r="H839" i="5"/>
  <c r="E835" i="8" s="1"/>
  <c r="H840" i="5"/>
  <c r="H841" i="5"/>
  <c r="H842" i="5"/>
  <c r="H843" i="5"/>
  <c r="E839" i="8" s="1"/>
  <c r="H844" i="5"/>
  <c r="H845" i="5"/>
  <c r="H846" i="5"/>
  <c r="H847" i="5"/>
  <c r="E843" i="8" s="1"/>
  <c r="H848" i="5"/>
  <c r="H849" i="5"/>
  <c r="H850" i="5"/>
  <c r="E846" i="8" s="1"/>
  <c r="H851" i="5"/>
  <c r="E847" i="8" s="1"/>
  <c r="H852" i="5"/>
  <c r="H853" i="5"/>
  <c r="H854" i="5"/>
  <c r="E850" i="8" s="1"/>
  <c r="H855" i="5"/>
  <c r="E851" i="8" s="1"/>
  <c r="H856" i="5"/>
  <c r="H857" i="5"/>
  <c r="H858" i="5"/>
  <c r="H859" i="5"/>
  <c r="E855" i="8" s="1"/>
  <c r="H860" i="5"/>
  <c r="H861" i="5"/>
  <c r="H862" i="5"/>
  <c r="H863" i="5"/>
  <c r="E859" i="8" s="1"/>
  <c r="H864" i="5"/>
  <c r="H865" i="5"/>
  <c r="H866" i="5"/>
  <c r="E862" i="8" s="1"/>
  <c r="H867" i="5"/>
  <c r="E863" i="8" s="1"/>
  <c r="H868" i="5"/>
  <c r="H869" i="5"/>
  <c r="H870" i="5"/>
  <c r="E866" i="8" s="1"/>
  <c r="H871" i="5"/>
  <c r="E867" i="8" s="1"/>
  <c r="H872" i="5"/>
  <c r="H873" i="5"/>
  <c r="H874" i="5"/>
  <c r="H875" i="5"/>
  <c r="E871" i="8" s="1"/>
  <c r="H876" i="5"/>
  <c r="H877" i="5"/>
  <c r="H878" i="5"/>
  <c r="H879" i="5"/>
  <c r="E875" i="8" s="1"/>
  <c r="H880" i="5"/>
  <c r="H881" i="5"/>
  <c r="E877" i="8" s="1"/>
  <c r="H882" i="5"/>
  <c r="E878" i="8" s="1"/>
  <c r="H883" i="5"/>
  <c r="E879" i="8" s="1"/>
  <c r="H884" i="5"/>
  <c r="H885" i="5"/>
  <c r="H886" i="5"/>
  <c r="E882" i="8" s="1"/>
  <c r="H887" i="5"/>
  <c r="E883" i="8" s="1"/>
  <c r="H888" i="5"/>
  <c r="H889" i="5"/>
  <c r="H890" i="5"/>
  <c r="H891" i="5"/>
  <c r="E887" i="8" s="1"/>
  <c r="H892" i="5"/>
  <c r="H893" i="5"/>
  <c r="H894" i="5"/>
  <c r="H895" i="5"/>
  <c r="E891" i="8" s="1"/>
  <c r="H896" i="5"/>
  <c r="H897" i="5"/>
  <c r="E893" i="8" s="1"/>
  <c r="H898" i="5"/>
  <c r="E894" i="8" s="1"/>
  <c r="H899" i="5"/>
  <c r="E895" i="8" s="1"/>
  <c r="H900" i="5"/>
  <c r="H901" i="5"/>
  <c r="H902" i="5"/>
  <c r="E898" i="8" s="1"/>
  <c r="H903" i="5"/>
  <c r="E899" i="8" s="1"/>
  <c r="H904" i="5"/>
  <c r="H905" i="5"/>
  <c r="H906" i="5"/>
  <c r="H907" i="5"/>
  <c r="E903" i="8" s="1"/>
  <c r="H908" i="5"/>
  <c r="H909" i="5"/>
  <c r="H910" i="5"/>
  <c r="H911" i="5"/>
  <c r="E907" i="8" s="1"/>
  <c r="H912" i="5"/>
  <c r="H913" i="5"/>
  <c r="E909" i="8" s="1"/>
  <c r="H914" i="5"/>
  <c r="E910" i="8" s="1"/>
  <c r="H915" i="5"/>
  <c r="E911" i="8" s="1"/>
  <c r="H916" i="5"/>
  <c r="H917" i="5"/>
  <c r="H918" i="5"/>
  <c r="E914" i="8" s="1"/>
  <c r="H919" i="5"/>
  <c r="E915" i="8" s="1"/>
  <c r="H920" i="5"/>
  <c r="H921" i="5"/>
  <c r="H922" i="5"/>
  <c r="H923" i="5"/>
  <c r="E919" i="8" s="1"/>
  <c r="H924" i="5"/>
  <c r="H925" i="5"/>
  <c r="H926" i="5"/>
  <c r="H927" i="5"/>
  <c r="E923" i="8" s="1"/>
  <c r="H928" i="5"/>
  <c r="H929" i="5"/>
  <c r="E925" i="8" s="1"/>
  <c r="H930" i="5"/>
  <c r="E926" i="8" s="1"/>
  <c r="H931" i="5"/>
  <c r="E927" i="8" s="1"/>
  <c r="H932" i="5"/>
  <c r="H933" i="5"/>
  <c r="H934" i="5"/>
  <c r="E930" i="8" s="1"/>
  <c r="H935" i="5"/>
  <c r="E931" i="8" s="1"/>
  <c r="H936" i="5"/>
  <c r="H937" i="5"/>
  <c r="H938" i="5"/>
  <c r="H939" i="5"/>
  <c r="E935" i="8" s="1"/>
  <c r="H940" i="5"/>
  <c r="H941" i="5"/>
  <c r="H942" i="5"/>
  <c r="H943" i="5"/>
  <c r="E939" i="8" s="1"/>
  <c r="H944" i="5"/>
  <c r="H945" i="5"/>
  <c r="E941" i="8" s="1"/>
  <c r="H946" i="5"/>
  <c r="E942" i="8" s="1"/>
  <c r="H947" i="5"/>
  <c r="E943" i="8" s="1"/>
  <c r="H948" i="5"/>
  <c r="H949" i="5"/>
  <c r="H950" i="5"/>
  <c r="E946" i="8" s="1"/>
  <c r="H951" i="5"/>
  <c r="E947" i="8" s="1"/>
  <c r="H952" i="5"/>
  <c r="E948" i="8" s="1"/>
  <c r="H953" i="5"/>
  <c r="H954" i="5"/>
  <c r="H955" i="5"/>
  <c r="E951" i="8" s="1"/>
  <c r="H956" i="5"/>
  <c r="E952" i="8" s="1"/>
  <c r="H957" i="5"/>
  <c r="H958" i="5"/>
  <c r="E954" i="8" s="1"/>
  <c r="H959" i="5"/>
  <c r="E955" i="8" s="1"/>
  <c r="H960" i="5"/>
  <c r="E956" i="8" s="1"/>
  <c r="H961" i="5"/>
  <c r="E957" i="8" s="1"/>
  <c r="H962" i="5"/>
  <c r="E958" i="8" s="1"/>
  <c r="H963" i="5"/>
  <c r="E959" i="8" s="1"/>
  <c r="H964" i="5"/>
  <c r="E960" i="8" s="1"/>
  <c r="H965" i="5"/>
  <c r="H966" i="5"/>
  <c r="E962" i="8" s="1"/>
  <c r="H967" i="5"/>
  <c r="E963" i="8" s="1"/>
  <c r="H968" i="5"/>
  <c r="E964" i="8" s="1"/>
  <c r="H969" i="5"/>
  <c r="H970" i="5"/>
  <c r="E966" i="8" s="1"/>
  <c r="H971" i="5"/>
  <c r="E967" i="8" s="1"/>
  <c r="H972" i="5"/>
  <c r="E968" i="8" s="1"/>
  <c r="H973" i="5"/>
  <c r="H974" i="5"/>
  <c r="E970" i="8" s="1"/>
  <c r="H975" i="5"/>
  <c r="E971" i="8" s="1"/>
  <c r="H976" i="5"/>
  <c r="E972" i="8" s="1"/>
  <c r="H977" i="5"/>
  <c r="H978" i="5"/>
  <c r="H979" i="5"/>
  <c r="E975" i="8" s="1"/>
  <c r="H980" i="5"/>
  <c r="E976" i="8" s="1"/>
  <c r="H981" i="5"/>
  <c r="E977" i="8" s="1"/>
  <c r="H982" i="5"/>
  <c r="E978" i="8" s="1"/>
  <c r="H983" i="5"/>
  <c r="E979" i="8" s="1"/>
  <c r="H984" i="5"/>
  <c r="E980" i="8" s="1"/>
  <c r="H985" i="5"/>
  <c r="H986" i="5"/>
  <c r="E982" i="8" s="1"/>
  <c r="H987" i="5"/>
  <c r="E983" i="8" s="1"/>
  <c r="H988" i="5"/>
  <c r="E984" i="8" s="1"/>
  <c r="H989" i="5"/>
  <c r="H990" i="5"/>
  <c r="H991" i="5"/>
  <c r="E987" i="8" s="1"/>
  <c r="H992" i="5"/>
  <c r="E988" i="8" s="1"/>
  <c r="H993" i="5"/>
  <c r="E989" i="8" s="1"/>
  <c r="H994" i="5"/>
  <c r="E990" i="8" s="1"/>
  <c r="H995" i="5"/>
  <c r="E991" i="8" s="1"/>
  <c r="H996" i="5"/>
  <c r="E992" i="8" s="1"/>
  <c r="H997" i="5"/>
  <c r="H998" i="5"/>
  <c r="H999" i="5"/>
  <c r="H1000" i="5"/>
  <c r="E996" i="8" s="1"/>
  <c r="H1001" i="5"/>
  <c r="E997" i="8" s="1"/>
  <c r="H1002" i="5"/>
  <c r="E998" i="8" s="1"/>
  <c r="H1003" i="5"/>
  <c r="E999" i="8" s="1"/>
  <c r="H1004" i="5"/>
  <c r="E1000" i="8" s="1"/>
  <c r="H1005" i="5"/>
  <c r="H1006" i="5"/>
  <c r="H1007" i="5"/>
  <c r="E1003" i="8" s="1"/>
  <c r="H1008" i="5"/>
  <c r="E1004" i="8" s="1"/>
  <c r="H1009" i="5"/>
  <c r="H6" i="5"/>
  <c r="E2" i="8" s="1"/>
  <c r="D6" i="8"/>
  <c r="H7" i="2"/>
  <c r="H8" i="2"/>
  <c r="H9" i="2"/>
  <c r="C5" i="8" s="1"/>
  <c r="H10" i="2"/>
  <c r="C6" i="8" s="1"/>
  <c r="H11" i="2"/>
  <c r="C7" i="8" s="1"/>
  <c r="H12" i="2"/>
  <c r="C8" i="8" s="1"/>
  <c r="H13" i="2"/>
  <c r="C9" i="8" s="1"/>
  <c r="H14" i="2"/>
  <c r="C10" i="8" s="1"/>
  <c r="H15" i="2"/>
  <c r="C11" i="8" s="1"/>
  <c r="H16" i="2"/>
  <c r="C12" i="8" s="1"/>
  <c r="H17" i="2"/>
  <c r="C13" i="8" s="1"/>
  <c r="H18" i="2"/>
  <c r="C14" i="8" s="1"/>
  <c r="H19" i="2"/>
  <c r="H20" i="2"/>
  <c r="C16" i="8" s="1"/>
  <c r="H21" i="2"/>
  <c r="C17" i="8" s="1"/>
  <c r="H22" i="2"/>
  <c r="C18" i="8" s="1"/>
  <c r="H23" i="2"/>
  <c r="H24" i="2"/>
  <c r="C20" i="8" s="1"/>
  <c r="H25" i="2"/>
  <c r="C21" i="8" s="1"/>
  <c r="H26" i="2"/>
  <c r="C22" i="8" s="1"/>
  <c r="H27" i="2"/>
  <c r="C23" i="8" s="1"/>
  <c r="H28" i="2"/>
  <c r="C24" i="8" s="1"/>
  <c r="H29" i="2"/>
  <c r="C25" i="8" s="1"/>
  <c r="H30" i="2"/>
  <c r="C26" i="8" s="1"/>
  <c r="H31" i="2"/>
  <c r="H32" i="2"/>
  <c r="C28" i="8" s="1"/>
  <c r="H33" i="2"/>
  <c r="C29" i="8" s="1"/>
  <c r="H34" i="2"/>
  <c r="C30" i="8" s="1"/>
  <c r="H35" i="2"/>
  <c r="C31" i="8" s="1"/>
  <c r="H36" i="2"/>
  <c r="C32" i="8" s="1"/>
  <c r="H37" i="2"/>
  <c r="C33" i="8" s="1"/>
  <c r="H38" i="2"/>
  <c r="H39" i="2"/>
  <c r="H40" i="2"/>
  <c r="H41" i="2"/>
  <c r="C37" i="8" s="1"/>
  <c r="H42" i="2"/>
  <c r="C38" i="8" s="1"/>
  <c r="H43" i="2"/>
  <c r="C39" i="8" s="1"/>
  <c r="H44" i="2"/>
  <c r="C40" i="8" s="1"/>
  <c r="H45" i="2"/>
  <c r="C41" i="8" s="1"/>
  <c r="H46" i="2"/>
  <c r="H47" i="2"/>
  <c r="C43" i="8" s="1"/>
  <c r="H48" i="2"/>
  <c r="C44" i="8" s="1"/>
  <c r="H49" i="2"/>
  <c r="C45" i="8" s="1"/>
  <c r="H50" i="2"/>
  <c r="C46" i="8" s="1"/>
  <c r="H51" i="2"/>
  <c r="C47" i="8" s="1"/>
  <c r="H52" i="2"/>
  <c r="C48" i="8" s="1"/>
  <c r="H53" i="2"/>
  <c r="C49" i="8" s="1"/>
  <c r="H54" i="2"/>
  <c r="C50" i="8" s="1"/>
  <c r="H55" i="2"/>
  <c r="C51" i="8" s="1"/>
  <c r="H56" i="2"/>
  <c r="C52" i="8" s="1"/>
  <c r="H57" i="2"/>
  <c r="C53" i="8" s="1"/>
  <c r="H58" i="2"/>
  <c r="C54" i="8" s="1"/>
  <c r="H59" i="2"/>
  <c r="C55" i="8" s="1"/>
  <c r="H60" i="2"/>
  <c r="C56" i="8" s="1"/>
  <c r="H61" i="2"/>
  <c r="C57" i="8" s="1"/>
  <c r="H62" i="2"/>
  <c r="C58" i="8" s="1"/>
  <c r="H63" i="2"/>
  <c r="C59" i="8" s="1"/>
  <c r="H64" i="2"/>
  <c r="C60" i="8" s="1"/>
  <c r="H65" i="2"/>
  <c r="H66" i="2"/>
  <c r="C62" i="8" s="1"/>
  <c r="H67" i="2"/>
  <c r="H68" i="2"/>
  <c r="C64" i="8" s="1"/>
  <c r="H69" i="2"/>
  <c r="C65" i="8" s="1"/>
  <c r="H70" i="2"/>
  <c r="C66" i="8" s="1"/>
  <c r="H71" i="2"/>
  <c r="H72" i="2"/>
  <c r="C68" i="8" s="1"/>
  <c r="H73" i="2"/>
  <c r="C69" i="8" s="1"/>
  <c r="H74" i="2"/>
  <c r="C70" i="8" s="1"/>
  <c r="H75" i="2"/>
  <c r="C71" i="8" s="1"/>
  <c r="H76" i="2"/>
  <c r="C72" i="8" s="1"/>
  <c r="H77" i="2"/>
  <c r="C73" i="8" s="1"/>
  <c r="H78" i="2"/>
  <c r="C74" i="8" s="1"/>
  <c r="H79" i="2"/>
  <c r="H80" i="2"/>
  <c r="C76" i="8" s="1"/>
  <c r="H81" i="2"/>
  <c r="C77" i="8" s="1"/>
  <c r="H82" i="2"/>
  <c r="C78" i="8" s="1"/>
  <c r="H83" i="2"/>
  <c r="C79" i="8" s="1"/>
  <c r="H84" i="2"/>
  <c r="C80" i="8" s="1"/>
  <c r="H85" i="2"/>
  <c r="C81" i="8" s="1"/>
  <c r="H86" i="2"/>
  <c r="C82" i="8" s="1"/>
  <c r="H87" i="2"/>
  <c r="C83" i="8" s="1"/>
  <c r="H88" i="2"/>
  <c r="C84" i="8" s="1"/>
  <c r="H89" i="2"/>
  <c r="C85" i="8" s="1"/>
  <c r="H90" i="2"/>
  <c r="C86" i="8" s="1"/>
  <c r="H91" i="2"/>
  <c r="H92" i="2"/>
  <c r="C88" i="8" s="1"/>
  <c r="H93" i="2"/>
  <c r="C89" i="8" s="1"/>
  <c r="H94" i="2"/>
  <c r="C90" i="8" s="1"/>
  <c r="H95" i="2"/>
  <c r="H96" i="2"/>
  <c r="C92" i="8" s="1"/>
  <c r="H97" i="2"/>
  <c r="C93" i="8" s="1"/>
  <c r="H98" i="2"/>
  <c r="C94" i="8" s="1"/>
  <c r="H99" i="2"/>
  <c r="C95" i="8" s="1"/>
  <c r="H100" i="2"/>
  <c r="C96" i="8" s="1"/>
  <c r="H101" i="2"/>
  <c r="C97" i="8" s="1"/>
  <c r="H102" i="2"/>
  <c r="H103" i="2"/>
  <c r="C99" i="8" s="1"/>
  <c r="H104" i="2"/>
  <c r="C100" i="8" s="1"/>
  <c r="H105" i="2"/>
  <c r="C101" i="8" s="1"/>
  <c r="H106" i="2"/>
  <c r="C102" i="8" s="1"/>
  <c r="H107" i="2"/>
  <c r="C103" i="8" s="1"/>
  <c r="H108" i="2"/>
  <c r="C104" i="8" s="1"/>
  <c r="H109" i="2"/>
  <c r="C105" i="8" s="1"/>
  <c r="H110" i="2"/>
  <c r="H111" i="2"/>
  <c r="C107" i="8" s="1"/>
  <c r="H112" i="2"/>
  <c r="C108" i="8" s="1"/>
  <c r="H113" i="2"/>
  <c r="C109" i="8" s="1"/>
  <c r="H114" i="2"/>
  <c r="C110" i="8" s="1"/>
  <c r="H115" i="2"/>
  <c r="H116" i="2"/>
  <c r="C112" i="8" s="1"/>
  <c r="H117" i="2"/>
  <c r="C113" i="8" s="1"/>
  <c r="H118" i="2"/>
  <c r="C114" i="8" s="1"/>
  <c r="H119" i="2"/>
  <c r="C115" i="8" s="1"/>
  <c r="H120" i="2"/>
  <c r="H121" i="2"/>
  <c r="H122" i="2"/>
  <c r="H123" i="2"/>
  <c r="C119" i="8" s="1"/>
  <c r="H124" i="2"/>
  <c r="H125" i="2"/>
  <c r="C121" i="8" s="1"/>
  <c r="H126" i="2"/>
  <c r="C122" i="8" s="1"/>
  <c r="H127" i="2"/>
  <c r="H128" i="2"/>
  <c r="C124" i="8" s="1"/>
  <c r="H129" i="2"/>
  <c r="C125" i="8" s="1"/>
  <c r="H130" i="2"/>
  <c r="C126" i="8" s="1"/>
  <c r="H131" i="2"/>
  <c r="C127" i="8" s="1"/>
  <c r="H132" i="2"/>
  <c r="C128" i="8" s="1"/>
  <c r="H133" i="2"/>
  <c r="C129" i="8" s="1"/>
  <c r="H134" i="2"/>
  <c r="C130" i="8" s="1"/>
  <c r="H135" i="2"/>
  <c r="C131" i="8" s="1"/>
  <c r="H136" i="2"/>
  <c r="C132" i="8" s="1"/>
  <c r="H137" i="2"/>
  <c r="C133" i="8" s="1"/>
  <c r="H138" i="2"/>
  <c r="C134" i="8" s="1"/>
  <c r="H139" i="2"/>
  <c r="C135" i="8" s="1"/>
  <c r="H140" i="2"/>
  <c r="C136" i="8" s="1"/>
  <c r="H141" i="2"/>
  <c r="C137" i="8" s="1"/>
  <c r="H142" i="2"/>
  <c r="H143" i="2"/>
  <c r="H144" i="2"/>
  <c r="C140" i="8" s="1"/>
  <c r="H145" i="2"/>
  <c r="C141" i="8" s="1"/>
  <c r="H146" i="2"/>
  <c r="C142" i="8" s="1"/>
  <c r="H147" i="2"/>
  <c r="C143" i="8" s="1"/>
  <c r="H148" i="2"/>
  <c r="C144" i="8" s="1"/>
  <c r="H149" i="2"/>
  <c r="C145" i="8" s="1"/>
  <c r="H150" i="2"/>
  <c r="C146" i="8" s="1"/>
  <c r="H151" i="2"/>
  <c r="H152" i="2"/>
  <c r="C148" i="8" s="1"/>
  <c r="H153" i="2"/>
  <c r="C149" i="8" s="1"/>
  <c r="H154" i="2"/>
  <c r="C150" i="8" s="1"/>
  <c r="H155" i="2"/>
  <c r="C151" i="8" s="1"/>
  <c r="H156" i="2"/>
  <c r="C152" i="8" s="1"/>
  <c r="H157" i="2"/>
  <c r="C153" i="8" s="1"/>
  <c r="H158" i="2"/>
  <c r="H159" i="2"/>
  <c r="C155" i="8" s="1"/>
  <c r="H160" i="2"/>
  <c r="C156" i="8" s="1"/>
  <c r="H161" i="2"/>
  <c r="C157" i="8" s="1"/>
  <c r="H162" i="2"/>
  <c r="C158" i="8" s="1"/>
  <c r="H163" i="2"/>
  <c r="C159" i="8" s="1"/>
  <c r="H164" i="2"/>
  <c r="C160" i="8" s="1"/>
  <c r="H165" i="2"/>
  <c r="C161" i="8" s="1"/>
  <c r="H166" i="2"/>
  <c r="C162" i="8" s="1"/>
  <c r="H167" i="2"/>
  <c r="H168" i="2"/>
  <c r="H169" i="2"/>
  <c r="C165" i="8" s="1"/>
  <c r="H170" i="2"/>
  <c r="H171" i="2"/>
  <c r="C167" i="8" s="1"/>
  <c r="H172" i="2"/>
  <c r="C168" i="8" s="1"/>
  <c r="H173" i="2"/>
  <c r="C169" i="8" s="1"/>
  <c r="H174" i="2"/>
  <c r="H175" i="2"/>
  <c r="H176" i="2"/>
  <c r="C172" i="8" s="1"/>
  <c r="H177" i="2"/>
  <c r="C173" i="8" s="1"/>
  <c r="H178" i="2"/>
  <c r="C174" i="8" s="1"/>
  <c r="H179" i="2"/>
  <c r="H180" i="2"/>
  <c r="H181" i="2"/>
  <c r="C177" i="8" s="1"/>
  <c r="H182" i="2"/>
  <c r="C178" i="8" s="1"/>
  <c r="H183" i="2"/>
  <c r="C179" i="8" s="1"/>
  <c r="H184" i="2"/>
  <c r="C180" i="8" s="1"/>
  <c r="H185" i="2"/>
  <c r="C181" i="8" s="1"/>
  <c r="H186" i="2"/>
  <c r="C182" i="8" s="1"/>
  <c r="H187" i="2"/>
  <c r="C183" i="8" s="1"/>
  <c r="H188" i="2"/>
  <c r="H189" i="2"/>
  <c r="C185" i="8" s="1"/>
  <c r="H190" i="2"/>
  <c r="C186" i="8" s="1"/>
  <c r="H191" i="2"/>
  <c r="C187" i="8" s="1"/>
  <c r="H192" i="2"/>
  <c r="C188" i="8" s="1"/>
  <c r="H193" i="2"/>
  <c r="C189" i="8" s="1"/>
  <c r="H194" i="2"/>
  <c r="H195" i="2"/>
  <c r="C191" i="8" s="1"/>
  <c r="H196" i="2"/>
  <c r="C192" i="8" s="1"/>
  <c r="H197" i="2"/>
  <c r="C193" i="8" s="1"/>
  <c r="H198" i="2"/>
  <c r="C194" i="8" s="1"/>
  <c r="H199" i="2"/>
  <c r="H200" i="2"/>
  <c r="C196" i="8" s="1"/>
  <c r="H201" i="2"/>
  <c r="C197" i="8" s="1"/>
  <c r="H202" i="2"/>
  <c r="C198" i="8" s="1"/>
  <c r="H203" i="2"/>
  <c r="C199" i="8" s="1"/>
  <c r="H204" i="2"/>
  <c r="C200" i="8" s="1"/>
  <c r="H205" i="2"/>
  <c r="C201" i="8" s="1"/>
  <c r="H206" i="2"/>
  <c r="C202" i="8" s="1"/>
  <c r="H207" i="2"/>
  <c r="H208" i="2"/>
  <c r="C204" i="8" s="1"/>
  <c r="H209" i="2"/>
  <c r="H210" i="2"/>
  <c r="C206" i="8" s="1"/>
  <c r="H211" i="2"/>
  <c r="C207" i="8" s="1"/>
  <c r="H212" i="2"/>
  <c r="C208" i="8" s="1"/>
  <c r="H213" i="2"/>
  <c r="C209" i="8" s="1"/>
  <c r="H214" i="2"/>
  <c r="H215" i="2"/>
  <c r="C211" i="8" s="1"/>
  <c r="H216" i="2"/>
  <c r="C212" i="8" s="1"/>
  <c r="H217" i="2"/>
  <c r="C213" i="8" s="1"/>
  <c r="H218" i="2"/>
  <c r="C214" i="8" s="1"/>
  <c r="H219" i="2"/>
  <c r="C215" i="8" s="1"/>
  <c r="H220" i="2"/>
  <c r="C216" i="8" s="1"/>
  <c r="H221" i="2"/>
  <c r="C217" i="8" s="1"/>
  <c r="H222" i="2"/>
  <c r="C218" i="8" s="1"/>
  <c r="H223" i="2"/>
  <c r="H224" i="2"/>
  <c r="C220" i="8" s="1"/>
  <c r="H225" i="2"/>
  <c r="C221" i="8" s="1"/>
  <c r="H226" i="2"/>
  <c r="C222" i="8" s="1"/>
  <c r="H227" i="2"/>
  <c r="C223" i="8" s="1"/>
  <c r="H228" i="2"/>
  <c r="C224" i="8" s="1"/>
  <c r="H229" i="2"/>
  <c r="C225" i="8" s="1"/>
  <c r="H230" i="2"/>
  <c r="H231" i="2"/>
  <c r="C227" i="8" s="1"/>
  <c r="H232" i="2"/>
  <c r="C228" i="8" s="1"/>
  <c r="H233" i="2"/>
  <c r="C229" i="8" s="1"/>
  <c r="H234" i="2"/>
  <c r="C230" i="8" s="1"/>
  <c r="H235" i="2"/>
  <c r="H236" i="2"/>
  <c r="C232" i="8" s="1"/>
  <c r="H237" i="2"/>
  <c r="H238" i="2"/>
  <c r="C234" i="8" s="1"/>
  <c r="H239" i="2"/>
  <c r="C235" i="8" s="1"/>
  <c r="H240" i="2"/>
  <c r="C236" i="8" s="1"/>
  <c r="H241" i="2"/>
  <c r="C237" i="8" s="1"/>
  <c r="H242" i="2"/>
  <c r="H243" i="2"/>
  <c r="C239" i="8" s="1"/>
  <c r="H244" i="2"/>
  <c r="C240" i="8" s="1"/>
  <c r="H245" i="2"/>
  <c r="C241" i="8" s="1"/>
  <c r="H246" i="2"/>
  <c r="C242" i="8" s="1"/>
  <c r="H247" i="2"/>
  <c r="H248" i="2"/>
  <c r="C244" i="8" s="1"/>
  <c r="H249" i="2"/>
  <c r="C245" i="8" s="1"/>
  <c r="H250" i="2"/>
  <c r="C246" i="8" s="1"/>
  <c r="H251" i="2"/>
  <c r="C247" i="8" s="1"/>
  <c r="H252" i="2"/>
  <c r="H253" i="2"/>
  <c r="C249" i="8" s="1"/>
  <c r="H254" i="2"/>
  <c r="C250" i="8" s="1"/>
  <c r="H255" i="2"/>
  <c r="H256" i="2"/>
  <c r="C252" i="8" s="1"/>
  <c r="H257" i="2"/>
  <c r="C253" i="8" s="1"/>
  <c r="H258" i="2"/>
  <c r="C254" i="8" s="1"/>
  <c r="H259" i="2"/>
  <c r="C255" i="8" s="1"/>
  <c r="H260" i="2"/>
  <c r="C256" i="8" s="1"/>
  <c r="H261" i="2"/>
  <c r="C257" i="8" s="1"/>
  <c r="H262" i="2"/>
  <c r="H263" i="2"/>
  <c r="C259" i="8" s="1"/>
  <c r="H264" i="2"/>
  <c r="C260" i="8" s="1"/>
  <c r="H265" i="2"/>
  <c r="H266" i="2"/>
  <c r="C262" i="8" s="1"/>
  <c r="H267" i="2"/>
  <c r="C263" i="8" s="1"/>
  <c r="H268" i="2"/>
  <c r="C264" i="8" s="1"/>
  <c r="H269" i="2"/>
  <c r="C265" i="8" s="1"/>
  <c r="H270" i="2"/>
  <c r="C266" i="8" s="1"/>
  <c r="H271" i="2"/>
  <c r="C267" i="8" s="1"/>
  <c r="H272" i="2"/>
  <c r="C268" i="8" s="1"/>
  <c r="H273" i="2"/>
  <c r="C269" i="8" s="1"/>
  <c r="H274" i="2"/>
  <c r="C270" i="8" s="1"/>
  <c r="H275" i="2"/>
  <c r="H276" i="2"/>
  <c r="C272" i="8" s="1"/>
  <c r="H277" i="2"/>
  <c r="C273" i="8" s="1"/>
  <c r="H278" i="2"/>
  <c r="C274" i="8" s="1"/>
  <c r="H279" i="2"/>
  <c r="C275" i="8" s="1"/>
  <c r="H280" i="2"/>
  <c r="C276" i="8" s="1"/>
  <c r="H281" i="2"/>
  <c r="C277" i="8" s="1"/>
  <c r="H282" i="2"/>
  <c r="C278" i="8" s="1"/>
  <c r="H283" i="2"/>
  <c r="C279" i="8" s="1"/>
  <c r="H284" i="2"/>
  <c r="C280" i="8" s="1"/>
  <c r="H285" i="2"/>
  <c r="C281" i="8" s="1"/>
  <c r="H286" i="2"/>
  <c r="H287" i="2"/>
  <c r="H288" i="2"/>
  <c r="C284" i="8" s="1"/>
  <c r="H289" i="2"/>
  <c r="C285" i="8" s="1"/>
  <c r="H290" i="2"/>
  <c r="C286" i="8" s="1"/>
  <c r="H291" i="2"/>
  <c r="C287" i="8" s="1"/>
  <c r="H292" i="2"/>
  <c r="C288" i="8" s="1"/>
  <c r="H293" i="2"/>
  <c r="C289" i="8" s="1"/>
  <c r="H294" i="2"/>
  <c r="C290" i="8" s="1"/>
  <c r="H295" i="2"/>
  <c r="C291" i="8" s="1"/>
  <c r="H296" i="2"/>
  <c r="C292" i="8" s="1"/>
  <c r="H297" i="2"/>
  <c r="C293" i="8" s="1"/>
  <c r="H298" i="2"/>
  <c r="C294" i="8" s="1"/>
  <c r="H299" i="2"/>
  <c r="C295" i="8" s="1"/>
  <c r="H300" i="2"/>
  <c r="C296" i="8" s="1"/>
  <c r="H301" i="2"/>
  <c r="C297" i="8" s="1"/>
  <c r="H302" i="2"/>
  <c r="C298" i="8" s="1"/>
  <c r="H303" i="2"/>
  <c r="C299" i="8" s="1"/>
  <c r="H304" i="2"/>
  <c r="C300" i="8" s="1"/>
  <c r="H305" i="2"/>
  <c r="C301" i="8" s="1"/>
  <c r="H306" i="2"/>
  <c r="C302" i="8" s="1"/>
  <c r="H307" i="2"/>
  <c r="H308" i="2"/>
  <c r="C304" i="8" s="1"/>
  <c r="H309" i="2"/>
  <c r="C305" i="8" s="1"/>
  <c r="H310" i="2"/>
  <c r="H311" i="2"/>
  <c r="C307" i="8" s="1"/>
  <c r="H312" i="2"/>
  <c r="C308" i="8" s="1"/>
  <c r="H313" i="2"/>
  <c r="C309" i="8" s="1"/>
  <c r="H314" i="2"/>
  <c r="C310" i="8" s="1"/>
  <c r="H315" i="2"/>
  <c r="C311" i="8" s="1"/>
  <c r="H316" i="2"/>
  <c r="C312" i="8" s="1"/>
  <c r="H317" i="2"/>
  <c r="C313" i="8" s="1"/>
  <c r="H318" i="2"/>
  <c r="C314" i="8" s="1"/>
  <c r="H319" i="2"/>
  <c r="C315" i="8" s="1"/>
  <c r="H320" i="2"/>
  <c r="C316" i="8" s="1"/>
  <c r="H321" i="2"/>
  <c r="C317" i="8" s="1"/>
  <c r="H322" i="2"/>
  <c r="C318" i="8" s="1"/>
  <c r="H323" i="2"/>
  <c r="H324" i="2"/>
  <c r="C320" i="8" s="1"/>
  <c r="H325" i="2"/>
  <c r="C321" i="8" s="1"/>
  <c r="H326" i="2"/>
  <c r="C322" i="8" s="1"/>
  <c r="H327" i="2"/>
  <c r="C323" i="8" s="1"/>
  <c r="H328" i="2"/>
  <c r="C324" i="8" s="1"/>
  <c r="H329" i="2"/>
  <c r="C325" i="8" s="1"/>
  <c r="H330" i="2"/>
  <c r="C326" i="8" s="1"/>
  <c r="H331" i="2"/>
  <c r="C327" i="8" s="1"/>
  <c r="H332" i="2"/>
  <c r="C328" i="8" s="1"/>
  <c r="H333" i="2"/>
  <c r="C329" i="8" s="1"/>
  <c r="H334" i="2"/>
  <c r="H335" i="2"/>
  <c r="C331" i="8" s="1"/>
  <c r="H336" i="2"/>
  <c r="C332" i="8" s="1"/>
  <c r="H337" i="2"/>
  <c r="C333" i="8" s="1"/>
  <c r="H338" i="2"/>
  <c r="C334" i="8" s="1"/>
  <c r="H339" i="2"/>
  <c r="H340" i="2"/>
  <c r="C336" i="8" s="1"/>
  <c r="H341" i="2"/>
  <c r="C337" i="8" s="1"/>
  <c r="H342" i="2"/>
  <c r="C338" i="8" s="1"/>
  <c r="H343" i="2"/>
  <c r="C339" i="8" s="1"/>
  <c r="H344" i="2"/>
  <c r="C340" i="8" s="1"/>
  <c r="H345" i="2"/>
  <c r="C341" i="8" s="1"/>
  <c r="H346" i="2"/>
  <c r="C342" i="8" s="1"/>
  <c r="H347" i="2"/>
  <c r="C343" i="8" s="1"/>
  <c r="H348" i="2"/>
  <c r="H349" i="2"/>
  <c r="H350" i="2"/>
  <c r="H351" i="2"/>
  <c r="C347" i="8" s="1"/>
  <c r="H352" i="2"/>
  <c r="C348" i="8" s="1"/>
  <c r="H353" i="2"/>
  <c r="C349" i="8" s="1"/>
  <c r="H354" i="2"/>
  <c r="C350" i="8" s="1"/>
  <c r="H355" i="2"/>
  <c r="C351" i="8" s="1"/>
  <c r="H356" i="2"/>
  <c r="C352" i="8" s="1"/>
  <c r="H357" i="2"/>
  <c r="C353" i="8" s="1"/>
  <c r="H358" i="2"/>
  <c r="H359" i="2"/>
  <c r="C355" i="8" s="1"/>
  <c r="H360" i="2"/>
  <c r="C356" i="8" s="1"/>
  <c r="H361" i="2"/>
  <c r="C357" i="8" s="1"/>
  <c r="H362" i="2"/>
  <c r="C358" i="8" s="1"/>
  <c r="H363" i="2"/>
  <c r="C359" i="8" s="1"/>
  <c r="H364" i="2"/>
  <c r="C360" i="8" s="1"/>
  <c r="H365" i="2"/>
  <c r="C361" i="8" s="1"/>
  <c r="H366" i="2"/>
  <c r="C362" i="8" s="1"/>
  <c r="H367" i="2"/>
  <c r="H368" i="2"/>
  <c r="C364" i="8" s="1"/>
  <c r="H369" i="2"/>
  <c r="C365" i="8" s="1"/>
  <c r="H370" i="2"/>
  <c r="C366" i="8" s="1"/>
  <c r="H371" i="2"/>
  <c r="C367" i="8" s="1"/>
  <c r="H372" i="2"/>
  <c r="C368" i="8" s="1"/>
  <c r="H373" i="2"/>
  <c r="C369" i="8" s="1"/>
  <c r="H374" i="2"/>
  <c r="C370" i="8" s="1"/>
  <c r="H375" i="2"/>
  <c r="C371" i="8" s="1"/>
  <c r="H376" i="2"/>
  <c r="C372" i="8" s="1"/>
  <c r="H377" i="2"/>
  <c r="C373" i="8" s="1"/>
  <c r="H378" i="2"/>
  <c r="C374" i="8" s="1"/>
  <c r="H379" i="2"/>
  <c r="H380" i="2"/>
  <c r="C376" i="8" s="1"/>
  <c r="H381" i="2"/>
  <c r="C377" i="8" s="1"/>
  <c r="H382" i="2"/>
  <c r="H383" i="2"/>
  <c r="C379" i="8" s="1"/>
  <c r="H384" i="2"/>
  <c r="H385" i="2"/>
  <c r="C381" i="8" s="1"/>
  <c r="H386" i="2"/>
  <c r="C382" i="8" s="1"/>
  <c r="H387" i="2"/>
  <c r="C383" i="8" s="1"/>
  <c r="H388" i="2"/>
  <c r="C384" i="8" s="1"/>
  <c r="H389" i="2"/>
  <c r="C385" i="8" s="1"/>
  <c r="H390" i="2"/>
  <c r="H391" i="2"/>
  <c r="H392" i="2"/>
  <c r="C388" i="8" s="1"/>
  <c r="H393" i="2"/>
  <c r="H394" i="2"/>
  <c r="C390" i="8" s="1"/>
  <c r="H395" i="2"/>
  <c r="C391" i="8" s="1"/>
  <c r="H396" i="2"/>
  <c r="C392" i="8" s="1"/>
  <c r="H397" i="2"/>
  <c r="C393" i="8" s="1"/>
  <c r="H398" i="2"/>
  <c r="C394" i="8" s="1"/>
  <c r="H399" i="2"/>
  <c r="C395" i="8" s="1"/>
  <c r="H400" i="2"/>
  <c r="C396" i="8" s="1"/>
  <c r="H401" i="2"/>
  <c r="C397" i="8" s="1"/>
  <c r="H402" i="2"/>
  <c r="C398" i="8" s="1"/>
  <c r="H403" i="2"/>
  <c r="C399" i="8" s="1"/>
  <c r="H404" i="2"/>
  <c r="C400" i="8" s="1"/>
  <c r="H405" i="2"/>
  <c r="C401" i="8" s="1"/>
  <c r="H406" i="2"/>
  <c r="C402" i="8" s="1"/>
  <c r="H407" i="2"/>
  <c r="C403" i="8" s="1"/>
  <c r="H408" i="2"/>
  <c r="C404" i="8" s="1"/>
  <c r="H409" i="2"/>
  <c r="C405" i="8" s="1"/>
  <c r="H410" i="2"/>
  <c r="H411" i="2"/>
  <c r="C407" i="8" s="1"/>
  <c r="H412" i="2"/>
  <c r="C408" i="8" s="1"/>
  <c r="H413" i="2"/>
  <c r="C409" i="8" s="1"/>
  <c r="H414" i="2"/>
  <c r="C410" i="8" s="1"/>
  <c r="H415" i="2"/>
  <c r="C411" i="8" s="1"/>
  <c r="H416" i="2"/>
  <c r="C412" i="8" s="1"/>
  <c r="H417" i="2"/>
  <c r="C413" i="8" s="1"/>
  <c r="H418" i="2"/>
  <c r="C414" i="8" s="1"/>
  <c r="H419" i="2"/>
  <c r="C415" i="8" s="1"/>
  <c r="H420" i="2"/>
  <c r="C416" i="8" s="1"/>
  <c r="H421" i="2"/>
  <c r="C417" i="8" s="1"/>
  <c r="H422" i="2"/>
  <c r="H423" i="2"/>
  <c r="C419" i="8" s="1"/>
  <c r="H424" i="2"/>
  <c r="H425" i="2"/>
  <c r="C421" i="8" s="1"/>
  <c r="H426" i="2"/>
  <c r="C422" i="8" s="1"/>
  <c r="H427" i="2"/>
  <c r="C423" i="8" s="1"/>
  <c r="H428" i="2"/>
  <c r="C424" i="8" s="1"/>
  <c r="H429" i="2"/>
  <c r="C425" i="8" s="1"/>
  <c r="H430" i="2"/>
  <c r="C426" i="8" s="1"/>
  <c r="H431" i="2"/>
  <c r="C427" i="8" s="1"/>
  <c r="H432" i="2"/>
  <c r="C428" i="8" s="1"/>
  <c r="H433" i="2"/>
  <c r="C429" i="8" s="1"/>
  <c r="H434" i="2"/>
  <c r="C430" i="8" s="1"/>
  <c r="H435" i="2"/>
  <c r="C431" i="8" s="1"/>
  <c r="H436" i="2"/>
  <c r="H437" i="2"/>
  <c r="C433" i="8" s="1"/>
  <c r="H438" i="2"/>
  <c r="C434" i="8" s="1"/>
  <c r="H439" i="2"/>
  <c r="C435" i="8" s="1"/>
  <c r="H440" i="2"/>
  <c r="C436" i="8" s="1"/>
  <c r="H441" i="2"/>
  <c r="C437" i="8" s="1"/>
  <c r="H442" i="2"/>
  <c r="H443" i="2"/>
  <c r="C439" i="8" s="1"/>
  <c r="H444" i="2"/>
  <c r="C440" i="8" s="1"/>
  <c r="H445" i="2"/>
  <c r="C441" i="8" s="1"/>
  <c r="H446" i="2"/>
  <c r="H447" i="2"/>
  <c r="H448" i="2"/>
  <c r="C444" i="8" s="1"/>
  <c r="H449" i="2"/>
  <c r="C445" i="8" s="1"/>
  <c r="H450" i="2"/>
  <c r="C446" i="8" s="1"/>
  <c r="H451" i="2"/>
  <c r="C447" i="8" s="1"/>
  <c r="H452" i="2"/>
  <c r="C448" i="8" s="1"/>
  <c r="H453" i="2"/>
  <c r="C449" i="8" s="1"/>
  <c r="H454" i="2"/>
  <c r="C450" i="8" s="1"/>
  <c r="H455" i="2"/>
  <c r="H456" i="2"/>
  <c r="C452" i="8" s="1"/>
  <c r="H457" i="2"/>
  <c r="H458" i="2"/>
  <c r="C454" i="8" s="1"/>
  <c r="H459" i="2"/>
  <c r="H460" i="2"/>
  <c r="C456" i="8" s="1"/>
  <c r="H461" i="2"/>
  <c r="H462" i="2"/>
  <c r="C458" i="8" s="1"/>
  <c r="H463" i="2"/>
  <c r="H464" i="2"/>
  <c r="C460" i="8" s="1"/>
  <c r="H465" i="2"/>
  <c r="H466" i="2"/>
  <c r="C462" i="8" s="1"/>
  <c r="H467" i="2"/>
  <c r="H468" i="2"/>
  <c r="C464" i="8" s="1"/>
  <c r="H469" i="2"/>
  <c r="H470" i="2"/>
  <c r="H471" i="2"/>
  <c r="H472" i="2"/>
  <c r="C468" i="8" s="1"/>
  <c r="H473" i="2"/>
  <c r="H474" i="2"/>
  <c r="H475" i="2"/>
  <c r="H476" i="2"/>
  <c r="C472" i="8" s="1"/>
  <c r="H477" i="2"/>
  <c r="H478" i="2"/>
  <c r="H479" i="2"/>
  <c r="H480" i="2"/>
  <c r="C476" i="8" s="1"/>
  <c r="H481" i="2"/>
  <c r="H482" i="2"/>
  <c r="C478" i="8" s="1"/>
  <c r="H483" i="2"/>
  <c r="H484" i="2"/>
  <c r="C480" i="8" s="1"/>
  <c r="H485" i="2"/>
  <c r="H486" i="2"/>
  <c r="C482" i="8" s="1"/>
  <c r="H487" i="2"/>
  <c r="H488" i="2"/>
  <c r="C484" i="8" s="1"/>
  <c r="H489" i="2"/>
  <c r="H490" i="2"/>
  <c r="H491" i="2"/>
  <c r="H492" i="2"/>
  <c r="C488" i="8" s="1"/>
  <c r="H493" i="2"/>
  <c r="H494" i="2"/>
  <c r="C490" i="8" s="1"/>
  <c r="H495" i="2"/>
  <c r="H496" i="2"/>
  <c r="C492" i="8" s="1"/>
  <c r="H497" i="2"/>
  <c r="H498" i="2"/>
  <c r="C494" i="8" s="1"/>
  <c r="H499" i="2"/>
  <c r="H500" i="2"/>
  <c r="C496" i="8" s="1"/>
  <c r="H501" i="2"/>
  <c r="H502" i="2"/>
  <c r="C498" i="8" s="1"/>
  <c r="H503" i="2"/>
  <c r="H504" i="2"/>
  <c r="C500" i="8" s="1"/>
  <c r="H505" i="2"/>
  <c r="H506" i="2"/>
  <c r="C502" i="8" s="1"/>
  <c r="H507" i="2"/>
  <c r="H508" i="2"/>
  <c r="C504" i="8" s="1"/>
  <c r="H509" i="2"/>
  <c r="H510" i="2"/>
  <c r="H511" i="2"/>
  <c r="H512" i="2"/>
  <c r="C508" i="8" s="1"/>
  <c r="H513" i="2"/>
  <c r="H514" i="2"/>
  <c r="C510" i="8" s="1"/>
  <c r="H515" i="2"/>
  <c r="H516" i="2"/>
  <c r="C512" i="8" s="1"/>
  <c r="H517" i="2"/>
  <c r="H518" i="2"/>
  <c r="C514" i="8" s="1"/>
  <c r="H519" i="2"/>
  <c r="H520" i="2"/>
  <c r="C516" i="8" s="1"/>
  <c r="H521" i="2"/>
  <c r="H522" i="2"/>
  <c r="C518" i="8" s="1"/>
  <c r="H523" i="2"/>
  <c r="H524" i="2"/>
  <c r="C520" i="8" s="1"/>
  <c r="H525" i="2"/>
  <c r="H526" i="2"/>
  <c r="H527" i="2"/>
  <c r="H528" i="2"/>
  <c r="C524" i="8" s="1"/>
  <c r="H529" i="2"/>
  <c r="H530" i="2"/>
  <c r="C526" i="8" s="1"/>
  <c r="H531" i="2"/>
  <c r="H532" i="2"/>
  <c r="C528" i="8" s="1"/>
  <c r="H533" i="2"/>
  <c r="H534" i="2"/>
  <c r="C530" i="8" s="1"/>
  <c r="H535" i="2"/>
  <c r="H536" i="2"/>
  <c r="H537" i="2"/>
  <c r="H538" i="2"/>
  <c r="C534" i="8" s="1"/>
  <c r="H539" i="2"/>
  <c r="H540" i="2"/>
  <c r="C536" i="8" s="1"/>
  <c r="H541" i="2"/>
  <c r="H542" i="2"/>
  <c r="H543" i="2"/>
  <c r="H544" i="2"/>
  <c r="C540" i="8" s="1"/>
  <c r="H545" i="2"/>
  <c r="H546" i="2"/>
  <c r="C542" i="8" s="1"/>
  <c r="H547" i="2"/>
  <c r="H548" i="2"/>
  <c r="C544" i="8" s="1"/>
  <c r="H549" i="2"/>
  <c r="H550" i="2"/>
  <c r="C546" i="8" s="1"/>
  <c r="H551" i="2"/>
  <c r="H552" i="2"/>
  <c r="C548" i="8" s="1"/>
  <c r="H553" i="2"/>
  <c r="H554" i="2"/>
  <c r="C550" i="8" s="1"/>
  <c r="H555" i="2"/>
  <c r="H556" i="2"/>
  <c r="C552" i="8" s="1"/>
  <c r="H557" i="2"/>
  <c r="H558" i="2"/>
  <c r="H559" i="2"/>
  <c r="H560" i="2"/>
  <c r="H561" i="2"/>
  <c r="H562" i="2"/>
  <c r="C558" i="8" s="1"/>
  <c r="H563" i="2"/>
  <c r="H564" i="2"/>
  <c r="C560" i="8" s="1"/>
  <c r="H565" i="2"/>
  <c r="H566" i="2"/>
  <c r="H567" i="2"/>
  <c r="H568" i="2"/>
  <c r="H569" i="2"/>
  <c r="H570" i="2"/>
  <c r="H571" i="2"/>
  <c r="H572" i="2"/>
  <c r="C568" i="8" s="1"/>
  <c r="H573" i="2"/>
  <c r="H574" i="2"/>
  <c r="C570" i="8" s="1"/>
  <c r="H575" i="2"/>
  <c r="H576" i="2"/>
  <c r="H577" i="2"/>
  <c r="H578" i="2"/>
  <c r="H579" i="2"/>
  <c r="H580" i="2"/>
  <c r="C576" i="8" s="1"/>
  <c r="H581" i="2"/>
  <c r="H582" i="2"/>
  <c r="C578" i="8" s="1"/>
  <c r="H583" i="2"/>
  <c r="H584" i="2"/>
  <c r="H585" i="2"/>
  <c r="H586" i="2"/>
  <c r="H587" i="2"/>
  <c r="H588" i="2"/>
  <c r="C584" i="8" s="1"/>
  <c r="H589" i="2"/>
  <c r="H590" i="2"/>
  <c r="C586" i="8" s="1"/>
  <c r="H591" i="2"/>
  <c r="H592" i="2"/>
  <c r="H593" i="2"/>
  <c r="H594" i="2"/>
  <c r="H595" i="2"/>
  <c r="H596" i="2"/>
  <c r="C592" i="8" s="1"/>
  <c r="H597" i="2"/>
  <c r="H598" i="2"/>
  <c r="C594" i="8" s="1"/>
  <c r="H599" i="2"/>
  <c r="H600" i="2"/>
  <c r="H601" i="2"/>
  <c r="H602" i="2"/>
  <c r="H603" i="2"/>
  <c r="H604" i="2"/>
  <c r="C600" i="8" s="1"/>
  <c r="H605" i="2"/>
  <c r="H606" i="2"/>
  <c r="H607" i="2"/>
  <c r="H608" i="2"/>
  <c r="H609" i="2"/>
  <c r="H610" i="2"/>
  <c r="H611" i="2"/>
  <c r="H612" i="2"/>
  <c r="C608" i="8" s="1"/>
  <c r="H613" i="2"/>
  <c r="H614" i="2"/>
  <c r="C610" i="8" s="1"/>
  <c r="H615" i="2"/>
  <c r="H616" i="2"/>
  <c r="H617" i="2"/>
  <c r="H618" i="2"/>
  <c r="H619" i="2"/>
  <c r="H620" i="2"/>
  <c r="C616" i="8" s="1"/>
  <c r="H621" i="2"/>
  <c r="H622" i="2"/>
  <c r="C618" i="8" s="1"/>
  <c r="H623" i="2"/>
  <c r="H624" i="2"/>
  <c r="H625" i="2"/>
  <c r="H626" i="2"/>
  <c r="H627" i="2"/>
  <c r="H628" i="2"/>
  <c r="C624" i="8" s="1"/>
  <c r="H629" i="2"/>
  <c r="H630" i="2"/>
  <c r="H631" i="2"/>
  <c r="H632" i="2"/>
  <c r="H633" i="2"/>
  <c r="H634" i="2"/>
  <c r="H635" i="2"/>
  <c r="H636" i="2"/>
  <c r="C632" i="8" s="1"/>
  <c r="H637" i="2"/>
  <c r="H638" i="2"/>
  <c r="C634" i="8" s="1"/>
  <c r="H639" i="2"/>
  <c r="H640" i="2"/>
  <c r="H641" i="2"/>
  <c r="H642" i="2"/>
  <c r="H643" i="2"/>
  <c r="H644" i="2"/>
  <c r="H645" i="2"/>
  <c r="H646" i="2"/>
  <c r="C642" i="8" s="1"/>
  <c r="H647" i="2"/>
  <c r="H648" i="2"/>
  <c r="H649" i="2"/>
  <c r="H650" i="2"/>
  <c r="H651" i="2"/>
  <c r="H652" i="2"/>
  <c r="C648" i="8" s="1"/>
  <c r="H653" i="2"/>
  <c r="H654" i="2"/>
  <c r="C650" i="8" s="1"/>
  <c r="H655" i="2"/>
  <c r="H656" i="2"/>
  <c r="H657" i="2"/>
  <c r="H658" i="2"/>
  <c r="H659" i="2"/>
  <c r="H660" i="2"/>
  <c r="C656" i="8" s="1"/>
  <c r="H661" i="2"/>
  <c r="H662" i="2"/>
  <c r="C658" i="8" s="1"/>
  <c r="H663" i="2"/>
  <c r="H664" i="2"/>
  <c r="H665" i="2"/>
  <c r="H666" i="2"/>
  <c r="H667" i="2"/>
  <c r="H668" i="2"/>
  <c r="C664" i="8" s="1"/>
  <c r="H669" i="2"/>
  <c r="H670" i="2"/>
  <c r="H671" i="2"/>
  <c r="H672" i="2"/>
  <c r="H673" i="2"/>
  <c r="H674" i="2"/>
  <c r="H675" i="2"/>
  <c r="H676" i="2"/>
  <c r="C672" i="8" s="1"/>
  <c r="H677" i="2"/>
  <c r="H678" i="2"/>
  <c r="C674" i="8" s="1"/>
  <c r="H679" i="2"/>
  <c r="H680" i="2"/>
  <c r="H681" i="2"/>
  <c r="H682" i="2"/>
  <c r="H683" i="2"/>
  <c r="H684" i="2"/>
  <c r="C680" i="8" s="1"/>
  <c r="H685" i="2"/>
  <c r="H686" i="2"/>
  <c r="H687" i="2"/>
  <c r="H688" i="2"/>
  <c r="H689" i="2"/>
  <c r="H690" i="2"/>
  <c r="H691" i="2"/>
  <c r="H692" i="2"/>
  <c r="C688" i="8" s="1"/>
  <c r="H693" i="2"/>
  <c r="H694" i="2"/>
  <c r="C690" i="8" s="1"/>
  <c r="H695" i="2"/>
  <c r="H696" i="2"/>
  <c r="H697" i="2"/>
  <c r="H698" i="2"/>
  <c r="H699" i="2"/>
  <c r="H700" i="2"/>
  <c r="H701" i="2"/>
  <c r="H702" i="2"/>
  <c r="C698" i="8" s="1"/>
  <c r="H703" i="2"/>
  <c r="H704" i="2"/>
  <c r="H705" i="2"/>
  <c r="H706" i="2"/>
  <c r="H707" i="2"/>
  <c r="H708" i="2"/>
  <c r="C704" i="8" s="1"/>
  <c r="H709" i="2"/>
  <c r="H710" i="2"/>
  <c r="C706" i="8" s="1"/>
  <c r="H711" i="2"/>
  <c r="H712" i="2"/>
  <c r="H713" i="2"/>
  <c r="H714" i="2"/>
  <c r="H715" i="2"/>
  <c r="H716" i="2"/>
  <c r="C712" i="8" s="1"/>
  <c r="H717" i="2"/>
  <c r="H718" i="2"/>
  <c r="C714" i="8" s="1"/>
  <c r="H719" i="2"/>
  <c r="H720" i="2"/>
  <c r="H721" i="2"/>
  <c r="H722" i="2"/>
  <c r="H723" i="2"/>
  <c r="H724" i="2"/>
  <c r="C720" i="8" s="1"/>
  <c r="H725" i="2"/>
  <c r="H726" i="2"/>
  <c r="C722" i="8" s="1"/>
  <c r="H727" i="2"/>
  <c r="H728" i="2"/>
  <c r="H729" i="2"/>
  <c r="H730" i="2"/>
  <c r="H731" i="2"/>
  <c r="H732" i="2"/>
  <c r="C728" i="8" s="1"/>
  <c r="H733" i="2"/>
  <c r="H734" i="2"/>
  <c r="C730" i="8" s="1"/>
  <c r="H735" i="2"/>
  <c r="H736" i="2"/>
  <c r="H737" i="2"/>
  <c r="H738" i="2"/>
  <c r="H739" i="2"/>
  <c r="H740" i="2"/>
  <c r="C736" i="8" s="1"/>
  <c r="H741" i="2"/>
  <c r="H742" i="2"/>
  <c r="C738" i="8" s="1"/>
  <c r="H743" i="2"/>
  <c r="H744" i="2"/>
  <c r="H745" i="2"/>
  <c r="H746" i="2"/>
  <c r="H747" i="2"/>
  <c r="H748" i="2"/>
  <c r="H749" i="2"/>
  <c r="H750" i="2"/>
  <c r="C746" i="8" s="1"/>
  <c r="H751" i="2"/>
  <c r="H752" i="2"/>
  <c r="H753" i="2"/>
  <c r="H754" i="2"/>
  <c r="H755" i="2"/>
  <c r="H756" i="2"/>
  <c r="C752" i="8" s="1"/>
  <c r="H757" i="2"/>
  <c r="H758" i="2"/>
  <c r="C754" i="8" s="1"/>
  <c r="H759" i="2"/>
  <c r="H760" i="2"/>
  <c r="H761" i="2"/>
  <c r="H762" i="2"/>
  <c r="H763" i="2"/>
  <c r="H764" i="2"/>
  <c r="C760" i="8" s="1"/>
  <c r="H765" i="2"/>
  <c r="H766" i="2"/>
  <c r="H767" i="2"/>
  <c r="H768" i="2"/>
  <c r="H769" i="2"/>
  <c r="H770" i="2"/>
  <c r="H771" i="2"/>
  <c r="H772" i="2"/>
  <c r="C768" i="8" s="1"/>
  <c r="H773" i="2"/>
  <c r="H774" i="2"/>
  <c r="C770" i="8" s="1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C784" i="8" s="1"/>
  <c r="H789" i="2"/>
  <c r="H790" i="2"/>
  <c r="C786" i="8" s="1"/>
  <c r="H791" i="2"/>
  <c r="H792" i="2"/>
  <c r="H793" i="2"/>
  <c r="H794" i="2"/>
  <c r="H795" i="2"/>
  <c r="H796" i="2"/>
  <c r="C792" i="8" s="1"/>
  <c r="H797" i="2"/>
  <c r="H798" i="2"/>
  <c r="C794" i="8" s="1"/>
  <c r="H799" i="2"/>
  <c r="H800" i="2"/>
  <c r="H801" i="2"/>
  <c r="H802" i="2"/>
  <c r="H803" i="2"/>
  <c r="H804" i="2"/>
  <c r="H805" i="2"/>
  <c r="H806" i="2"/>
  <c r="C802" i="8" s="1"/>
  <c r="H807" i="2"/>
  <c r="H808" i="2"/>
  <c r="H809" i="2"/>
  <c r="H810" i="2"/>
  <c r="H811" i="2"/>
  <c r="H812" i="2"/>
  <c r="C808" i="8" s="1"/>
  <c r="H813" i="2"/>
  <c r="H814" i="2"/>
  <c r="C810" i="8" s="1"/>
  <c r="H815" i="2"/>
  <c r="H816" i="2"/>
  <c r="H817" i="2"/>
  <c r="H818" i="2"/>
  <c r="H819" i="2"/>
  <c r="H820" i="2"/>
  <c r="C816" i="8" s="1"/>
  <c r="H821" i="2"/>
  <c r="H822" i="2"/>
  <c r="C818" i="8" s="1"/>
  <c r="H823" i="2"/>
  <c r="H824" i="2"/>
  <c r="H825" i="2"/>
  <c r="H826" i="2"/>
  <c r="H827" i="2"/>
  <c r="H828" i="2"/>
  <c r="C824" i="8" s="1"/>
  <c r="H829" i="2"/>
  <c r="H830" i="2"/>
  <c r="C826" i="8" s="1"/>
  <c r="H831" i="2"/>
  <c r="H832" i="2"/>
  <c r="H833" i="2"/>
  <c r="H834" i="2"/>
  <c r="H835" i="2"/>
  <c r="H836" i="2"/>
  <c r="C832" i="8" s="1"/>
  <c r="H837" i="2"/>
  <c r="H838" i="2"/>
  <c r="H839" i="2"/>
  <c r="H840" i="2"/>
  <c r="H841" i="2"/>
  <c r="H842" i="2"/>
  <c r="H843" i="2"/>
  <c r="H844" i="2"/>
  <c r="C840" i="8" s="1"/>
  <c r="H845" i="2"/>
  <c r="H846" i="2"/>
  <c r="H847" i="2"/>
  <c r="H848" i="2"/>
  <c r="H849" i="2"/>
  <c r="H850" i="2"/>
  <c r="H851" i="2"/>
  <c r="H852" i="2"/>
  <c r="C848" i="8" s="1"/>
  <c r="H853" i="2"/>
  <c r="H854" i="2"/>
  <c r="C850" i="8" s="1"/>
  <c r="H855" i="2"/>
  <c r="H856" i="2"/>
  <c r="H857" i="2"/>
  <c r="H858" i="2"/>
  <c r="H859" i="2"/>
  <c r="H860" i="2"/>
  <c r="C856" i="8" s="1"/>
  <c r="H861" i="2"/>
  <c r="H862" i="2"/>
  <c r="C858" i="8" s="1"/>
  <c r="H863" i="2"/>
  <c r="H864" i="2"/>
  <c r="H865" i="2"/>
  <c r="H866" i="2"/>
  <c r="H867" i="2"/>
  <c r="H868" i="2"/>
  <c r="H869" i="2"/>
  <c r="H870" i="2"/>
  <c r="C866" i="8" s="1"/>
  <c r="H871" i="2"/>
  <c r="H872" i="2"/>
  <c r="H873" i="2"/>
  <c r="H874" i="2"/>
  <c r="H875" i="2"/>
  <c r="H876" i="2"/>
  <c r="C872" i="8" s="1"/>
  <c r="H877" i="2"/>
  <c r="H878" i="2"/>
  <c r="C874" i="8" s="1"/>
  <c r="H879" i="2"/>
  <c r="H880" i="2"/>
  <c r="H881" i="2"/>
  <c r="H882" i="2"/>
  <c r="H883" i="2"/>
  <c r="H884" i="2"/>
  <c r="C880" i="8" s="1"/>
  <c r="H885" i="2"/>
  <c r="H886" i="2"/>
  <c r="C882" i="8" s="1"/>
  <c r="H887" i="2"/>
  <c r="H888" i="2"/>
  <c r="H889" i="2"/>
  <c r="H890" i="2"/>
  <c r="H891" i="2"/>
  <c r="H892" i="2"/>
  <c r="C888" i="8" s="1"/>
  <c r="H893" i="2"/>
  <c r="H894" i="2"/>
  <c r="C890" i="8" s="1"/>
  <c r="H895" i="2"/>
  <c r="H896" i="2"/>
  <c r="H897" i="2"/>
  <c r="H898" i="2"/>
  <c r="H899" i="2"/>
  <c r="H900" i="2"/>
  <c r="C896" i="8" s="1"/>
  <c r="H901" i="2"/>
  <c r="H902" i="2"/>
  <c r="C898" i="8" s="1"/>
  <c r="H903" i="2"/>
  <c r="H904" i="2"/>
  <c r="H905" i="2"/>
  <c r="H906" i="2"/>
  <c r="H907" i="2"/>
  <c r="H908" i="2"/>
  <c r="C904" i="8" s="1"/>
  <c r="H909" i="2"/>
  <c r="H910" i="2"/>
  <c r="H911" i="2"/>
  <c r="H912" i="2"/>
  <c r="H913" i="2"/>
  <c r="H914" i="2"/>
  <c r="H915" i="2"/>
  <c r="H916" i="2"/>
  <c r="C912" i="8" s="1"/>
  <c r="H917" i="2"/>
  <c r="H918" i="2"/>
  <c r="C914" i="8" s="1"/>
  <c r="H919" i="2"/>
  <c r="H920" i="2"/>
  <c r="H921" i="2"/>
  <c r="H922" i="2"/>
  <c r="H923" i="2"/>
  <c r="H924" i="2"/>
  <c r="C920" i="8" s="1"/>
  <c r="H925" i="2"/>
  <c r="H926" i="2"/>
  <c r="C922" i="8" s="1"/>
  <c r="H927" i="2"/>
  <c r="H928" i="2"/>
  <c r="H929" i="2"/>
  <c r="H930" i="2"/>
  <c r="H931" i="2"/>
  <c r="H932" i="2"/>
  <c r="H933" i="2"/>
  <c r="H934" i="2"/>
  <c r="C930" i="8" s="1"/>
  <c r="H935" i="2"/>
  <c r="H936" i="2"/>
  <c r="H937" i="2"/>
  <c r="H938" i="2"/>
  <c r="H939" i="2"/>
  <c r="H940" i="2"/>
  <c r="C936" i="8" s="1"/>
  <c r="H941" i="2"/>
  <c r="H942" i="2"/>
  <c r="C938" i="8" s="1"/>
  <c r="H943" i="2"/>
  <c r="H944" i="2"/>
  <c r="H945" i="2"/>
  <c r="H946" i="2"/>
  <c r="H947" i="2"/>
  <c r="H948" i="2"/>
  <c r="C944" i="8" s="1"/>
  <c r="H949" i="2"/>
  <c r="H950" i="2"/>
  <c r="C946" i="8" s="1"/>
  <c r="H951" i="2"/>
  <c r="H952" i="2"/>
  <c r="H953" i="2"/>
  <c r="H954" i="2"/>
  <c r="H955" i="2"/>
  <c r="H956" i="2"/>
  <c r="C952" i="8" s="1"/>
  <c r="H957" i="2"/>
  <c r="H958" i="2"/>
  <c r="C954" i="8" s="1"/>
  <c r="H959" i="2"/>
  <c r="H960" i="2"/>
  <c r="H961" i="2"/>
  <c r="H962" i="2"/>
  <c r="H963" i="2"/>
  <c r="H964" i="2"/>
  <c r="C960" i="8" s="1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C976" i="8" s="1"/>
  <c r="H981" i="2"/>
  <c r="H982" i="2"/>
  <c r="C978" i="8" s="1"/>
  <c r="H983" i="2"/>
  <c r="H984" i="2"/>
  <c r="H985" i="2"/>
  <c r="H986" i="2"/>
  <c r="H987" i="2"/>
  <c r="H988" i="2"/>
  <c r="C984" i="8" s="1"/>
  <c r="H989" i="2"/>
  <c r="H990" i="2"/>
  <c r="C986" i="8" s="1"/>
  <c r="H991" i="2"/>
  <c r="H992" i="2"/>
  <c r="H993" i="2"/>
  <c r="H994" i="2"/>
  <c r="H995" i="2"/>
  <c r="H996" i="2"/>
  <c r="H997" i="2"/>
  <c r="H998" i="2"/>
  <c r="C994" i="8" s="1"/>
  <c r="H999" i="2"/>
  <c r="H1000" i="2"/>
  <c r="H1001" i="2"/>
  <c r="H1002" i="2"/>
  <c r="H1003" i="2"/>
  <c r="H1004" i="2"/>
  <c r="C1000" i="8" s="1"/>
  <c r="H1005" i="2"/>
  <c r="H1006" i="2"/>
  <c r="C1002" i="8" s="1"/>
  <c r="H1007" i="2"/>
  <c r="H1008" i="2"/>
  <c r="H1009" i="2"/>
  <c r="C34" i="8"/>
  <c r="C118" i="8"/>
  <c r="C138" i="8"/>
  <c r="C166" i="8"/>
  <c r="C190" i="8"/>
  <c r="C210" i="8"/>
  <c r="C238" i="8"/>
  <c r="C282" i="8"/>
  <c r="C306" i="8"/>
  <c r="C330" i="8"/>
  <c r="C486" i="8"/>
  <c r="C762" i="8"/>
  <c r="C184" i="8"/>
  <c r="C248" i="8"/>
  <c r="C344" i="8"/>
  <c r="H8" i="1" a="1"/>
  <c r="H8" i="1" s="1"/>
  <c r="B4" i="8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B12" i="8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B20" i="8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B28" i="8" s="1"/>
  <c r="H33" i="1" a="1"/>
  <c r="H33" i="1" s="1"/>
  <c r="H34" i="1" a="1"/>
  <c r="H34" i="1" s="1"/>
  <c r="H35" i="1" a="1"/>
  <c r="H35" i="1" s="1"/>
  <c r="H36" i="1" a="1"/>
  <c r="H36" i="1" s="1"/>
  <c r="B32" i="8" s="1"/>
  <c r="H37" i="1" a="1"/>
  <c r="H37" i="1" s="1"/>
  <c r="H38" i="1" a="1"/>
  <c r="H38" i="1" s="1"/>
  <c r="H39" i="1" a="1"/>
  <c r="H39" i="1" s="1"/>
  <c r="H40" i="1" a="1"/>
  <c r="H40" i="1" s="1"/>
  <c r="B36" i="8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B44" i="8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B52" i="8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B60" i="8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B68" i="8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B76" i="8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B84" i="8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B92" i="8" s="1"/>
  <c r="H97" i="1" a="1"/>
  <c r="H97" i="1" s="1"/>
  <c r="H98" i="1" a="1"/>
  <c r="H98" i="1" s="1"/>
  <c r="H99" i="1" a="1"/>
  <c r="H99" i="1" s="1"/>
  <c r="H100" i="1" a="1"/>
  <c r="H100" i="1" s="1"/>
  <c r="B96" i="8" s="1"/>
  <c r="H101" i="1" a="1"/>
  <c r="H101" i="1" s="1"/>
  <c r="H102" i="1" a="1"/>
  <c r="H102" i="1" s="1"/>
  <c r="H103" i="1" a="1"/>
  <c r="H103" i="1" s="1"/>
  <c r="H104" i="1" a="1"/>
  <c r="H104" i="1" s="1"/>
  <c r="B100" i="8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B108" i="8" s="1"/>
  <c r="H113" i="1" a="1"/>
  <c r="H113" i="1" s="1"/>
  <c r="H114" i="1" a="1"/>
  <c r="H114" i="1" s="1"/>
  <c r="H115" i="1" a="1"/>
  <c r="H115" i="1" s="1"/>
  <c r="H116" i="1" a="1"/>
  <c r="H116" i="1" s="1"/>
  <c r="B112" i="8" s="1"/>
  <c r="H117" i="1" a="1"/>
  <c r="H117" i="1" s="1"/>
  <c r="H118" i="1" a="1"/>
  <c r="H118" i="1" s="1"/>
  <c r="H119" i="1" a="1"/>
  <c r="H119" i="1" s="1"/>
  <c r="H120" i="1" a="1"/>
  <c r="H120" i="1" s="1"/>
  <c r="B116" i="8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B124" i="8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B132" i="8" s="1"/>
  <c r="H137" i="1" a="1"/>
  <c r="H137" i="1" s="1"/>
  <c r="H138" i="1" a="1"/>
  <c r="H138" i="1" s="1"/>
  <c r="H139" i="1" a="1"/>
  <c r="H139" i="1" s="1"/>
  <c r="H140" i="1" a="1"/>
  <c r="H140" i="1" s="1"/>
  <c r="B136" i="8" s="1"/>
  <c r="H141" i="1" a="1"/>
  <c r="H141" i="1" s="1"/>
  <c r="H142" i="1" a="1"/>
  <c r="H142" i="1" s="1"/>
  <c r="H143" i="1" a="1"/>
  <c r="H143" i="1" s="1"/>
  <c r="H144" i="1" a="1"/>
  <c r="H144" i="1" s="1"/>
  <c r="B140" i="8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B148" i="8" s="1"/>
  <c r="H153" i="1" a="1"/>
  <c r="H153" i="1" s="1"/>
  <c r="H154" i="1" a="1"/>
  <c r="H154" i="1" s="1"/>
  <c r="H155" i="1" a="1"/>
  <c r="H155" i="1" s="1"/>
  <c r="H156" i="1" a="1"/>
  <c r="H156" i="1" s="1"/>
  <c r="B152" i="8" s="1"/>
  <c r="H157" i="1" a="1"/>
  <c r="H157" i="1" s="1"/>
  <c r="H158" i="1" a="1"/>
  <c r="H158" i="1" s="1"/>
  <c r="H159" i="1" a="1"/>
  <c r="H159" i="1" s="1"/>
  <c r="H160" i="1" a="1"/>
  <c r="H160" i="1" s="1"/>
  <c r="B156" i="8" s="1"/>
  <c r="H161" i="1" a="1"/>
  <c r="H161" i="1" s="1"/>
  <c r="H162" i="1" a="1"/>
  <c r="H162" i="1" s="1"/>
  <c r="H163" i="1" a="1"/>
  <c r="H163" i="1" s="1"/>
  <c r="H164" i="1" a="1"/>
  <c r="H164" i="1" s="1"/>
  <c r="B160" i="8" s="1"/>
  <c r="H165" i="1" a="1"/>
  <c r="H165" i="1" s="1"/>
  <c r="H166" i="1" a="1"/>
  <c r="H166" i="1" s="1"/>
  <c r="H167" i="1" a="1"/>
  <c r="H167" i="1" s="1"/>
  <c r="H168" i="1" a="1"/>
  <c r="H168" i="1" s="1"/>
  <c r="B164" i="8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B172" i="8" s="1"/>
  <c r="H177" i="1" a="1"/>
  <c r="H177" i="1" s="1"/>
  <c r="H178" i="1" a="1"/>
  <c r="H178" i="1" s="1"/>
  <c r="H179" i="1" a="1"/>
  <c r="H179" i="1" s="1"/>
  <c r="H180" i="1" a="1"/>
  <c r="H180" i="1" s="1"/>
  <c r="B176" i="8" s="1"/>
  <c r="H181" i="1" a="1"/>
  <c r="H181" i="1" s="1"/>
  <c r="H182" i="1" a="1"/>
  <c r="H182" i="1" s="1"/>
  <c r="H183" i="1" a="1"/>
  <c r="H183" i="1" s="1"/>
  <c r="H184" i="1" a="1"/>
  <c r="H184" i="1" s="1"/>
  <c r="B180" i="8" s="1"/>
  <c r="H185" i="1" a="1"/>
  <c r="H185" i="1" s="1"/>
  <c r="H186" i="1" a="1"/>
  <c r="H186" i="1" s="1"/>
  <c r="H187" i="1" a="1"/>
  <c r="H187" i="1" s="1"/>
  <c r="H188" i="1" a="1"/>
  <c r="H188" i="1" s="1"/>
  <c r="B184" i="8" s="1"/>
  <c r="H189" i="1" a="1"/>
  <c r="H189" i="1" s="1"/>
  <c r="H190" i="1" a="1"/>
  <c r="H190" i="1" s="1"/>
  <c r="H191" i="1" a="1"/>
  <c r="H191" i="1" s="1"/>
  <c r="H192" i="1" a="1"/>
  <c r="H192" i="1" s="1"/>
  <c r="B188" i="8" s="1"/>
  <c r="H193" i="1" a="1"/>
  <c r="H193" i="1" s="1"/>
  <c r="H194" i="1" a="1"/>
  <c r="H194" i="1" s="1"/>
  <c r="H195" i="1" a="1"/>
  <c r="H195" i="1" s="1"/>
  <c r="H196" i="1" a="1"/>
  <c r="H196" i="1" s="1"/>
  <c r="B192" i="8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B220" i="8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B228" i="8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B244" i="8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B280" i="8" s="1"/>
  <c r="H285" i="1" a="1"/>
  <c r="H285" i="1" s="1"/>
  <c r="H286" i="1" a="1"/>
  <c r="H286" i="1" s="1"/>
  <c r="H287" i="1" a="1"/>
  <c r="H287" i="1" s="1"/>
  <c r="H288" i="1" a="1"/>
  <c r="H288" i="1" s="1"/>
  <c r="B284" i="8" s="1"/>
  <c r="H289" i="1" a="1"/>
  <c r="H289" i="1" s="1"/>
  <c r="H290" i="1" a="1"/>
  <c r="H290" i="1" s="1"/>
  <c r="H291" i="1" a="1"/>
  <c r="H291" i="1" s="1"/>
  <c r="H292" i="1" a="1"/>
  <c r="H292" i="1" s="1"/>
  <c r="B288" i="8" s="1"/>
  <c r="H293" i="1" a="1"/>
  <c r="H293" i="1" s="1"/>
  <c r="H294" i="1" a="1"/>
  <c r="H294" i="1" s="1"/>
  <c r="H295" i="1" a="1"/>
  <c r="H295" i="1" s="1"/>
  <c r="H296" i="1" a="1"/>
  <c r="H296" i="1" s="1"/>
  <c r="B292" i="8" s="1"/>
  <c r="H297" i="1" a="1"/>
  <c r="H297" i="1" s="1"/>
  <c r="H298" i="1" a="1"/>
  <c r="H298" i="1" s="1"/>
  <c r="H299" i="1" a="1"/>
  <c r="H299" i="1" s="1"/>
  <c r="H300" i="1" a="1"/>
  <c r="H300" i="1" s="1"/>
  <c r="B296" i="8" s="1"/>
  <c r="H301" i="1" a="1"/>
  <c r="H301" i="1" s="1"/>
  <c r="H302" i="1" a="1"/>
  <c r="H302" i="1" s="1"/>
  <c r="H303" i="1" a="1"/>
  <c r="H303" i="1" s="1"/>
  <c r="H304" i="1" a="1"/>
  <c r="H304" i="1" s="1"/>
  <c r="B300" i="8" s="1"/>
  <c r="H305" i="1" a="1"/>
  <c r="H305" i="1" s="1"/>
  <c r="H306" i="1" a="1"/>
  <c r="H306" i="1" s="1"/>
  <c r="H307" i="1" a="1"/>
  <c r="H307" i="1" s="1"/>
  <c r="H308" i="1" a="1"/>
  <c r="H308" i="1" s="1"/>
  <c r="B304" i="8" s="1"/>
  <c r="H309" i="1" a="1"/>
  <c r="H309" i="1" s="1"/>
  <c r="H310" i="1" a="1"/>
  <c r="H310" i="1" s="1"/>
  <c r="H311" i="1" a="1"/>
  <c r="H311" i="1" s="1"/>
  <c r="H312" i="1" a="1"/>
  <c r="H312" i="1" s="1"/>
  <c r="B308" i="8" s="1"/>
  <c r="H313" i="1" a="1"/>
  <c r="H313" i="1" s="1"/>
  <c r="H314" i="1" a="1"/>
  <c r="H314" i="1" s="1"/>
  <c r="H315" i="1" a="1"/>
  <c r="H315" i="1" s="1"/>
  <c r="H316" i="1" a="1"/>
  <c r="H316" i="1" s="1"/>
  <c r="B312" i="8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B320" i="8" s="1"/>
  <c r="H325" i="1" a="1"/>
  <c r="H325" i="1" s="1"/>
  <c r="H326" i="1" a="1"/>
  <c r="H326" i="1" s="1"/>
  <c r="H327" i="1" a="1"/>
  <c r="H327" i="1" s="1"/>
  <c r="H328" i="1" a="1"/>
  <c r="H328" i="1" s="1"/>
  <c r="B324" i="8" s="1"/>
  <c r="H329" i="1" a="1"/>
  <c r="H329" i="1" s="1"/>
  <c r="H330" i="1" a="1"/>
  <c r="H330" i="1" s="1"/>
  <c r="H331" i="1" a="1"/>
  <c r="H331" i="1" s="1"/>
  <c r="H332" i="1" a="1"/>
  <c r="H332" i="1" s="1"/>
  <c r="B328" i="8" s="1"/>
  <c r="H333" i="1" a="1"/>
  <c r="H333" i="1" s="1"/>
  <c r="H334" i="1" a="1"/>
  <c r="H334" i="1" s="1"/>
  <c r="H335" i="1" a="1"/>
  <c r="H335" i="1" s="1"/>
  <c r="H336" i="1" a="1"/>
  <c r="H336" i="1" s="1"/>
  <c r="B332" i="8" s="1"/>
  <c r="H337" i="1" a="1"/>
  <c r="H337" i="1" s="1"/>
  <c r="H338" i="1" a="1"/>
  <c r="H338" i="1" s="1"/>
  <c r="H339" i="1" a="1"/>
  <c r="H339" i="1" s="1"/>
  <c r="H340" i="1" a="1"/>
  <c r="H340" i="1" s="1"/>
  <c r="B336" i="8" s="1"/>
  <c r="H341" i="1" a="1"/>
  <c r="H341" i="1" s="1"/>
  <c r="H342" i="1" a="1"/>
  <c r="H342" i="1" s="1"/>
  <c r="H343" i="1" a="1"/>
  <c r="H343" i="1" s="1"/>
  <c r="H344" i="1" a="1"/>
  <c r="H344" i="1" s="1"/>
  <c r="B340" i="8" s="1"/>
  <c r="H345" i="1" a="1"/>
  <c r="H345" i="1" s="1"/>
  <c r="H346" i="1" a="1"/>
  <c r="H346" i="1" s="1"/>
  <c r="H347" i="1" a="1"/>
  <c r="H347" i="1" s="1"/>
  <c r="H348" i="1" a="1"/>
  <c r="H348" i="1" s="1"/>
  <c r="B344" i="8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B352" i="8" s="1"/>
  <c r="H357" i="1" a="1"/>
  <c r="H357" i="1" s="1"/>
  <c r="H358" i="1" a="1"/>
  <c r="H358" i="1" s="1"/>
  <c r="H359" i="1" a="1"/>
  <c r="H359" i="1" s="1"/>
  <c r="H360" i="1" a="1"/>
  <c r="H360" i="1" s="1"/>
  <c r="B356" i="8" s="1"/>
  <c r="H361" i="1" a="1"/>
  <c r="H361" i="1" s="1"/>
  <c r="H362" i="1" a="1"/>
  <c r="H362" i="1" s="1"/>
  <c r="H363" i="1" a="1"/>
  <c r="H363" i="1" s="1"/>
  <c r="H364" i="1" a="1"/>
  <c r="H364" i="1" s="1"/>
  <c r="B360" i="8" s="1"/>
  <c r="H365" i="1" a="1"/>
  <c r="H365" i="1" s="1"/>
  <c r="H366" i="1" a="1"/>
  <c r="H366" i="1" s="1"/>
  <c r="H367" i="1" a="1"/>
  <c r="H367" i="1" s="1"/>
  <c r="H368" i="1" a="1"/>
  <c r="H368" i="1" s="1"/>
  <c r="B364" i="8" s="1"/>
  <c r="H369" i="1" a="1"/>
  <c r="H369" i="1" s="1"/>
  <c r="H370" i="1" a="1"/>
  <c r="H370" i="1" s="1"/>
  <c r="H371" i="1" a="1"/>
  <c r="H371" i="1" s="1"/>
  <c r="H372" i="1" a="1"/>
  <c r="H372" i="1" s="1"/>
  <c r="B368" i="8" s="1"/>
  <c r="H373" i="1" a="1"/>
  <c r="H373" i="1" s="1"/>
  <c r="H374" i="1" a="1"/>
  <c r="H374" i="1" s="1"/>
  <c r="H375" i="1" a="1"/>
  <c r="H375" i="1" s="1"/>
  <c r="H376" i="1" a="1"/>
  <c r="H376" i="1" s="1"/>
  <c r="B372" i="8" s="1"/>
  <c r="H377" i="1" a="1"/>
  <c r="H377" i="1" s="1"/>
  <c r="H378" i="1" a="1"/>
  <c r="H378" i="1" s="1"/>
  <c r="H379" i="1" a="1"/>
  <c r="H379" i="1" s="1"/>
  <c r="H380" i="1" a="1"/>
  <c r="H380" i="1" s="1"/>
  <c r="B376" i="8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B384" i="8" s="1"/>
  <c r="H389" i="1" a="1"/>
  <c r="H389" i="1" s="1"/>
  <c r="H390" i="1" a="1"/>
  <c r="H390" i="1" s="1"/>
  <c r="H391" i="1" a="1"/>
  <c r="H391" i="1" s="1"/>
  <c r="H392" i="1" a="1"/>
  <c r="H392" i="1" s="1"/>
  <c r="B388" i="8" s="1"/>
  <c r="H393" i="1" a="1"/>
  <c r="H393" i="1" s="1"/>
  <c r="H394" i="1" a="1"/>
  <c r="H394" i="1" s="1"/>
  <c r="H395" i="1" a="1"/>
  <c r="H395" i="1" s="1"/>
  <c r="H396" i="1" a="1"/>
  <c r="H396" i="1" s="1"/>
  <c r="B392" i="8" s="1"/>
  <c r="H397" i="1" a="1"/>
  <c r="H397" i="1" s="1"/>
  <c r="H398" i="1" a="1"/>
  <c r="H398" i="1" s="1"/>
  <c r="H399" i="1" a="1"/>
  <c r="H399" i="1" s="1"/>
  <c r="H400" i="1" a="1"/>
  <c r="H400" i="1" s="1"/>
  <c r="B396" i="8" s="1"/>
  <c r="H401" i="1" a="1"/>
  <c r="H401" i="1" s="1"/>
  <c r="H402" i="1" a="1"/>
  <c r="H402" i="1" s="1"/>
  <c r="H403" i="1" a="1"/>
  <c r="H403" i="1" s="1"/>
  <c r="H404" i="1" a="1"/>
  <c r="H404" i="1" s="1"/>
  <c r="B400" i="8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B408" i="8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B416" i="8" s="1"/>
  <c r="H421" i="1" a="1"/>
  <c r="H421" i="1" s="1"/>
  <c r="H422" i="1" a="1"/>
  <c r="H422" i="1" s="1"/>
  <c r="H423" i="1" a="1"/>
  <c r="H423" i="1" s="1"/>
  <c r="H424" i="1" a="1"/>
  <c r="H424" i="1" s="1"/>
  <c r="B420" i="8" s="1"/>
  <c r="H425" i="1" a="1"/>
  <c r="H425" i="1" s="1"/>
  <c r="H426" i="1" a="1"/>
  <c r="H426" i="1" s="1"/>
  <c r="H427" i="1" a="1"/>
  <c r="H427" i="1" s="1"/>
  <c r="H428" i="1" a="1"/>
  <c r="H428" i="1" s="1"/>
  <c r="B424" i="8" s="1"/>
  <c r="H429" i="1" a="1"/>
  <c r="H429" i="1" s="1"/>
  <c r="H430" i="1" a="1"/>
  <c r="H430" i="1" s="1"/>
  <c r="H431" i="1" a="1"/>
  <c r="H431" i="1" s="1"/>
  <c r="H432" i="1" a="1"/>
  <c r="H432" i="1" s="1"/>
  <c r="B428" i="8" s="1"/>
  <c r="H433" i="1" a="1"/>
  <c r="H433" i="1" s="1"/>
  <c r="H434" i="1" a="1"/>
  <c r="H434" i="1" s="1"/>
  <c r="H435" i="1" a="1"/>
  <c r="H435" i="1" s="1"/>
  <c r="H436" i="1" a="1"/>
  <c r="H436" i="1" s="1"/>
  <c r="B432" i="8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B440" i="8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B448" i="8" s="1"/>
  <c r="H453" i="1" a="1"/>
  <c r="H453" i="1" s="1"/>
  <c r="H454" i="1" a="1"/>
  <c r="H454" i="1" s="1"/>
  <c r="H455" i="1" a="1"/>
  <c r="H455" i="1" s="1"/>
  <c r="H456" i="1" a="1"/>
  <c r="H456" i="1" s="1"/>
  <c r="B452" i="8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B472" i="8" s="1"/>
  <c r="H477" i="1" a="1"/>
  <c r="H477" i="1" s="1"/>
  <c r="H478" i="1" a="1"/>
  <c r="H478" i="1" s="1"/>
  <c r="H479" i="1" a="1"/>
  <c r="H479" i="1" s="1"/>
  <c r="H480" i="1" a="1"/>
  <c r="H480" i="1" s="1"/>
  <c r="B476" i="8" s="1"/>
  <c r="H481" i="1" a="1"/>
  <c r="H481" i="1" s="1"/>
  <c r="H482" i="1" a="1"/>
  <c r="H482" i="1" s="1"/>
  <c r="H483" i="1" a="1"/>
  <c r="H483" i="1" s="1"/>
  <c r="H484" i="1" a="1"/>
  <c r="H484" i="1" s="1"/>
  <c r="B480" i="8" s="1"/>
  <c r="H485" i="1" a="1"/>
  <c r="H485" i="1" s="1"/>
  <c r="H486" i="1" a="1"/>
  <c r="H486" i="1" s="1"/>
  <c r="H487" i="1" a="1"/>
  <c r="H487" i="1" s="1"/>
  <c r="H488" i="1" a="1"/>
  <c r="H488" i="1" s="1"/>
  <c r="B484" i="8" s="1"/>
  <c r="H489" i="1" a="1"/>
  <c r="H489" i="1" s="1"/>
  <c r="H490" i="1" a="1"/>
  <c r="H490" i="1" s="1"/>
  <c r="H491" i="1" a="1"/>
  <c r="H491" i="1" s="1"/>
  <c r="H492" i="1" a="1"/>
  <c r="H492" i="1" s="1"/>
  <c r="B488" i="8" s="1"/>
  <c r="H493" i="1" a="1"/>
  <c r="H493" i="1" s="1"/>
  <c r="H494" i="1" a="1"/>
  <c r="H494" i="1" s="1"/>
  <c r="H495" i="1" a="1"/>
  <c r="H495" i="1" s="1"/>
  <c r="H496" i="1" a="1"/>
  <c r="H496" i="1" s="1"/>
  <c r="B492" i="8" s="1"/>
  <c r="H497" i="1" a="1"/>
  <c r="H497" i="1" s="1"/>
  <c r="H498" i="1" a="1"/>
  <c r="H498" i="1" s="1"/>
  <c r="H499" i="1" a="1"/>
  <c r="H499" i="1" s="1"/>
  <c r="H500" i="1" a="1"/>
  <c r="H500" i="1" s="1"/>
  <c r="B496" i="8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B504" i="8" s="1"/>
  <c r="H509" i="1" a="1"/>
  <c r="H509" i="1" s="1"/>
  <c r="H510" i="1" a="1"/>
  <c r="H510" i="1" s="1"/>
  <c r="H511" i="1" a="1"/>
  <c r="H511" i="1" s="1"/>
  <c r="H512" i="1" a="1"/>
  <c r="H512" i="1" s="1"/>
  <c r="B508" i="8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B516" i="8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B528" i="8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B536" i="8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B544" i="8" s="1"/>
  <c r="H549" i="1" a="1"/>
  <c r="H549" i="1" s="1"/>
  <c r="H550" i="1" a="1"/>
  <c r="H550" i="1" s="1"/>
  <c r="H551" i="1" a="1"/>
  <c r="H551" i="1" s="1"/>
  <c r="H552" i="1" a="1"/>
  <c r="H552" i="1" s="1"/>
  <c r="B548" i="8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B556" i="8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B564" i="8" s="1"/>
  <c r="H569" i="1" a="1"/>
  <c r="H569" i="1" s="1"/>
  <c r="H570" i="1" a="1"/>
  <c r="H570" i="1" s="1"/>
  <c r="H571" i="1" a="1"/>
  <c r="H571" i="1" s="1"/>
  <c r="H572" i="1" a="1"/>
  <c r="H572" i="1" s="1"/>
  <c r="B568" i="8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B575" i="8" s="1"/>
  <c r="H580" i="1" a="1"/>
  <c r="H580" i="1" s="1"/>
  <c r="H581" i="1" a="1"/>
  <c r="H581" i="1" s="1"/>
  <c r="H582" i="1" a="1"/>
  <c r="H582" i="1" s="1"/>
  <c r="B578" i="8" s="1"/>
  <c r="H583" i="1" a="1"/>
  <c r="H583" i="1" s="1"/>
  <c r="H584" i="1" a="1"/>
  <c r="H584" i="1" s="1"/>
  <c r="B580" i="8" s="1"/>
  <c r="H585" i="1" a="1"/>
  <c r="H585" i="1" s="1"/>
  <c r="H586" i="1" a="1"/>
  <c r="H586" i="1" s="1"/>
  <c r="B582" i="8" s="1"/>
  <c r="H587" i="1" a="1"/>
  <c r="H587" i="1" s="1"/>
  <c r="H588" i="1" a="1"/>
  <c r="H588" i="1" s="1"/>
  <c r="H589" i="1" a="1"/>
  <c r="H589" i="1" s="1"/>
  <c r="H590" i="1" a="1"/>
  <c r="H590" i="1" s="1"/>
  <c r="B586" i="8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B592" i="8" s="1"/>
  <c r="H597" i="1" a="1"/>
  <c r="H597" i="1" s="1"/>
  <c r="H598" i="1" a="1"/>
  <c r="H598" i="1" s="1"/>
  <c r="B594" i="8" s="1"/>
  <c r="H599" i="1" a="1"/>
  <c r="H599" i="1" s="1"/>
  <c r="H600" i="1" a="1"/>
  <c r="H600" i="1" s="1"/>
  <c r="B596" i="8" s="1"/>
  <c r="H601" i="1" a="1"/>
  <c r="H601" i="1" s="1"/>
  <c r="H602" i="1" a="1"/>
  <c r="H602" i="1" s="1"/>
  <c r="B598" i="8" s="1"/>
  <c r="H603" i="1" a="1"/>
  <c r="H603" i="1" s="1"/>
  <c r="H604" i="1" a="1"/>
  <c r="H604" i="1" s="1"/>
  <c r="H605" i="1" a="1"/>
  <c r="H605" i="1" s="1"/>
  <c r="H606" i="1" a="1"/>
  <c r="H606" i="1" s="1"/>
  <c r="B602" i="8" s="1"/>
  <c r="H607" i="1" a="1"/>
  <c r="H607" i="1" s="1"/>
  <c r="H608" i="1" a="1"/>
  <c r="H608" i="1" s="1"/>
  <c r="H609" i="1" a="1"/>
  <c r="H609" i="1" s="1"/>
  <c r="H610" i="1" a="1"/>
  <c r="H610" i="1" s="1"/>
  <c r="B606" i="8" s="1"/>
  <c r="H611" i="1" a="1"/>
  <c r="H611" i="1" s="1"/>
  <c r="H612" i="1" a="1"/>
  <c r="H612" i="1" s="1"/>
  <c r="H613" i="1" a="1"/>
  <c r="H613" i="1" s="1"/>
  <c r="H614" i="1" a="1"/>
  <c r="H614" i="1" s="1"/>
  <c r="B610" i="8" s="1"/>
  <c r="H615" i="1" a="1"/>
  <c r="H615" i="1" s="1"/>
  <c r="H616" i="1" a="1"/>
  <c r="H616" i="1" s="1"/>
  <c r="H617" i="1" a="1"/>
  <c r="H617" i="1" s="1"/>
  <c r="H618" i="1" a="1"/>
  <c r="H618" i="1" s="1"/>
  <c r="B614" i="8" s="1"/>
  <c r="H619" i="1" a="1"/>
  <c r="H619" i="1" s="1"/>
  <c r="H620" i="1" a="1"/>
  <c r="H620" i="1" s="1"/>
  <c r="H621" i="1" a="1"/>
  <c r="H621" i="1" s="1"/>
  <c r="H622" i="1" a="1"/>
  <c r="H622" i="1" s="1"/>
  <c r="B618" i="8" s="1"/>
  <c r="H623" i="1" a="1"/>
  <c r="H623" i="1" s="1"/>
  <c r="H624" i="1" a="1"/>
  <c r="H624" i="1" s="1"/>
  <c r="H625" i="1" a="1"/>
  <c r="H625" i="1" s="1"/>
  <c r="H626" i="1" a="1"/>
  <c r="H626" i="1" s="1"/>
  <c r="B622" i="8" s="1"/>
  <c r="H627" i="1" a="1"/>
  <c r="H627" i="1" s="1"/>
  <c r="H628" i="1" a="1"/>
  <c r="H628" i="1" s="1"/>
  <c r="H629" i="1" a="1"/>
  <c r="H629" i="1" s="1"/>
  <c r="H630" i="1" a="1"/>
  <c r="H630" i="1" s="1"/>
  <c r="B626" i="8" s="1"/>
  <c r="H631" i="1" a="1"/>
  <c r="H631" i="1" s="1"/>
  <c r="H632" i="1" a="1"/>
  <c r="H632" i="1" s="1"/>
  <c r="B628" i="8" s="1"/>
  <c r="H633" i="1" a="1"/>
  <c r="H633" i="1" s="1"/>
  <c r="H634" i="1" a="1"/>
  <c r="H634" i="1" s="1"/>
  <c r="B630" i="8" s="1"/>
  <c r="H635" i="1" a="1"/>
  <c r="H635" i="1" s="1"/>
  <c r="H636" i="1" a="1"/>
  <c r="H636" i="1" s="1"/>
  <c r="B632" i="8" s="1"/>
  <c r="H637" i="1" a="1"/>
  <c r="H637" i="1" s="1"/>
  <c r="H638" i="1" a="1"/>
  <c r="H638" i="1" s="1"/>
  <c r="B634" i="8" s="1"/>
  <c r="H639" i="1" a="1"/>
  <c r="H639" i="1" s="1"/>
  <c r="H640" i="1" a="1"/>
  <c r="H640" i="1" s="1"/>
  <c r="B636" i="8" s="1"/>
  <c r="H641" i="1" a="1"/>
  <c r="H641" i="1" s="1"/>
  <c r="H642" i="1" a="1"/>
  <c r="H642" i="1" s="1"/>
  <c r="B638" i="8" s="1"/>
  <c r="H643" i="1" a="1"/>
  <c r="H643" i="1" s="1"/>
  <c r="H644" i="1" a="1"/>
  <c r="H644" i="1" s="1"/>
  <c r="B640" i="8" s="1"/>
  <c r="H645" i="1" a="1"/>
  <c r="H645" i="1" s="1"/>
  <c r="H646" i="1" a="1"/>
  <c r="H646" i="1" s="1"/>
  <c r="H647" i="1" a="1"/>
  <c r="H647" i="1" s="1"/>
  <c r="H648" i="1" a="1"/>
  <c r="H648" i="1" s="1"/>
  <c r="B644" i="8" s="1"/>
  <c r="H649" i="1" a="1"/>
  <c r="H649" i="1" s="1"/>
  <c r="H650" i="1" a="1"/>
  <c r="H650" i="1" s="1"/>
  <c r="B646" i="8" s="1"/>
  <c r="H651" i="1" a="1"/>
  <c r="H651" i="1" s="1"/>
  <c r="H652" i="1" a="1"/>
  <c r="H652" i="1" s="1"/>
  <c r="H653" i="1" a="1"/>
  <c r="H653" i="1" s="1"/>
  <c r="H654" i="1" a="1"/>
  <c r="H654" i="1" s="1"/>
  <c r="B650" i="8" s="1"/>
  <c r="H655" i="1" a="1"/>
  <c r="H655" i="1" s="1"/>
  <c r="H656" i="1" a="1"/>
  <c r="H656" i="1" s="1"/>
  <c r="B652" i="8" s="1"/>
  <c r="H657" i="1" a="1"/>
  <c r="H657" i="1" s="1"/>
  <c r="H658" i="1" a="1"/>
  <c r="H658" i="1" s="1"/>
  <c r="H659" i="1" a="1"/>
  <c r="H659" i="1" s="1"/>
  <c r="H660" i="1" a="1"/>
  <c r="H660" i="1" s="1"/>
  <c r="B656" i="8" s="1"/>
  <c r="H661" i="1" a="1"/>
  <c r="H661" i="1" s="1"/>
  <c r="H662" i="1" a="1"/>
  <c r="H662" i="1" s="1"/>
  <c r="B658" i="8" s="1"/>
  <c r="H663" i="1" a="1"/>
  <c r="H663" i="1" s="1"/>
  <c r="H664" i="1" a="1"/>
  <c r="H664" i="1" s="1"/>
  <c r="B660" i="8" s="1"/>
  <c r="H665" i="1" a="1"/>
  <c r="H665" i="1" s="1"/>
  <c r="H666" i="1" a="1"/>
  <c r="H666" i="1" s="1"/>
  <c r="B662" i="8" s="1"/>
  <c r="H667" i="1" a="1"/>
  <c r="H667" i="1" s="1"/>
  <c r="H668" i="1" a="1"/>
  <c r="H668" i="1" s="1"/>
  <c r="B664" i="8" s="1"/>
  <c r="H669" i="1" a="1"/>
  <c r="H669" i="1" s="1"/>
  <c r="H670" i="1" a="1"/>
  <c r="H670" i="1" s="1"/>
  <c r="B666" i="8" s="1"/>
  <c r="H671" i="1" a="1"/>
  <c r="H671" i="1" s="1"/>
  <c r="H672" i="1" a="1"/>
  <c r="H672" i="1" s="1"/>
  <c r="B668" i="8" s="1"/>
  <c r="H673" i="1" a="1"/>
  <c r="H673" i="1" s="1"/>
  <c r="H674" i="1" a="1"/>
  <c r="H674" i="1" s="1"/>
  <c r="B670" i="8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B676" i="8" s="1"/>
  <c r="H681" i="1" a="1"/>
  <c r="H681" i="1" s="1"/>
  <c r="H682" i="1" a="1"/>
  <c r="H682" i="1" s="1"/>
  <c r="B678" i="8" s="1"/>
  <c r="H683" i="1" a="1"/>
  <c r="H683" i="1" s="1"/>
  <c r="H684" i="1" a="1"/>
  <c r="H684" i="1" s="1"/>
  <c r="B680" i="8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B686" i="8" s="1"/>
  <c r="H691" i="1" a="1"/>
  <c r="H691" i="1" s="1"/>
  <c r="H692" i="1" a="1"/>
  <c r="H692" i="1" s="1"/>
  <c r="B688" i="8" s="1"/>
  <c r="H693" i="1" a="1"/>
  <c r="H693" i="1" s="1"/>
  <c r="H694" i="1" a="1"/>
  <c r="H694" i="1" s="1"/>
  <c r="B690" i="8" s="1"/>
  <c r="H695" i="1" a="1"/>
  <c r="H695" i="1" s="1"/>
  <c r="H696" i="1" a="1"/>
  <c r="H696" i="1" s="1"/>
  <c r="B692" i="8" s="1"/>
  <c r="H697" i="1" a="1"/>
  <c r="H697" i="1" s="1"/>
  <c r="H698" i="1" a="1"/>
  <c r="H698" i="1" s="1"/>
  <c r="B694" i="8" s="1"/>
  <c r="H699" i="1" a="1"/>
  <c r="H699" i="1" s="1"/>
  <c r="H700" i="1" a="1"/>
  <c r="H700" i="1" s="1"/>
  <c r="B696" i="8" s="1"/>
  <c r="H701" i="1" a="1"/>
  <c r="H701" i="1" s="1"/>
  <c r="H702" i="1" a="1"/>
  <c r="H702" i="1" s="1"/>
  <c r="B698" i="8" s="1"/>
  <c r="H703" i="1" a="1"/>
  <c r="H703" i="1" s="1"/>
  <c r="H704" i="1" a="1"/>
  <c r="H704" i="1" s="1"/>
  <c r="B700" i="8" s="1"/>
  <c r="H705" i="1" a="1"/>
  <c r="H705" i="1" s="1"/>
  <c r="H706" i="1" a="1"/>
  <c r="H706" i="1" s="1"/>
  <c r="B702" i="8" s="1"/>
  <c r="H707" i="1" a="1"/>
  <c r="H707" i="1" s="1"/>
  <c r="H708" i="1" a="1"/>
  <c r="H708" i="1" s="1"/>
  <c r="B704" i="8" s="1"/>
  <c r="H709" i="1" a="1"/>
  <c r="H709" i="1" s="1"/>
  <c r="H710" i="1" a="1"/>
  <c r="H710" i="1" s="1"/>
  <c r="B706" i="8" s="1"/>
  <c r="H711" i="1" a="1"/>
  <c r="H711" i="1" s="1"/>
  <c r="H712" i="1" a="1"/>
  <c r="H712" i="1" s="1"/>
  <c r="H713" i="1" a="1"/>
  <c r="H713" i="1" s="1"/>
  <c r="H714" i="1" a="1"/>
  <c r="H714" i="1" s="1"/>
  <c r="B710" i="8" s="1"/>
  <c r="H715" i="1" a="1"/>
  <c r="H715" i="1" s="1"/>
  <c r="H716" i="1" a="1"/>
  <c r="H716" i="1" s="1"/>
  <c r="B712" i="8" s="1"/>
  <c r="H717" i="1" a="1"/>
  <c r="H717" i="1" s="1"/>
  <c r="H718" i="1" a="1"/>
  <c r="H718" i="1" s="1"/>
  <c r="B714" i="8" s="1"/>
  <c r="H719" i="1" a="1"/>
  <c r="H719" i="1" s="1"/>
  <c r="H720" i="1" a="1"/>
  <c r="H720" i="1" s="1"/>
  <c r="H721" i="1" a="1"/>
  <c r="H721" i="1" s="1"/>
  <c r="H722" i="1" a="1"/>
  <c r="H722" i="1" s="1"/>
  <c r="B718" i="8" s="1"/>
  <c r="H723" i="1" a="1"/>
  <c r="H723" i="1" s="1"/>
  <c r="H724" i="1" a="1"/>
  <c r="H724" i="1" s="1"/>
  <c r="B720" i="8" s="1"/>
  <c r="H725" i="1" a="1"/>
  <c r="H725" i="1" s="1"/>
  <c r="H726" i="1" a="1"/>
  <c r="H726" i="1" s="1"/>
  <c r="B722" i="8" s="1"/>
  <c r="H727" i="1" a="1"/>
  <c r="H727" i="1" s="1"/>
  <c r="H728" i="1" a="1"/>
  <c r="H728" i="1" s="1"/>
  <c r="B724" i="8" s="1"/>
  <c r="H729" i="1" a="1"/>
  <c r="H729" i="1" s="1"/>
  <c r="H730" i="1" a="1"/>
  <c r="H730" i="1" s="1"/>
  <c r="B726" i="8" s="1"/>
  <c r="H731" i="1" a="1"/>
  <c r="H731" i="1" s="1"/>
  <c r="H732" i="1" a="1"/>
  <c r="H732" i="1" s="1"/>
  <c r="B728" i="8" s="1"/>
  <c r="H733" i="1" a="1"/>
  <c r="H733" i="1" s="1"/>
  <c r="H734" i="1" a="1"/>
  <c r="H734" i="1" s="1"/>
  <c r="B730" i="8" s="1"/>
  <c r="H735" i="1" a="1"/>
  <c r="H735" i="1" s="1"/>
  <c r="H736" i="1" a="1"/>
  <c r="H736" i="1" s="1"/>
  <c r="B732" i="8" s="1"/>
  <c r="H737" i="1" a="1"/>
  <c r="H737" i="1" s="1"/>
  <c r="H738" i="1" a="1"/>
  <c r="H738" i="1" s="1"/>
  <c r="B734" i="8" s="1"/>
  <c r="H739" i="1" a="1"/>
  <c r="H739" i="1" s="1"/>
  <c r="H740" i="1" a="1"/>
  <c r="H740" i="1" s="1"/>
  <c r="H741" i="1" a="1"/>
  <c r="H741" i="1" s="1"/>
  <c r="H742" i="1" a="1"/>
  <c r="H742" i="1" s="1"/>
  <c r="B738" i="8" s="1"/>
  <c r="H743" i="1" a="1"/>
  <c r="H743" i="1" s="1"/>
  <c r="H744" i="1" a="1"/>
  <c r="H744" i="1" s="1"/>
  <c r="H745" i="1" a="1"/>
  <c r="H745" i="1" s="1"/>
  <c r="H746" i="1" a="1"/>
  <c r="H746" i="1" s="1"/>
  <c r="B742" i="8" s="1"/>
  <c r="H747" i="1" a="1"/>
  <c r="H747" i="1" s="1"/>
  <c r="H748" i="1" a="1"/>
  <c r="H748" i="1" s="1"/>
  <c r="B744" i="8" s="1"/>
  <c r="H749" i="1" a="1"/>
  <c r="H749" i="1" s="1"/>
  <c r="H750" i="1" a="1"/>
  <c r="H750" i="1" s="1"/>
  <c r="B746" i="8" s="1"/>
  <c r="H751" i="1" a="1"/>
  <c r="H751" i="1" s="1"/>
  <c r="H752" i="1" a="1"/>
  <c r="H752" i="1" s="1"/>
  <c r="B748" i="8" s="1"/>
  <c r="H753" i="1" a="1"/>
  <c r="H753" i="1" s="1"/>
  <c r="H754" i="1" a="1"/>
  <c r="H754" i="1" s="1"/>
  <c r="B750" i="8" s="1"/>
  <c r="H755" i="1" a="1"/>
  <c r="H755" i="1" s="1"/>
  <c r="H756" i="1" a="1"/>
  <c r="H756" i="1" s="1"/>
  <c r="B752" i="8" s="1"/>
  <c r="H757" i="1" a="1"/>
  <c r="H757" i="1" s="1"/>
  <c r="H758" i="1" a="1"/>
  <c r="H758" i="1" s="1"/>
  <c r="H759" i="1" a="1"/>
  <c r="H759" i="1" s="1"/>
  <c r="H760" i="1" a="1"/>
  <c r="H760" i="1" s="1"/>
  <c r="B756" i="8" s="1"/>
  <c r="H761" i="1" a="1"/>
  <c r="H761" i="1" s="1"/>
  <c r="H762" i="1" a="1"/>
  <c r="H762" i="1" s="1"/>
  <c r="B758" i="8" s="1"/>
  <c r="H763" i="1" a="1"/>
  <c r="H763" i="1" s="1"/>
  <c r="H764" i="1" a="1"/>
  <c r="H764" i="1" s="1"/>
  <c r="B760" i="8" s="1"/>
  <c r="H765" i="1" a="1"/>
  <c r="H765" i="1" s="1"/>
  <c r="H766" i="1" a="1"/>
  <c r="H766" i="1" s="1"/>
  <c r="B762" i="8" s="1"/>
  <c r="H767" i="1" a="1"/>
  <c r="H767" i="1" s="1"/>
  <c r="H768" i="1" a="1"/>
  <c r="H768" i="1" s="1"/>
  <c r="B764" i="8" s="1"/>
  <c r="H769" i="1" a="1"/>
  <c r="H769" i="1" s="1"/>
  <c r="H770" i="1" a="1"/>
  <c r="H770" i="1" s="1"/>
  <c r="B766" i="8" s="1"/>
  <c r="H771" i="1" a="1"/>
  <c r="H771" i="1" s="1"/>
  <c r="H772" i="1" a="1"/>
  <c r="H772" i="1" s="1"/>
  <c r="B768" i="8" s="1"/>
  <c r="H773" i="1" a="1"/>
  <c r="H773" i="1" s="1"/>
  <c r="H774" i="1" a="1"/>
  <c r="H774" i="1" s="1"/>
  <c r="B770" i="8" s="1"/>
  <c r="H775" i="1" a="1"/>
  <c r="H775" i="1" s="1"/>
  <c r="H776" i="1" a="1"/>
  <c r="H776" i="1" s="1"/>
  <c r="B772" i="8" s="1"/>
  <c r="H777" i="1" a="1"/>
  <c r="H777" i="1" s="1"/>
  <c r="H778" i="1" a="1"/>
  <c r="H778" i="1" s="1"/>
  <c r="B774" i="8" s="1"/>
  <c r="H779" i="1" a="1"/>
  <c r="H779" i="1" s="1"/>
  <c r="H780" i="1" a="1"/>
  <c r="H780" i="1" s="1"/>
  <c r="B776" i="8" s="1"/>
  <c r="H781" i="1" a="1"/>
  <c r="H781" i="1" s="1"/>
  <c r="H782" i="1" a="1"/>
  <c r="H782" i="1" s="1"/>
  <c r="B778" i="8" s="1"/>
  <c r="H783" i="1" a="1"/>
  <c r="H783" i="1" s="1"/>
  <c r="H784" i="1" a="1"/>
  <c r="H784" i="1" s="1"/>
  <c r="B780" i="8" s="1"/>
  <c r="H785" i="1" a="1"/>
  <c r="H785" i="1" s="1"/>
  <c r="H786" i="1" a="1"/>
  <c r="H786" i="1" s="1"/>
  <c r="H787" i="1" a="1"/>
  <c r="H787" i="1" s="1"/>
  <c r="H788" i="1" a="1"/>
  <c r="H788" i="1" s="1"/>
  <c r="B784" i="8" s="1"/>
  <c r="H789" i="1" a="1"/>
  <c r="H789" i="1" s="1"/>
  <c r="H790" i="1" a="1"/>
  <c r="H790" i="1" s="1"/>
  <c r="B786" i="8" s="1"/>
  <c r="H791" i="1" a="1"/>
  <c r="H791" i="1" s="1"/>
  <c r="H792" i="1" a="1"/>
  <c r="H792" i="1" s="1"/>
  <c r="B788" i="8" s="1"/>
  <c r="H793" i="1" a="1"/>
  <c r="H793" i="1" s="1"/>
  <c r="H794" i="1" a="1"/>
  <c r="H794" i="1" s="1"/>
  <c r="B790" i="8" s="1"/>
  <c r="H795" i="1" a="1"/>
  <c r="H795" i="1" s="1"/>
  <c r="H796" i="1" a="1"/>
  <c r="H796" i="1" s="1"/>
  <c r="B792" i="8" s="1"/>
  <c r="H797" i="1" a="1"/>
  <c r="H797" i="1" s="1"/>
  <c r="H798" i="1" a="1"/>
  <c r="H798" i="1" s="1"/>
  <c r="B794" i="8" s="1"/>
  <c r="H799" i="1" a="1"/>
  <c r="H799" i="1" s="1"/>
  <c r="H800" i="1" a="1"/>
  <c r="H800" i="1" s="1"/>
  <c r="B796" i="8" s="1"/>
  <c r="H801" i="1" a="1"/>
  <c r="H801" i="1" s="1"/>
  <c r="H802" i="1" a="1"/>
  <c r="H802" i="1" s="1"/>
  <c r="B798" i="8" s="1"/>
  <c r="H803" i="1" a="1"/>
  <c r="H803" i="1" s="1"/>
  <c r="H804" i="1" a="1"/>
  <c r="H804" i="1" s="1"/>
  <c r="B800" i="8" s="1"/>
  <c r="H805" i="1" a="1"/>
  <c r="H805" i="1" s="1"/>
  <c r="H806" i="1" a="1"/>
  <c r="H806" i="1" s="1"/>
  <c r="B802" i="8" s="1"/>
  <c r="H807" i="1" a="1"/>
  <c r="H807" i="1" s="1"/>
  <c r="H808" i="1" a="1"/>
  <c r="H808" i="1" s="1"/>
  <c r="B804" i="8" s="1"/>
  <c r="H809" i="1" a="1"/>
  <c r="H809" i="1" s="1"/>
  <c r="H810" i="1" a="1"/>
  <c r="H810" i="1" s="1"/>
  <c r="B806" i="8" s="1"/>
  <c r="H811" i="1" a="1"/>
  <c r="H811" i="1" s="1"/>
  <c r="H812" i="1" a="1"/>
  <c r="H812" i="1" s="1"/>
  <c r="B808" i="8" s="1"/>
  <c r="H813" i="1" a="1"/>
  <c r="H813" i="1" s="1"/>
  <c r="H814" i="1" a="1"/>
  <c r="H814" i="1" s="1"/>
  <c r="B810" i="8" s="1"/>
  <c r="H815" i="1" a="1"/>
  <c r="H815" i="1" s="1"/>
  <c r="H816" i="1" a="1"/>
  <c r="H816" i="1" s="1"/>
  <c r="B812" i="8" s="1"/>
  <c r="H817" i="1" a="1"/>
  <c r="H817" i="1" s="1"/>
  <c r="H818" i="1" a="1"/>
  <c r="H818" i="1" s="1"/>
  <c r="B814" i="8" s="1"/>
  <c r="H819" i="1" a="1"/>
  <c r="H819" i="1" s="1"/>
  <c r="H820" i="1" a="1"/>
  <c r="H820" i="1" s="1"/>
  <c r="B816" i="8" s="1"/>
  <c r="H821" i="1" a="1"/>
  <c r="H821" i="1" s="1"/>
  <c r="H822" i="1" a="1"/>
  <c r="H822" i="1" s="1"/>
  <c r="B818" i="8" s="1"/>
  <c r="H823" i="1" a="1"/>
  <c r="H823" i="1" s="1"/>
  <c r="H824" i="1" a="1"/>
  <c r="H824" i="1" s="1"/>
  <c r="B820" i="8" s="1"/>
  <c r="H825" i="1" a="1"/>
  <c r="H825" i="1" s="1"/>
  <c r="H826" i="1" a="1"/>
  <c r="H826" i="1" s="1"/>
  <c r="B822" i="8" s="1"/>
  <c r="H827" i="1" a="1"/>
  <c r="H827" i="1" s="1"/>
  <c r="H828" i="1" a="1"/>
  <c r="H828" i="1" s="1"/>
  <c r="B824" i="8" s="1"/>
  <c r="H829" i="1" a="1"/>
  <c r="H829" i="1" s="1"/>
  <c r="H830" i="1" a="1"/>
  <c r="H830" i="1" s="1"/>
  <c r="B826" i="8" s="1"/>
  <c r="H831" i="1" a="1"/>
  <c r="H831" i="1" s="1"/>
  <c r="H832" i="1" a="1"/>
  <c r="H832" i="1" s="1"/>
  <c r="B828" i="8" s="1"/>
  <c r="H833" i="1" a="1"/>
  <c r="H833" i="1" s="1"/>
  <c r="H834" i="1" a="1"/>
  <c r="H834" i="1" s="1"/>
  <c r="B830" i="8" s="1"/>
  <c r="H835" i="1" a="1"/>
  <c r="H835" i="1" s="1"/>
  <c r="H836" i="1" a="1"/>
  <c r="H836" i="1" s="1"/>
  <c r="B832" i="8" s="1"/>
  <c r="H837" i="1" a="1"/>
  <c r="H837" i="1" s="1"/>
  <c r="H838" i="1" a="1"/>
  <c r="H838" i="1" s="1"/>
  <c r="B834" i="8" s="1"/>
  <c r="H839" i="1" a="1"/>
  <c r="H839" i="1" s="1"/>
  <c r="H840" i="1" a="1"/>
  <c r="H840" i="1" s="1"/>
  <c r="B836" i="8" s="1"/>
  <c r="H841" i="1" a="1"/>
  <c r="H841" i="1" s="1"/>
  <c r="H842" i="1" a="1"/>
  <c r="H842" i="1" s="1"/>
  <c r="B838" i="8" s="1"/>
  <c r="H843" i="1" a="1"/>
  <c r="H843" i="1" s="1"/>
  <c r="H844" i="1" a="1"/>
  <c r="H844" i="1" s="1"/>
  <c r="H845" i="1" a="1"/>
  <c r="H845" i="1" s="1"/>
  <c r="H846" i="1" a="1"/>
  <c r="H846" i="1" s="1"/>
  <c r="B842" i="8" s="1"/>
  <c r="H847" i="1" a="1"/>
  <c r="H847" i="1" s="1"/>
  <c r="H848" i="1" a="1"/>
  <c r="H848" i="1" s="1"/>
  <c r="B844" i="8" s="1"/>
  <c r="H849" i="1" a="1"/>
  <c r="H849" i="1" s="1"/>
  <c r="H850" i="1" a="1"/>
  <c r="H850" i="1" s="1"/>
  <c r="B846" i="8" s="1"/>
  <c r="H851" i="1" a="1"/>
  <c r="H851" i="1" s="1"/>
  <c r="H852" i="1" a="1"/>
  <c r="H852" i="1" s="1"/>
  <c r="B848" i="8" s="1"/>
  <c r="H853" i="1" a="1"/>
  <c r="H853" i="1" s="1"/>
  <c r="H854" i="1" a="1"/>
  <c r="H854" i="1" s="1"/>
  <c r="B850" i="8" s="1"/>
  <c r="H855" i="1" a="1"/>
  <c r="H855" i="1" s="1"/>
  <c r="H856" i="1" a="1"/>
  <c r="H856" i="1" s="1"/>
  <c r="B852" i="8" s="1"/>
  <c r="H857" i="1" a="1"/>
  <c r="H857" i="1" s="1"/>
  <c r="H858" i="1" a="1"/>
  <c r="H858" i="1" s="1"/>
  <c r="B854" i="8" s="1"/>
  <c r="H859" i="1" a="1"/>
  <c r="H859" i="1" s="1"/>
  <c r="H860" i="1" a="1"/>
  <c r="H860" i="1" s="1"/>
  <c r="H861" i="1" a="1"/>
  <c r="H861" i="1" s="1"/>
  <c r="H862" i="1" a="1"/>
  <c r="H862" i="1" s="1"/>
  <c r="B858" i="8" s="1"/>
  <c r="H863" i="1" a="1"/>
  <c r="H863" i="1" s="1"/>
  <c r="H864" i="1" a="1"/>
  <c r="H864" i="1" s="1"/>
  <c r="B860" i="8" s="1"/>
  <c r="H865" i="1" a="1"/>
  <c r="H865" i="1" s="1"/>
  <c r="H866" i="1" a="1"/>
  <c r="H866" i="1" s="1"/>
  <c r="B862" i="8" s="1"/>
  <c r="H867" i="1" a="1"/>
  <c r="H867" i="1" s="1"/>
  <c r="H868" i="1" a="1"/>
  <c r="H868" i="1" s="1"/>
  <c r="B864" i="8" s="1"/>
  <c r="H869" i="1" a="1"/>
  <c r="H869" i="1" s="1"/>
  <c r="H870" i="1" a="1"/>
  <c r="H870" i="1" s="1"/>
  <c r="B866" i="8" s="1"/>
  <c r="H871" i="1" a="1"/>
  <c r="H871" i="1" s="1"/>
  <c r="H872" i="1" a="1"/>
  <c r="H872" i="1" s="1"/>
  <c r="B868" i="8" s="1"/>
  <c r="H873" i="1" a="1"/>
  <c r="H873" i="1" s="1"/>
  <c r="H874" i="1" a="1"/>
  <c r="H874" i="1" s="1"/>
  <c r="B870" i="8" s="1"/>
  <c r="H875" i="1" a="1"/>
  <c r="H875" i="1" s="1"/>
  <c r="H876" i="1" a="1"/>
  <c r="H876" i="1" s="1"/>
  <c r="B872" i="8" s="1"/>
  <c r="H877" i="1" a="1"/>
  <c r="H877" i="1" s="1"/>
  <c r="H878" i="1" a="1"/>
  <c r="H878" i="1" s="1"/>
  <c r="B874" i="8" s="1"/>
  <c r="H879" i="1" a="1"/>
  <c r="H879" i="1" s="1"/>
  <c r="H880" i="1" a="1"/>
  <c r="H880" i="1" s="1"/>
  <c r="B876" i="8" s="1"/>
  <c r="H881" i="1" a="1"/>
  <c r="H881" i="1" s="1"/>
  <c r="H882" i="1" a="1"/>
  <c r="H882" i="1" s="1"/>
  <c r="B878" i="8" s="1"/>
  <c r="H883" i="1" a="1"/>
  <c r="H883" i="1" s="1"/>
  <c r="H884" i="1" a="1"/>
  <c r="H884" i="1" s="1"/>
  <c r="B880" i="8" s="1"/>
  <c r="H885" i="1" a="1"/>
  <c r="H885" i="1" s="1"/>
  <c r="H886" i="1" a="1"/>
  <c r="H886" i="1" s="1"/>
  <c r="B882" i="8" s="1"/>
  <c r="H887" i="1" a="1"/>
  <c r="H887" i="1" s="1"/>
  <c r="H888" i="1" a="1"/>
  <c r="H888" i="1" s="1"/>
  <c r="B884" i="8" s="1"/>
  <c r="H889" i="1" a="1"/>
  <c r="H889" i="1" s="1"/>
  <c r="H890" i="1" a="1"/>
  <c r="H890" i="1" s="1"/>
  <c r="H891" i="1" a="1"/>
  <c r="H891" i="1" s="1"/>
  <c r="H892" i="1" a="1"/>
  <c r="H892" i="1" s="1"/>
  <c r="B888" i="8" s="1"/>
  <c r="H893" i="1" a="1"/>
  <c r="H893" i="1" s="1"/>
  <c r="H894" i="1" a="1"/>
  <c r="H894" i="1" s="1"/>
  <c r="H895" i="1" a="1"/>
  <c r="H895" i="1" s="1"/>
  <c r="H896" i="1" a="1"/>
  <c r="H896" i="1" s="1"/>
  <c r="B892" i="8" s="1"/>
  <c r="H897" i="1" a="1"/>
  <c r="H897" i="1" s="1"/>
  <c r="H898" i="1" a="1"/>
  <c r="H898" i="1" s="1"/>
  <c r="H899" i="1" a="1"/>
  <c r="H899" i="1" s="1"/>
  <c r="H900" i="1" a="1"/>
  <c r="H900" i="1" s="1"/>
  <c r="B896" i="8" s="1"/>
  <c r="H901" i="1" a="1"/>
  <c r="H901" i="1" s="1"/>
  <c r="H902" i="1" a="1"/>
  <c r="H902" i="1" s="1"/>
  <c r="H903" i="1" a="1"/>
  <c r="H903" i="1" s="1"/>
  <c r="H904" i="1" a="1"/>
  <c r="H904" i="1" s="1"/>
  <c r="B900" i="8" s="1"/>
  <c r="H905" i="1" a="1"/>
  <c r="H905" i="1" s="1"/>
  <c r="H906" i="1" a="1"/>
  <c r="H906" i="1" s="1"/>
  <c r="H907" i="1" a="1"/>
  <c r="H907" i="1" s="1"/>
  <c r="H908" i="1" a="1"/>
  <c r="H908" i="1" s="1"/>
  <c r="B904" i="8" s="1"/>
  <c r="H909" i="1" a="1"/>
  <c r="H909" i="1" s="1"/>
  <c r="H910" i="1" a="1"/>
  <c r="H910" i="1" s="1"/>
  <c r="H911" i="1" a="1"/>
  <c r="H911" i="1" s="1"/>
  <c r="H912" i="1" a="1"/>
  <c r="H912" i="1" s="1"/>
  <c r="B908" i="8" s="1"/>
  <c r="H913" i="1" a="1"/>
  <c r="H913" i="1" s="1"/>
  <c r="H914" i="1" a="1"/>
  <c r="H914" i="1" s="1"/>
  <c r="H915" i="1" a="1"/>
  <c r="H915" i="1" s="1"/>
  <c r="H916" i="1" a="1"/>
  <c r="H916" i="1" s="1"/>
  <c r="B912" i="8" s="1"/>
  <c r="H917" i="1" a="1"/>
  <c r="H917" i="1" s="1"/>
  <c r="H918" i="1" a="1"/>
  <c r="H918" i="1" s="1"/>
  <c r="H919" i="1" a="1"/>
  <c r="H919" i="1" s="1"/>
  <c r="H920" i="1" a="1"/>
  <c r="H920" i="1" s="1"/>
  <c r="B916" i="8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B924" i="8" s="1"/>
  <c r="H929" i="1" a="1"/>
  <c r="H929" i="1" s="1"/>
  <c r="H930" i="1" a="1"/>
  <c r="H930" i="1" s="1"/>
  <c r="H931" i="1" a="1"/>
  <c r="H931" i="1" s="1"/>
  <c r="H932" i="1" a="1"/>
  <c r="H932" i="1" s="1"/>
  <c r="B928" i="8" s="1"/>
  <c r="H933" i="1" a="1"/>
  <c r="H933" i="1" s="1"/>
  <c r="H934" i="1" a="1"/>
  <c r="H934" i="1" s="1"/>
  <c r="H935" i="1" a="1"/>
  <c r="H935" i="1" s="1"/>
  <c r="H936" i="1" a="1"/>
  <c r="H936" i="1" s="1"/>
  <c r="B932" i="8" s="1"/>
  <c r="H937" i="1" a="1"/>
  <c r="H937" i="1" s="1"/>
  <c r="H938" i="1" a="1"/>
  <c r="H938" i="1" s="1"/>
  <c r="H939" i="1" a="1"/>
  <c r="H939" i="1" s="1"/>
  <c r="H940" i="1" a="1"/>
  <c r="H940" i="1" s="1"/>
  <c r="B936" i="8" s="1"/>
  <c r="H941" i="1" a="1"/>
  <c r="H941" i="1" s="1"/>
  <c r="H942" i="1" a="1"/>
  <c r="H942" i="1" s="1"/>
  <c r="H943" i="1" a="1"/>
  <c r="H943" i="1" s="1"/>
  <c r="H944" i="1" a="1"/>
  <c r="H944" i="1" s="1"/>
  <c r="B940" i="8" s="1"/>
  <c r="H945" i="1" a="1"/>
  <c r="H945" i="1" s="1"/>
  <c r="H946" i="1" a="1"/>
  <c r="H946" i="1" s="1"/>
  <c r="H947" i="1" a="1"/>
  <c r="H947" i="1" s="1"/>
  <c r="H948" i="1" a="1"/>
  <c r="H948" i="1" s="1"/>
  <c r="B944" i="8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B952" i="8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B8" i="8"/>
  <c r="B64" i="8"/>
  <c r="B216" i="8"/>
  <c r="B456" i="8"/>
  <c r="B520" i="8"/>
  <c r="B584" i="8"/>
  <c r="B616" i="8"/>
  <c r="B708" i="8"/>
  <c r="B120" i="8"/>
  <c r="B200" i="8"/>
  <c r="B232" i="8"/>
  <c r="B264" i="8"/>
  <c r="B348" i="8"/>
  <c r="B412" i="8"/>
  <c r="B460" i="8"/>
  <c r="B552" i="8"/>
  <c r="B600" i="8"/>
  <c r="B604" i="8"/>
  <c r="B612" i="8"/>
  <c r="B620" i="8"/>
  <c r="B624" i="8"/>
  <c r="B648" i="8"/>
  <c r="B684" i="8"/>
  <c r="B716" i="8"/>
  <c r="B740" i="8"/>
  <c r="B948" i="8"/>
  <c r="E4" i="8"/>
  <c r="E5" i="8"/>
  <c r="E8" i="8"/>
  <c r="E9" i="8"/>
  <c r="E12" i="8"/>
  <c r="E13" i="8"/>
  <c r="E16" i="8"/>
  <c r="E17" i="8"/>
  <c r="E20" i="8"/>
  <c r="E21" i="8"/>
  <c r="E24" i="8"/>
  <c r="E25" i="8"/>
  <c r="E28" i="8"/>
  <c r="E29" i="8"/>
  <c r="E32" i="8"/>
  <c r="E33" i="8"/>
  <c r="E36" i="8"/>
  <c r="E37" i="8"/>
  <c r="E40" i="8"/>
  <c r="E41" i="8"/>
  <c r="E44" i="8"/>
  <c r="E45" i="8"/>
  <c r="E48" i="8"/>
  <c r="E49" i="8"/>
  <c r="E52" i="8"/>
  <c r="E53" i="8"/>
  <c r="E56" i="8"/>
  <c r="E57" i="8"/>
  <c r="E60" i="8"/>
  <c r="E61" i="8"/>
  <c r="E64" i="8"/>
  <c r="E65" i="8"/>
  <c r="E68" i="8"/>
  <c r="E69" i="8"/>
  <c r="E72" i="8"/>
  <c r="E73" i="8"/>
  <c r="E76" i="8"/>
  <c r="E77" i="8"/>
  <c r="E80" i="8"/>
  <c r="E81" i="8"/>
  <c r="E84" i="8"/>
  <c r="E85" i="8"/>
  <c r="E88" i="8"/>
  <c r="E89" i="8"/>
  <c r="E92" i="8"/>
  <c r="E93" i="8"/>
  <c r="E96" i="8"/>
  <c r="E97" i="8"/>
  <c r="E100" i="8"/>
  <c r="E101" i="8"/>
  <c r="E104" i="8"/>
  <c r="E105" i="8"/>
  <c r="E108" i="8"/>
  <c r="E109" i="8"/>
  <c r="E112" i="8"/>
  <c r="E113" i="8"/>
  <c r="E116" i="8"/>
  <c r="E117" i="8"/>
  <c r="E120" i="8"/>
  <c r="E121" i="8"/>
  <c r="E124" i="8"/>
  <c r="E125" i="8"/>
  <c r="E128" i="8"/>
  <c r="E129" i="8"/>
  <c r="E132" i="8"/>
  <c r="E133" i="8"/>
  <c r="E136" i="8"/>
  <c r="E137" i="8"/>
  <c r="E140" i="8"/>
  <c r="E141" i="8"/>
  <c r="E144" i="8"/>
  <c r="E145" i="8"/>
  <c r="E148" i="8"/>
  <c r="E149" i="8"/>
  <c r="E152" i="8"/>
  <c r="E153" i="8"/>
  <c r="E156" i="8"/>
  <c r="E157" i="8"/>
  <c r="E160" i="8"/>
  <c r="E161" i="8"/>
  <c r="E164" i="8"/>
  <c r="E165" i="8"/>
  <c r="E168" i="8"/>
  <c r="E169" i="8"/>
  <c r="E172" i="8"/>
  <c r="E173" i="8"/>
  <c r="E174" i="8"/>
  <c r="E176" i="8"/>
  <c r="E177" i="8"/>
  <c r="E180" i="8"/>
  <c r="E181" i="8"/>
  <c r="E184" i="8"/>
  <c r="E185" i="8"/>
  <c r="E186" i="8"/>
  <c r="E188" i="8"/>
  <c r="E189" i="8"/>
  <c r="E190" i="8"/>
  <c r="E192" i="8"/>
  <c r="E193" i="8"/>
  <c r="E196" i="8"/>
  <c r="E197" i="8"/>
  <c r="E198" i="8"/>
  <c r="E200" i="8"/>
  <c r="E201" i="8"/>
  <c r="E202" i="8"/>
  <c r="E204" i="8"/>
  <c r="E205" i="8"/>
  <c r="E208" i="8"/>
  <c r="E209" i="8"/>
  <c r="E212" i="8"/>
  <c r="E213" i="8"/>
  <c r="E214" i="8"/>
  <c r="E216" i="8"/>
  <c r="E217" i="8"/>
  <c r="E220" i="8"/>
  <c r="E221" i="8"/>
  <c r="E224" i="8"/>
  <c r="E225" i="8"/>
  <c r="E228" i="8"/>
  <c r="E229" i="8"/>
  <c r="E232" i="8"/>
  <c r="E233" i="8"/>
  <c r="E236" i="8"/>
  <c r="E237" i="8"/>
  <c r="E238" i="8"/>
  <c r="E240" i="8"/>
  <c r="E241" i="8"/>
  <c r="E244" i="8"/>
  <c r="E245" i="8"/>
  <c r="E248" i="8"/>
  <c r="E249" i="8"/>
  <c r="E250" i="8"/>
  <c r="E252" i="8"/>
  <c r="E253" i="8"/>
  <c r="E254" i="8"/>
  <c r="E256" i="8"/>
  <c r="E257" i="8"/>
  <c r="E260" i="8"/>
  <c r="E261" i="8"/>
  <c r="E262" i="8"/>
  <c r="E264" i="8"/>
  <c r="E265" i="8"/>
  <c r="E266" i="8"/>
  <c r="E268" i="8"/>
  <c r="E269" i="8"/>
  <c r="E272" i="8"/>
  <c r="E273" i="8"/>
  <c r="E276" i="8"/>
  <c r="E277" i="8"/>
  <c r="E278" i="8"/>
  <c r="E280" i="8"/>
  <c r="E281" i="8"/>
  <c r="E284" i="8"/>
  <c r="E285" i="8"/>
  <c r="E288" i="8"/>
  <c r="E289" i="8"/>
  <c r="E292" i="8"/>
  <c r="E293" i="8"/>
  <c r="E296" i="8"/>
  <c r="E297" i="8"/>
  <c r="E300" i="8"/>
  <c r="E301" i="8"/>
  <c r="E302" i="8"/>
  <c r="E304" i="8"/>
  <c r="E305" i="8"/>
  <c r="E308" i="8"/>
  <c r="E309" i="8"/>
  <c r="E312" i="8"/>
  <c r="E313" i="8"/>
  <c r="E314" i="8"/>
  <c r="E316" i="8"/>
  <c r="E317" i="8"/>
  <c r="E318" i="8"/>
  <c r="E320" i="8"/>
  <c r="E321" i="8"/>
  <c r="E324" i="8"/>
  <c r="E325" i="8"/>
  <c r="E326" i="8"/>
  <c r="E328" i="8"/>
  <c r="E329" i="8"/>
  <c r="E330" i="8"/>
  <c r="E332" i="8"/>
  <c r="E333" i="8"/>
  <c r="E336" i="8"/>
  <c r="E337" i="8"/>
  <c r="E340" i="8"/>
  <c r="E341" i="8"/>
  <c r="E342" i="8"/>
  <c r="E344" i="8"/>
  <c r="E345" i="8"/>
  <c r="E348" i="8"/>
  <c r="E349" i="8"/>
  <c r="E352" i="8"/>
  <c r="E353" i="8"/>
  <c r="E356" i="8"/>
  <c r="E357" i="8"/>
  <c r="E360" i="8"/>
  <c r="E361" i="8"/>
  <c r="E364" i="8"/>
  <c r="E365" i="8"/>
  <c r="E366" i="8"/>
  <c r="E368" i="8"/>
  <c r="E369" i="8"/>
  <c r="E372" i="8"/>
  <c r="E373" i="8"/>
  <c r="E376" i="8"/>
  <c r="E377" i="8"/>
  <c r="E380" i="8"/>
  <c r="E381" i="8"/>
  <c r="E382" i="8"/>
  <c r="E384" i="8"/>
  <c r="E385" i="8"/>
  <c r="E388" i="8"/>
  <c r="E389" i="8"/>
  <c r="E392" i="8"/>
  <c r="E393" i="8"/>
  <c r="E394" i="8"/>
  <c r="E396" i="8"/>
  <c r="E397" i="8"/>
  <c r="E400" i="8"/>
  <c r="E401" i="8"/>
  <c r="E404" i="8"/>
  <c r="E405" i="8"/>
  <c r="E406" i="8"/>
  <c r="E408" i="8"/>
  <c r="E409" i="8"/>
  <c r="E412" i="8"/>
  <c r="E413" i="8"/>
  <c r="E416" i="8"/>
  <c r="E417" i="8"/>
  <c r="E420" i="8"/>
  <c r="E421" i="8"/>
  <c r="E424" i="8"/>
  <c r="E425" i="8"/>
  <c r="E428" i="8"/>
  <c r="E429" i="8"/>
  <c r="E430" i="8"/>
  <c r="E432" i="8"/>
  <c r="E433" i="8"/>
  <c r="E436" i="8"/>
  <c r="E437" i="8"/>
  <c r="E440" i="8"/>
  <c r="E441" i="8"/>
  <c r="E442" i="8"/>
  <c r="E444" i="8"/>
  <c r="E445" i="8"/>
  <c r="E446" i="8"/>
  <c r="E448" i="8"/>
  <c r="E449" i="8"/>
  <c r="E452" i="8"/>
  <c r="E453" i="8"/>
  <c r="E454" i="8"/>
  <c r="E456" i="8"/>
  <c r="E457" i="8"/>
  <c r="E458" i="8"/>
  <c r="E460" i="8"/>
  <c r="E461" i="8"/>
  <c r="E464" i="8"/>
  <c r="E465" i="8"/>
  <c r="E468" i="8"/>
  <c r="E469" i="8"/>
  <c r="E472" i="8"/>
  <c r="E473" i="8"/>
  <c r="E476" i="8"/>
  <c r="E477" i="8"/>
  <c r="E480" i="8"/>
  <c r="E481" i="8"/>
  <c r="E484" i="8"/>
  <c r="E485" i="8"/>
  <c r="E488" i="8"/>
  <c r="E489" i="8"/>
  <c r="E492" i="8"/>
  <c r="E493" i="8"/>
  <c r="E496" i="8"/>
  <c r="E497" i="8"/>
  <c r="E500" i="8"/>
  <c r="E501" i="8"/>
  <c r="E504" i="8"/>
  <c r="E505" i="8"/>
  <c r="E508" i="8"/>
  <c r="E509" i="8"/>
  <c r="E512" i="8"/>
  <c r="E513" i="8"/>
  <c r="E516" i="8"/>
  <c r="E517" i="8"/>
  <c r="E520" i="8"/>
  <c r="E521" i="8"/>
  <c r="E524" i="8"/>
  <c r="E525" i="8"/>
  <c r="E527" i="8"/>
  <c r="E528" i="8"/>
  <c r="E529" i="8"/>
  <c r="E532" i="8"/>
  <c r="E533" i="8"/>
  <c r="E536" i="8"/>
  <c r="E537" i="8"/>
  <c r="E540" i="8"/>
  <c r="E541" i="8"/>
  <c r="E544" i="8"/>
  <c r="E545" i="8"/>
  <c r="E548" i="8"/>
  <c r="E549" i="8"/>
  <c r="E552" i="8"/>
  <c r="E553" i="8"/>
  <c r="E556" i="8"/>
  <c r="E557" i="8"/>
  <c r="E560" i="8"/>
  <c r="E561" i="8"/>
  <c r="E564" i="8"/>
  <c r="E565" i="8"/>
  <c r="E568" i="8"/>
  <c r="E569" i="8"/>
  <c r="E572" i="8"/>
  <c r="E573" i="8"/>
  <c r="E576" i="8"/>
  <c r="E577" i="8"/>
  <c r="E580" i="8"/>
  <c r="E581" i="8"/>
  <c r="E584" i="8"/>
  <c r="E585" i="8"/>
  <c r="E588" i="8"/>
  <c r="E589" i="8"/>
  <c r="E591" i="8"/>
  <c r="E592" i="8"/>
  <c r="E593" i="8"/>
  <c r="E596" i="8"/>
  <c r="E597" i="8"/>
  <c r="E600" i="8"/>
  <c r="E601" i="8"/>
  <c r="E604" i="8"/>
  <c r="E605" i="8"/>
  <c r="E608" i="8"/>
  <c r="E609" i="8"/>
  <c r="E612" i="8"/>
  <c r="E613" i="8"/>
  <c r="E616" i="8"/>
  <c r="E617" i="8"/>
  <c r="E620" i="8"/>
  <c r="E621" i="8"/>
  <c r="E624" i="8"/>
  <c r="E625" i="8"/>
  <c r="E628" i="8"/>
  <c r="E629" i="8"/>
  <c r="E632" i="8"/>
  <c r="E633" i="8"/>
  <c r="E636" i="8"/>
  <c r="E637" i="8"/>
  <c r="E640" i="8"/>
  <c r="E641" i="8"/>
  <c r="E644" i="8"/>
  <c r="E645" i="8"/>
  <c r="E648" i="8"/>
  <c r="E649" i="8"/>
  <c r="E652" i="8"/>
  <c r="E653" i="8"/>
  <c r="E655" i="8"/>
  <c r="E656" i="8"/>
  <c r="E657" i="8"/>
  <c r="E660" i="8"/>
  <c r="E661" i="8"/>
  <c r="E664" i="8"/>
  <c r="E665" i="8"/>
  <c r="E668" i="8"/>
  <c r="E669" i="8"/>
  <c r="E672" i="8"/>
  <c r="E673" i="8"/>
  <c r="E676" i="8"/>
  <c r="E677" i="8"/>
  <c r="E680" i="8"/>
  <c r="E681" i="8"/>
  <c r="E684" i="8"/>
  <c r="E685" i="8"/>
  <c r="E688" i="8"/>
  <c r="E689" i="8"/>
  <c r="E692" i="8"/>
  <c r="E693" i="8"/>
  <c r="E696" i="8"/>
  <c r="E697" i="8"/>
  <c r="E700" i="8"/>
  <c r="E701" i="8"/>
  <c r="E704" i="8"/>
  <c r="E705" i="8"/>
  <c r="E708" i="8"/>
  <c r="E709" i="8"/>
  <c r="E712" i="8"/>
  <c r="E713" i="8"/>
  <c r="E716" i="8"/>
  <c r="E717" i="8"/>
  <c r="E719" i="8"/>
  <c r="E720" i="8"/>
  <c r="E721" i="8"/>
  <c r="E724" i="8"/>
  <c r="E725" i="8"/>
  <c r="E728" i="8"/>
  <c r="E729" i="8"/>
  <c r="E732" i="8"/>
  <c r="E733" i="8"/>
  <c r="E736" i="8"/>
  <c r="E737" i="8"/>
  <c r="E740" i="8"/>
  <c r="E741" i="8"/>
  <c r="E744" i="8"/>
  <c r="E745" i="8"/>
  <c r="E748" i="8"/>
  <c r="E749" i="8"/>
  <c r="E752" i="8"/>
  <c r="E753" i="8"/>
  <c r="E756" i="8"/>
  <c r="E757" i="8"/>
  <c r="E758" i="8"/>
  <c r="E760" i="8"/>
  <c r="E761" i="8"/>
  <c r="E762" i="8"/>
  <c r="E764" i="8"/>
  <c r="E765" i="8"/>
  <c r="E768" i="8"/>
  <c r="E769" i="8"/>
  <c r="E772" i="8"/>
  <c r="E773" i="8"/>
  <c r="E774" i="8"/>
  <c r="E776" i="8"/>
  <c r="E777" i="8"/>
  <c r="E778" i="8"/>
  <c r="E780" i="8"/>
  <c r="E781" i="8"/>
  <c r="E784" i="8"/>
  <c r="E785" i="8"/>
  <c r="E788" i="8"/>
  <c r="E789" i="8"/>
  <c r="E790" i="8"/>
  <c r="E792" i="8"/>
  <c r="E793" i="8"/>
  <c r="E794" i="8"/>
  <c r="E796" i="8"/>
  <c r="E797" i="8"/>
  <c r="E800" i="8"/>
  <c r="E801" i="8"/>
  <c r="E804" i="8"/>
  <c r="E805" i="8"/>
  <c r="E806" i="8"/>
  <c r="E808" i="8"/>
  <c r="E809" i="8"/>
  <c r="E810" i="8"/>
  <c r="E812" i="8"/>
  <c r="E813" i="8"/>
  <c r="E816" i="8"/>
  <c r="E817" i="8"/>
  <c r="E820" i="8"/>
  <c r="E821" i="8"/>
  <c r="E822" i="8"/>
  <c r="E824" i="8"/>
  <c r="E825" i="8"/>
  <c r="E826" i="8"/>
  <c r="E828" i="8"/>
  <c r="E829" i="8"/>
  <c r="E832" i="8"/>
  <c r="E833" i="8"/>
  <c r="E836" i="8"/>
  <c r="E837" i="8"/>
  <c r="E838" i="8"/>
  <c r="E840" i="8"/>
  <c r="E841" i="8"/>
  <c r="E842" i="8"/>
  <c r="E844" i="8"/>
  <c r="E845" i="8"/>
  <c r="E848" i="8"/>
  <c r="E849" i="8"/>
  <c r="E852" i="8"/>
  <c r="E853" i="8"/>
  <c r="E854" i="8"/>
  <c r="E856" i="8"/>
  <c r="E857" i="8"/>
  <c r="E858" i="8"/>
  <c r="E860" i="8"/>
  <c r="E861" i="8"/>
  <c r="E864" i="8"/>
  <c r="E865" i="8"/>
  <c r="E868" i="8"/>
  <c r="E869" i="8"/>
  <c r="E870" i="8"/>
  <c r="E872" i="8"/>
  <c r="E873" i="8"/>
  <c r="E874" i="8"/>
  <c r="E876" i="8"/>
  <c r="E880" i="8"/>
  <c r="E881" i="8"/>
  <c r="E884" i="8"/>
  <c r="E885" i="8"/>
  <c r="E886" i="8"/>
  <c r="E888" i="8"/>
  <c r="E889" i="8"/>
  <c r="E890" i="8"/>
  <c r="E892" i="8"/>
  <c r="E896" i="8"/>
  <c r="E897" i="8"/>
  <c r="E900" i="8"/>
  <c r="E901" i="8"/>
  <c r="E902" i="8"/>
  <c r="E904" i="8"/>
  <c r="E905" i="8"/>
  <c r="E906" i="8"/>
  <c r="E908" i="8"/>
  <c r="E912" i="8"/>
  <c r="E913" i="8"/>
  <c r="E916" i="8"/>
  <c r="E917" i="8"/>
  <c r="E918" i="8"/>
  <c r="E920" i="8"/>
  <c r="E921" i="8"/>
  <c r="E922" i="8"/>
  <c r="E924" i="8"/>
  <c r="E928" i="8"/>
  <c r="E929" i="8"/>
  <c r="E932" i="8"/>
  <c r="E933" i="8"/>
  <c r="E934" i="8"/>
  <c r="E936" i="8"/>
  <c r="E937" i="8"/>
  <c r="E938" i="8"/>
  <c r="E940" i="8"/>
  <c r="E944" i="8"/>
  <c r="E945" i="8"/>
  <c r="E949" i="8"/>
  <c r="E950" i="8"/>
  <c r="E953" i="8"/>
  <c r="E961" i="8"/>
  <c r="E965" i="8"/>
  <c r="E969" i="8"/>
  <c r="E973" i="8"/>
  <c r="E974" i="8"/>
  <c r="E981" i="8"/>
  <c r="E985" i="8"/>
  <c r="E986" i="8"/>
  <c r="E993" i="8"/>
  <c r="E994" i="8"/>
  <c r="E995" i="8"/>
  <c r="E1001" i="8"/>
  <c r="E1002" i="8"/>
  <c r="E1005" i="8"/>
  <c r="D3" i="8"/>
  <c r="A1000" i="8"/>
  <c r="A1001" i="8"/>
  <c r="A1002" i="8"/>
  <c r="A1003" i="8"/>
  <c r="A1004" i="8"/>
  <c r="A1005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2" i="8"/>
  <c r="D16" i="8"/>
  <c r="D20" i="8"/>
  <c r="D28" i="8"/>
  <c r="D36" i="8"/>
  <c r="D45" i="8"/>
  <c r="D52" i="8"/>
  <c r="G5" i="4"/>
  <c r="F5" i="7"/>
  <c r="G5" i="7"/>
  <c r="G5" i="5"/>
  <c r="F5" i="5"/>
  <c r="B16" i="8"/>
  <c r="B24" i="8"/>
  <c r="B40" i="8"/>
  <c r="B48" i="8"/>
  <c r="B56" i="8"/>
  <c r="B72" i="8"/>
  <c r="B80" i="8"/>
  <c r="B88" i="8"/>
  <c r="B104" i="8"/>
  <c r="B128" i="8"/>
  <c r="B144" i="8"/>
  <c r="B168" i="8"/>
  <c r="B196" i="8"/>
  <c r="B204" i="8"/>
  <c r="B208" i="8"/>
  <c r="B212" i="8"/>
  <c r="B224" i="8"/>
  <c r="B236" i="8"/>
  <c r="B240" i="8"/>
  <c r="B248" i="8"/>
  <c r="B252" i="8"/>
  <c r="B256" i="8"/>
  <c r="B260" i="8"/>
  <c r="B268" i="8"/>
  <c r="B272" i="8"/>
  <c r="B276" i="8"/>
  <c r="B316" i="8"/>
  <c r="B380" i="8"/>
  <c r="B404" i="8"/>
  <c r="B436" i="8"/>
  <c r="B444" i="8"/>
  <c r="B464" i="8"/>
  <c r="B468" i="8"/>
  <c r="B500" i="8"/>
  <c r="B512" i="8"/>
  <c r="B524" i="8"/>
  <c r="B532" i="8"/>
  <c r="B540" i="8"/>
  <c r="B560" i="8"/>
  <c r="B572" i="8"/>
  <c r="B588" i="8"/>
  <c r="B590" i="8"/>
  <c r="B608" i="8"/>
  <c r="B642" i="8"/>
  <c r="B654" i="8"/>
  <c r="B672" i="8"/>
  <c r="B674" i="8"/>
  <c r="B682" i="8"/>
  <c r="B736" i="8"/>
  <c r="B754" i="8"/>
  <c r="B782" i="8"/>
  <c r="B840" i="8"/>
  <c r="B856" i="8"/>
  <c r="B920" i="8"/>
  <c r="G5" i="1"/>
  <c r="A1" i="8" s="1"/>
  <c r="F5" i="1"/>
  <c r="C19" i="8"/>
  <c r="C27" i="8"/>
  <c r="C36" i="8"/>
  <c r="C67" i="8"/>
  <c r="C75" i="8"/>
  <c r="C87" i="8"/>
  <c r="C111" i="8"/>
  <c r="C116" i="8"/>
  <c r="C123" i="8"/>
  <c r="C139" i="8"/>
  <c r="C147" i="8"/>
  <c r="C163" i="8"/>
  <c r="C164" i="8"/>
  <c r="C171" i="8"/>
  <c r="C195" i="8"/>
  <c r="C203" i="8"/>
  <c r="C219" i="8"/>
  <c r="C231" i="8"/>
  <c r="C243" i="8"/>
  <c r="C251" i="8"/>
  <c r="C258" i="8"/>
  <c r="C271" i="8"/>
  <c r="C283" i="8"/>
  <c r="C303" i="8"/>
  <c r="C335" i="8"/>
  <c r="C363" i="8"/>
  <c r="C375" i="8"/>
  <c r="C380" i="8"/>
  <c r="C387" i="8"/>
  <c r="C420" i="8"/>
  <c r="C443" i="8"/>
  <c r="C532" i="8"/>
  <c r="C556" i="8"/>
  <c r="C744" i="8"/>
  <c r="C776" i="8"/>
  <c r="C968" i="8"/>
  <c r="G5" i="2"/>
  <c r="H5" i="2"/>
  <c r="F5" i="2"/>
  <c r="D342" i="8" l="1"/>
  <c r="D122" i="8"/>
  <c r="E6" i="8"/>
  <c r="E26" i="8"/>
  <c r="D162" i="8"/>
  <c r="D338" i="8"/>
  <c r="D862" i="8"/>
  <c r="D286" i="8"/>
  <c r="D643" i="8"/>
  <c r="D567" i="8"/>
  <c r="D437" i="8"/>
  <c r="D351" i="8"/>
  <c r="D242" i="8"/>
  <c r="D69" i="8"/>
  <c r="D783" i="8"/>
  <c r="D695" i="8"/>
  <c r="D92" i="8"/>
  <c r="D72" i="8"/>
  <c r="D62" i="8"/>
  <c r="D13" i="8"/>
  <c r="D706" i="8"/>
  <c r="D918" i="8"/>
  <c r="D905" i="8"/>
  <c r="D848" i="8"/>
  <c r="D842" i="8"/>
  <c r="D806" i="8"/>
  <c r="D769" i="8"/>
  <c r="D758" i="8"/>
  <c r="D748" i="8"/>
  <c r="D736" i="8"/>
  <c r="D720" i="8"/>
  <c r="D694" i="8"/>
  <c r="D678" i="8"/>
  <c r="D668" i="8"/>
  <c r="D645" i="8"/>
  <c r="D611" i="8"/>
  <c r="D599" i="8"/>
  <c r="D598" i="8"/>
  <c r="D582" i="8"/>
  <c r="D577" i="8"/>
  <c r="D554" i="8"/>
  <c r="D547" i="8"/>
  <c r="D533" i="8"/>
  <c r="D528" i="8"/>
  <c r="D524" i="8"/>
  <c r="D517" i="8"/>
  <c r="D507" i="8"/>
  <c r="D503" i="8"/>
  <c r="D491" i="8"/>
  <c r="D485" i="8"/>
  <c r="D476" i="8"/>
  <c r="D445" i="8"/>
  <c r="D444" i="8"/>
  <c r="D435" i="8"/>
  <c r="D421" i="8"/>
  <c r="D415" i="8"/>
  <c r="D406" i="8"/>
  <c r="D400" i="8"/>
  <c r="D380" i="8"/>
  <c r="D359" i="8"/>
  <c r="D353" i="8"/>
  <c r="D343" i="8"/>
  <c r="D337" i="8"/>
  <c r="D331" i="8"/>
  <c r="D326" i="8"/>
  <c r="D322" i="8"/>
  <c r="D316" i="8"/>
  <c r="D308" i="8"/>
  <c r="D297" i="8"/>
  <c r="D293" i="8"/>
  <c r="D287" i="8"/>
  <c r="D279" i="8"/>
  <c r="D254" i="8"/>
  <c r="D245" i="8"/>
  <c r="D234" i="8"/>
  <c r="D226" i="8"/>
  <c r="D221" i="8"/>
  <c r="D220" i="8"/>
  <c r="D198" i="8"/>
  <c r="D190" i="8"/>
  <c r="D175" i="8"/>
  <c r="D169" i="8"/>
  <c r="D158" i="8"/>
  <c r="D135" i="8"/>
  <c r="D129" i="8"/>
  <c r="D121" i="8"/>
  <c r="D113" i="8"/>
  <c r="D104" i="8"/>
  <c r="D87" i="8"/>
  <c r="D83" i="8"/>
  <c r="D77" i="8"/>
  <c r="D71" i="8"/>
  <c r="D65" i="8"/>
  <c r="D55" i="8"/>
  <c r="D51" i="8"/>
  <c r="D41" i="8"/>
  <c r="D29" i="8"/>
  <c r="D22" i="8"/>
  <c r="D10" i="8"/>
  <c r="D996" i="8"/>
  <c r="D988" i="8"/>
  <c r="D980" i="8"/>
  <c r="D972" i="8"/>
  <c r="D940" i="8"/>
  <c r="D932" i="8"/>
  <c r="D924" i="8"/>
  <c r="D916" i="8"/>
  <c r="D884" i="8"/>
  <c r="D876" i="8"/>
  <c r="D868" i="8"/>
  <c r="D860" i="8"/>
  <c r="D841" i="8"/>
  <c r="D820" i="8"/>
  <c r="D798" i="8"/>
  <c r="D788" i="8"/>
  <c r="D756" i="8"/>
  <c r="D724" i="8"/>
  <c r="D713" i="8"/>
  <c r="D702" i="8"/>
  <c r="D692" i="8"/>
  <c r="D681" i="8"/>
  <c r="D660" i="8"/>
  <c r="D638" i="8"/>
  <c r="D617" i="8"/>
  <c r="D606" i="8"/>
  <c r="D596" i="8"/>
  <c r="D574" i="8"/>
  <c r="D553" i="8"/>
  <c r="D500" i="8"/>
  <c r="D489" i="8"/>
  <c r="D478" i="8"/>
  <c r="D468" i="8"/>
  <c r="D457" i="8"/>
  <c r="D414" i="8"/>
  <c r="D393" i="8"/>
  <c r="D372" i="8"/>
  <c r="D350" i="8"/>
  <c r="D336" i="8"/>
  <c r="D315" i="8"/>
  <c r="D251" i="8"/>
  <c r="D228" i="8"/>
  <c r="D100" i="8"/>
  <c r="D80" i="8"/>
  <c r="D59" i="8"/>
  <c r="D1001" i="8"/>
  <c r="D989" i="8"/>
  <c r="D973" i="8"/>
  <c r="D961" i="8"/>
  <c r="D945" i="8"/>
  <c r="D930" i="8"/>
  <c r="D926" i="8"/>
  <c r="D910" i="8"/>
  <c r="D877" i="8"/>
  <c r="D873" i="8"/>
  <c r="D869" i="8"/>
  <c r="D799" i="8"/>
  <c r="D789" i="8"/>
  <c r="D784" i="8"/>
  <c r="D778" i="8"/>
  <c r="D771" i="8"/>
  <c r="D731" i="8"/>
  <c r="D727" i="8"/>
  <c r="D716" i="8"/>
  <c r="D710" i="8"/>
  <c r="D675" i="8"/>
  <c r="D671" i="8"/>
  <c r="D650" i="8"/>
  <c r="D630" i="8"/>
  <c r="D624" i="8"/>
  <c r="D618" i="8"/>
  <c r="D614" i="8"/>
  <c r="D609" i="8"/>
  <c r="D604" i="8"/>
  <c r="D575" i="8"/>
  <c r="D561" i="8"/>
  <c r="D556" i="8"/>
  <c r="D549" i="8"/>
  <c r="D545" i="8"/>
  <c r="D531" i="8"/>
  <c r="D513" i="8"/>
  <c r="D483" i="8"/>
  <c r="D470" i="8"/>
  <c r="D464" i="8"/>
  <c r="D459" i="8"/>
  <c r="D458" i="8"/>
  <c r="D454" i="8"/>
  <c r="D448" i="8"/>
  <c r="D433" i="8"/>
  <c r="D427" i="8"/>
  <c r="D423" i="8"/>
  <c r="D419" i="8"/>
  <c r="D394" i="8"/>
  <c r="D389" i="8"/>
  <c r="D384" i="8"/>
  <c r="D378" i="8"/>
  <c r="D367" i="8"/>
  <c r="D363" i="8"/>
  <c r="D357" i="8"/>
  <c r="D339" i="8"/>
  <c r="D335" i="8"/>
  <c r="D329" i="8"/>
  <c r="D318" i="8"/>
  <c r="D314" i="8"/>
  <c r="D295" i="8"/>
  <c r="D289" i="8"/>
  <c r="D285" i="8"/>
  <c r="D281" i="8"/>
  <c r="D275" i="8"/>
  <c r="D262" i="8"/>
  <c r="D258" i="8"/>
  <c r="D238" i="8"/>
  <c r="D232" i="8"/>
  <c r="D224" i="8"/>
  <c r="D212" i="8"/>
  <c r="D207" i="8"/>
  <c r="D206" i="8"/>
  <c r="D177" i="8"/>
  <c r="D171" i="8"/>
  <c r="D161" i="8"/>
  <c r="D150" i="8"/>
  <c r="D133" i="8"/>
  <c r="D127" i="8"/>
  <c r="D119" i="8"/>
  <c r="D111" i="8"/>
  <c r="D93" i="8"/>
  <c r="D89" i="8"/>
  <c r="D85" i="8"/>
  <c r="D79" i="8"/>
  <c r="D73" i="8"/>
  <c r="D63" i="8"/>
  <c r="D57" i="8"/>
  <c r="D53" i="8"/>
  <c r="D49" i="8"/>
  <c r="D43" i="8"/>
  <c r="D37" i="8"/>
  <c r="D31" i="8"/>
  <c r="D14" i="8"/>
  <c r="D864" i="8"/>
  <c r="D846" i="8"/>
  <c r="D814" i="8"/>
  <c r="D804" i="8"/>
  <c r="D793" i="8"/>
  <c r="D750" i="8"/>
  <c r="D686" i="8"/>
  <c r="D590" i="8"/>
  <c r="D526" i="8"/>
  <c r="D505" i="8"/>
  <c r="D398" i="8"/>
  <c r="D388" i="8"/>
  <c r="D345" i="8"/>
  <c r="D324" i="8"/>
  <c r="D196" i="8"/>
  <c r="D994" i="8"/>
  <c r="D982" i="8"/>
  <c r="D966" i="8"/>
  <c r="D954" i="8"/>
  <c r="D933" i="8"/>
  <c r="D929" i="8"/>
  <c r="D925" i="8"/>
  <c r="D902" i="8"/>
  <c r="D889" i="8"/>
  <c r="D882" i="8"/>
  <c r="D849" i="8"/>
  <c r="D843" i="8"/>
  <c r="D839" i="8"/>
  <c r="D833" i="8"/>
  <c r="D828" i="8"/>
  <c r="D819" i="8"/>
  <c r="D807" i="8"/>
  <c r="D787" i="8"/>
  <c r="D764" i="8"/>
  <c r="D759" i="8"/>
  <c r="D755" i="8"/>
  <c r="D743" i="8"/>
  <c r="D737" i="8"/>
  <c r="D730" i="8"/>
  <c r="D725" i="8"/>
  <c r="D721" i="8"/>
  <c r="D715" i="8"/>
  <c r="D709" i="8"/>
  <c r="D705" i="8"/>
  <c r="D689" i="8"/>
  <c r="D679" i="8"/>
  <c r="D659" i="8"/>
  <c r="D646" i="8"/>
  <c r="D629" i="8"/>
  <c r="D623" i="8"/>
  <c r="D613" i="8"/>
  <c r="D608" i="8"/>
  <c r="D603" i="8"/>
  <c r="D595" i="8"/>
  <c r="D583" i="8"/>
  <c r="D566" i="8"/>
  <c r="D560" i="8"/>
  <c r="D555" i="8"/>
  <c r="D529" i="8"/>
  <c r="D512" i="8"/>
  <c r="D499" i="8"/>
  <c r="D492" i="8"/>
  <c r="D487" i="8"/>
  <c r="D486" i="8"/>
  <c r="D469" i="8"/>
  <c r="D463" i="8"/>
  <c r="D451" i="8"/>
  <c r="D447" i="8"/>
  <c r="D426" i="8"/>
  <c r="D422" i="8"/>
  <c r="D412" i="8"/>
  <c r="D407" i="8"/>
  <c r="D401" i="8"/>
  <c r="D387" i="8"/>
  <c r="D371" i="8"/>
  <c r="D328" i="8"/>
  <c r="D317" i="8"/>
  <c r="D313" i="8"/>
  <c r="D309" i="8"/>
  <c r="D303" i="8"/>
  <c r="D294" i="8"/>
  <c r="D288" i="8"/>
  <c r="D284" i="8"/>
  <c r="D273" i="8"/>
  <c r="D267" i="8"/>
  <c r="D261" i="8"/>
  <c r="D241" i="8"/>
  <c r="D237" i="8"/>
  <c r="D231" i="8"/>
  <c r="D223" i="8"/>
  <c r="D217" i="8"/>
  <c r="D211" i="8"/>
  <c r="D205" i="8"/>
  <c r="D199" i="8"/>
  <c r="D191" i="8"/>
  <c r="D149" i="8"/>
  <c r="D136" i="8"/>
  <c r="D114" i="8"/>
  <c r="D105" i="8"/>
  <c r="D67" i="8"/>
  <c r="D66" i="8"/>
  <c r="D30" i="8"/>
  <c r="D23" i="8"/>
  <c r="D17" i="8"/>
  <c r="D7" i="8"/>
  <c r="D983" i="8"/>
  <c r="D967" i="8"/>
  <c r="D951" i="8"/>
  <c r="D919" i="8"/>
  <c r="D903" i="8"/>
  <c r="D863" i="8"/>
  <c r="D834" i="8"/>
  <c r="D813" i="8"/>
  <c r="D802" i="8"/>
  <c r="D792" i="8"/>
  <c r="D770" i="8"/>
  <c r="D749" i="8"/>
  <c r="D738" i="8"/>
  <c r="D696" i="8"/>
  <c r="D685" i="8"/>
  <c r="D674" i="8"/>
  <c r="D653" i="8"/>
  <c r="D589" i="8"/>
  <c r="D525" i="8"/>
  <c r="D504" i="8"/>
  <c r="D493" i="8"/>
  <c r="D482" i="8"/>
  <c r="D408" i="8"/>
  <c r="D397" i="8"/>
  <c r="D344" i="8"/>
  <c r="D323" i="8"/>
  <c r="D300" i="8"/>
  <c r="D280" i="8"/>
  <c r="D195" i="8"/>
  <c r="D88" i="8"/>
  <c r="D24" i="8"/>
  <c r="D993" i="8"/>
  <c r="D981" i="8"/>
  <c r="D965" i="8"/>
  <c r="D953" i="8"/>
  <c r="D938" i="8"/>
  <c r="D881" i="8"/>
  <c r="D832" i="8"/>
  <c r="D812" i="8"/>
  <c r="D801" i="8"/>
  <c r="D791" i="8"/>
  <c r="D780" i="8"/>
  <c r="D773" i="8"/>
  <c r="D763" i="8"/>
  <c r="D752" i="8"/>
  <c r="D742" i="8"/>
  <c r="D714" i="8"/>
  <c r="D704" i="8"/>
  <c r="D700" i="8"/>
  <c r="D688" i="8"/>
  <c r="D683" i="8"/>
  <c r="D682" i="8"/>
  <c r="D673" i="8"/>
  <c r="D652" i="8"/>
  <c r="D559" i="8"/>
  <c r="D1002" i="8"/>
  <c r="D990" i="8"/>
  <c r="D986" i="8"/>
  <c r="D974" i="8"/>
  <c r="D958" i="8"/>
  <c r="D946" i="8"/>
  <c r="D941" i="8"/>
  <c r="D937" i="8"/>
  <c r="D917" i="8"/>
  <c r="D898" i="8"/>
  <c r="D874" i="8"/>
  <c r="D870" i="8"/>
  <c r="D865" i="8"/>
  <c r="D861" i="8"/>
  <c r="D847" i="8"/>
  <c r="D835" i="8"/>
  <c r="D821" i="8"/>
  <c r="D811" i="8"/>
  <c r="D805" i="8"/>
  <c r="D800" i="8"/>
  <c r="D795" i="8"/>
  <c r="D794" i="8"/>
  <c r="D790" i="8"/>
  <c r="D785" i="8"/>
  <c r="D779" i="8"/>
  <c r="D762" i="8"/>
  <c r="D757" i="8"/>
  <c r="D751" i="8"/>
  <c r="D741" i="8"/>
  <c r="D723" i="8"/>
  <c r="D707" i="8"/>
  <c r="D703" i="8"/>
  <c r="D699" i="8"/>
  <c r="D693" i="8"/>
  <c r="D687" i="8"/>
  <c r="D672" i="8"/>
  <c r="D667" i="8"/>
  <c r="D661" i="8"/>
  <c r="D657" i="8"/>
  <c r="D651" i="8"/>
  <c r="D631" i="8"/>
  <c r="D625" i="8"/>
  <c r="D615" i="8"/>
  <c r="D597" i="8"/>
  <c r="D591" i="8"/>
  <c r="D587" i="8"/>
  <c r="D581" i="8"/>
  <c r="D576" i="8"/>
  <c r="D527" i="8"/>
  <c r="D506" i="8"/>
  <c r="D501" i="8"/>
  <c r="D490" i="8"/>
  <c r="D479" i="8"/>
  <c r="D475" i="8"/>
  <c r="D465" i="8"/>
  <c r="D455" i="8"/>
  <c r="D449" i="8"/>
  <c r="D443" i="8"/>
  <c r="D428" i="8"/>
  <c r="D405" i="8"/>
  <c r="D399" i="8"/>
  <c r="D395" i="8"/>
  <c r="D391" i="8"/>
  <c r="D385" i="8"/>
  <c r="D379" i="8"/>
  <c r="D373" i="8"/>
  <c r="D368" i="8"/>
  <c r="D364" i="8"/>
  <c r="D346" i="8"/>
  <c r="D330" i="8"/>
  <c r="D325" i="8"/>
  <c r="D321" i="8"/>
  <c r="D311" i="8"/>
  <c r="D307" i="8"/>
  <c r="D301" i="8"/>
  <c r="D290" i="8"/>
  <c r="D265" i="8"/>
  <c r="D253" i="8"/>
  <c r="D244" i="8"/>
  <c r="D239" i="8"/>
  <c r="D233" i="8"/>
  <c r="D225" i="8"/>
  <c r="D213" i="8"/>
  <c r="D209" i="8"/>
  <c r="D203" i="8"/>
  <c r="D197" i="8"/>
  <c r="D189" i="8"/>
  <c r="D174" i="8"/>
  <c r="D168" i="8"/>
  <c r="D157" i="8"/>
  <c r="D153" i="8"/>
  <c r="D147" i="8"/>
  <c r="D139" i="8"/>
  <c r="D134" i="8"/>
  <c r="D128" i="8"/>
  <c r="D107" i="8"/>
  <c r="D101" i="8"/>
  <c r="D94" i="8"/>
  <c r="D86" i="8"/>
  <c r="D58" i="8"/>
  <c r="D50" i="8"/>
  <c r="D39" i="8"/>
  <c r="D38" i="8"/>
  <c r="D34" i="8"/>
  <c r="D21" i="8"/>
  <c r="D15" i="8"/>
  <c r="D9" i="8"/>
  <c r="D1003" i="8"/>
  <c r="D995" i="8"/>
  <c r="D987" i="8"/>
  <c r="D979" i="8"/>
  <c r="D955" i="8"/>
  <c r="D947" i="8"/>
  <c r="D939" i="8"/>
  <c r="D931" i="8"/>
  <c r="D923" i="8"/>
  <c r="D883" i="8"/>
  <c r="D875" i="8"/>
  <c r="D867" i="8"/>
  <c r="D840" i="8"/>
  <c r="D829" i="8"/>
  <c r="D818" i="8"/>
  <c r="D808" i="8"/>
  <c r="D797" i="8"/>
  <c r="D776" i="8"/>
  <c r="D765" i="8"/>
  <c r="D744" i="8"/>
  <c r="D722" i="8"/>
  <c r="D701" i="8"/>
  <c r="D680" i="8"/>
  <c r="D658" i="8"/>
  <c r="D637" i="8"/>
  <c r="D616" i="8"/>
  <c r="D605" i="8"/>
  <c r="D584" i="8"/>
  <c r="D573" i="8"/>
  <c r="D562" i="8"/>
  <c r="D520" i="8"/>
  <c r="D477" i="8"/>
  <c r="D456" i="8"/>
  <c r="D434" i="8"/>
  <c r="D413" i="8"/>
  <c r="D402" i="8"/>
  <c r="D392" i="8"/>
  <c r="D370" i="8"/>
  <c r="D349" i="8"/>
  <c r="D312" i="8"/>
  <c r="D268" i="8"/>
  <c r="D227" i="8"/>
  <c r="D163" i="8"/>
  <c r="D120" i="8"/>
  <c r="D99" i="8"/>
  <c r="D76" i="8"/>
  <c r="D56" i="8"/>
  <c r="D35" i="8"/>
  <c r="D8" i="8"/>
  <c r="C226" i="8"/>
  <c r="C778" i="8"/>
  <c r="C962" i="8"/>
  <c r="C834" i="8"/>
  <c r="C950" i="8"/>
  <c r="C697" i="8"/>
  <c r="C61" i="8"/>
  <c r="C992" i="8"/>
  <c r="C906" i="8"/>
  <c r="C612" i="8"/>
  <c r="C843" i="8"/>
  <c r="C474" i="8"/>
  <c r="C106" i="8"/>
  <c r="C170" i="8"/>
  <c r="C991" i="8"/>
  <c r="C928" i="8"/>
  <c r="C886" i="8"/>
  <c r="C842" i="8"/>
  <c r="C696" i="8"/>
  <c r="C473" i="8"/>
  <c r="C233" i="8"/>
  <c r="C4" i="8"/>
  <c r="C971" i="8"/>
  <c r="C927" i="8"/>
  <c r="C864" i="8"/>
  <c r="C822" i="8"/>
  <c r="C725" i="8"/>
  <c r="C669" i="8"/>
  <c r="C432" i="8"/>
  <c r="C117" i="8"/>
  <c r="C970" i="8"/>
  <c r="C907" i="8"/>
  <c r="C863" i="8"/>
  <c r="C800" i="8"/>
  <c r="C724" i="8"/>
  <c r="C640" i="8"/>
  <c r="C581" i="8"/>
  <c r="C389" i="8"/>
  <c r="C63" i="8"/>
  <c r="C747" i="8"/>
  <c r="C739" i="8"/>
  <c r="C562" i="8"/>
  <c r="C554" i="8"/>
  <c r="C470" i="8"/>
  <c r="C466" i="8"/>
  <c r="C418" i="8"/>
  <c r="C406" i="8"/>
  <c r="C354" i="8"/>
  <c r="C346" i="8"/>
  <c r="C154" i="8"/>
  <c r="C42" i="8"/>
  <c r="C803" i="8"/>
  <c r="C626" i="8"/>
  <c r="C602" i="8"/>
  <c r="C522" i="8"/>
  <c r="C506" i="8"/>
  <c r="C442" i="8"/>
  <c r="C438" i="8"/>
  <c r="C386" i="8"/>
  <c r="C378" i="8"/>
  <c r="C98" i="8"/>
  <c r="C1005" i="8"/>
  <c r="C997" i="8"/>
  <c r="C985" i="8"/>
  <c r="C977" i="8"/>
  <c r="C961" i="8"/>
  <c r="C949" i="8"/>
  <c r="C937" i="8"/>
  <c r="C925" i="8"/>
  <c r="C917" i="8"/>
  <c r="C905" i="8"/>
  <c r="C893" i="8"/>
  <c r="C881" i="8"/>
  <c r="C869" i="8"/>
  <c r="C857" i="8"/>
  <c r="C845" i="8"/>
  <c r="C837" i="8"/>
  <c r="C825" i="8"/>
  <c r="C813" i="8"/>
  <c r="C791" i="8"/>
  <c r="C765" i="8"/>
  <c r="C757" i="8"/>
  <c r="C735" i="8"/>
  <c r="C723" i="8"/>
  <c r="C711" i="8"/>
  <c r="C699" i="8"/>
  <c r="C687" i="8"/>
  <c r="C679" i="8"/>
  <c r="C667" i="8"/>
  <c r="C655" i="8"/>
  <c r="C643" i="8"/>
  <c r="C635" i="8"/>
  <c r="C625" i="8"/>
  <c r="C617" i="8"/>
  <c r="C605" i="8"/>
  <c r="C591" i="8"/>
  <c r="C579" i="8"/>
  <c r="C557" i="8"/>
  <c r="C535" i="8"/>
  <c r="C513" i="8"/>
  <c r="C451" i="8"/>
  <c r="C517" i="8"/>
  <c r="C176" i="8"/>
  <c r="C120" i="8"/>
  <c r="C988" i="8"/>
  <c r="C964" i="8"/>
  <c r="C932" i="8"/>
  <c r="C908" i="8"/>
  <c r="C860" i="8"/>
  <c r="C836" i="8"/>
  <c r="C828" i="8"/>
  <c r="C805" i="8"/>
  <c r="C798" i="8"/>
  <c r="C775" i="8"/>
  <c r="C764" i="8"/>
  <c r="C741" i="8"/>
  <c r="C734" i="8"/>
  <c r="C710" i="8"/>
  <c r="C686" i="8"/>
  <c r="C678" i="8"/>
  <c r="C627" i="8"/>
  <c r="C604" i="8"/>
  <c r="C574" i="8"/>
  <c r="C549" i="8"/>
  <c r="C483" i="8"/>
  <c r="C475" i="8"/>
  <c r="C465" i="8"/>
  <c r="C1001" i="8"/>
  <c r="C989" i="8"/>
  <c r="C973" i="8"/>
  <c r="C965" i="8"/>
  <c r="C953" i="8"/>
  <c r="C941" i="8"/>
  <c r="C929" i="8"/>
  <c r="C921" i="8"/>
  <c r="C909" i="8"/>
  <c r="C897" i="8"/>
  <c r="C885" i="8"/>
  <c r="C873" i="8"/>
  <c r="C861" i="8"/>
  <c r="C853" i="8"/>
  <c r="C841" i="8"/>
  <c r="C829" i="8"/>
  <c r="C817" i="8"/>
  <c r="C806" i="8"/>
  <c r="C795" i="8"/>
  <c r="C783" i="8"/>
  <c r="C772" i="8"/>
  <c r="C761" i="8"/>
  <c r="C749" i="8"/>
  <c r="C727" i="8"/>
  <c r="C715" i="8"/>
  <c r="C707" i="8"/>
  <c r="C695" i="8"/>
  <c r="C683" i="8"/>
  <c r="C671" i="8"/>
  <c r="C659" i="8"/>
  <c r="C647" i="8"/>
  <c r="C621" i="8"/>
  <c r="C609" i="8"/>
  <c r="C587" i="8"/>
  <c r="C575" i="8"/>
  <c r="C564" i="8"/>
  <c r="C521" i="8"/>
  <c r="C509" i="8"/>
  <c r="C495" i="8"/>
  <c r="C469" i="8"/>
  <c r="C455" i="8"/>
  <c r="C779" i="8"/>
  <c r="C1004" i="8"/>
  <c r="C972" i="8"/>
  <c r="C940" i="8"/>
  <c r="C892" i="8"/>
  <c r="C876" i="8"/>
  <c r="C844" i="8"/>
  <c r="C809" i="8"/>
  <c r="C771" i="8"/>
  <c r="C748" i="8"/>
  <c r="C726" i="8"/>
  <c r="C694" i="8"/>
  <c r="C670" i="8"/>
  <c r="C601" i="8"/>
  <c r="C590" i="8"/>
  <c r="C582" i="8"/>
  <c r="C567" i="8"/>
  <c r="C545" i="8"/>
  <c r="C523" i="8"/>
  <c r="C505" i="8"/>
  <c r="C479" i="8"/>
  <c r="C3" i="8"/>
  <c r="C999" i="8"/>
  <c r="C995" i="8"/>
  <c r="C987" i="8"/>
  <c r="C983" i="8"/>
  <c r="C979" i="8"/>
  <c r="C975" i="8"/>
  <c r="C967" i="8"/>
  <c r="C963" i="8"/>
  <c r="C955" i="8"/>
  <c r="C951" i="8"/>
  <c r="C947" i="8"/>
  <c r="C943" i="8"/>
  <c r="C935" i="8"/>
  <c r="C931" i="8"/>
  <c r="C923" i="8"/>
  <c r="C919" i="8"/>
  <c r="C915" i="8"/>
  <c r="C911" i="8"/>
  <c r="C903" i="8"/>
  <c r="C899" i="8"/>
  <c r="C891" i="8"/>
  <c r="C887" i="8"/>
  <c r="C883" i="8"/>
  <c r="C879" i="8"/>
  <c r="C871" i="8"/>
  <c r="C867" i="8"/>
  <c r="C859" i="8"/>
  <c r="C855" i="8"/>
  <c r="C851" i="8"/>
  <c r="C847" i="8"/>
  <c r="C839" i="8"/>
  <c r="C835" i="8"/>
  <c r="C827" i="8"/>
  <c r="C823" i="8"/>
  <c r="C819" i="8"/>
  <c r="C815" i="8"/>
  <c r="C804" i="8"/>
  <c r="C801" i="8"/>
  <c r="C797" i="8"/>
  <c r="C793" i="8"/>
  <c r="C789" i="8"/>
  <c r="C785" i="8"/>
  <c r="C781" i="8"/>
  <c r="C774" i="8"/>
  <c r="C767" i="8"/>
  <c r="C763" i="8"/>
  <c r="C759" i="8"/>
  <c r="C755" i="8"/>
  <c r="C751" i="8"/>
  <c r="C737" i="8"/>
  <c r="C733" i="8"/>
  <c r="C729" i="8"/>
  <c r="C721" i="8"/>
  <c r="C717" i="8"/>
  <c r="C713" i="8"/>
  <c r="C705" i="8"/>
  <c r="C701" i="8"/>
  <c r="C693" i="8"/>
  <c r="C689" i="8"/>
  <c r="C685" i="8"/>
  <c r="C677" i="8"/>
  <c r="C673" i="8"/>
  <c r="C665" i="8"/>
  <c r="C661" i="8"/>
  <c r="C657" i="8"/>
  <c r="C649" i="8"/>
  <c r="C645" i="8"/>
  <c r="C641" i="8"/>
  <c r="C637" i="8"/>
  <c r="C630" i="8"/>
  <c r="C623" i="8"/>
  <c r="C619" i="8"/>
  <c r="C615" i="8"/>
  <c r="C611" i="8"/>
  <c r="C607" i="8"/>
  <c r="C603" i="8"/>
  <c r="C593" i="8"/>
  <c r="C589" i="8"/>
  <c r="C585" i="8"/>
  <c r="C577" i="8"/>
  <c r="C573" i="8"/>
  <c r="C566" i="8"/>
  <c r="C559" i="8"/>
  <c r="C555" i="8"/>
  <c r="C533" i="8"/>
  <c r="C519" i="8"/>
  <c r="C515" i="8"/>
  <c r="C511" i="8"/>
  <c r="C507" i="8"/>
  <c r="C497" i="8"/>
  <c r="C493" i="8"/>
  <c r="C467" i="8"/>
  <c r="C457" i="8"/>
  <c r="C1003" i="8"/>
  <c r="C982" i="8"/>
  <c r="C939" i="8"/>
  <c r="C918" i="8"/>
  <c r="C875" i="8"/>
  <c r="C854" i="8"/>
  <c r="C811" i="8"/>
  <c r="C790" i="8"/>
  <c r="C740" i="8"/>
  <c r="C682" i="8"/>
  <c r="C654" i="8"/>
  <c r="C597" i="8"/>
  <c r="C569" i="8"/>
  <c r="C538" i="8"/>
  <c r="C453" i="8"/>
  <c r="C319" i="8"/>
  <c r="C261" i="8"/>
  <c r="C205" i="8"/>
  <c r="C91" i="8"/>
  <c r="C35" i="8"/>
  <c r="C993" i="8"/>
  <c r="C981" i="8"/>
  <c r="C969" i="8"/>
  <c r="C957" i="8"/>
  <c r="C945" i="8"/>
  <c r="C933" i="8"/>
  <c r="C913" i="8"/>
  <c r="C901" i="8"/>
  <c r="C889" i="8"/>
  <c r="C877" i="8"/>
  <c r="C865" i="8"/>
  <c r="C849" i="8"/>
  <c r="C833" i="8"/>
  <c r="C821" i="8"/>
  <c r="C787" i="8"/>
  <c r="C769" i="8"/>
  <c r="C753" i="8"/>
  <c r="C742" i="8"/>
  <c r="C731" i="8"/>
  <c r="C719" i="8"/>
  <c r="C703" i="8"/>
  <c r="C691" i="8"/>
  <c r="C675" i="8"/>
  <c r="C663" i="8"/>
  <c r="C651" i="8"/>
  <c r="C639" i="8"/>
  <c r="C628" i="8"/>
  <c r="C613" i="8"/>
  <c r="C598" i="8"/>
  <c r="C583" i="8"/>
  <c r="C571" i="8"/>
  <c r="C561" i="8"/>
  <c r="C531" i="8"/>
  <c r="C491" i="8"/>
  <c r="C996" i="8"/>
  <c r="C956" i="8"/>
  <c r="C924" i="8"/>
  <c r="C900" i="8"/>
  <c r="C868" i="8"/>
  <c r="C812" i="8"/>
  <c r="C782" i="8"/>
  <c r="C756" i="8"/>
  <c r="C745" i="8"/>
  <c r="C718" i="8"/>
  <c r="C702" i="8"/>
  <c r="C662" i="8"/>
  <c r="C646" i="8"/>
  <c r="C631" i="8"/>
  <c r="C620" i="8"/>
  <c r="C563" i="8"/>
  <c r="C541" i="8"/>
  <c r="C527" i="8"/>
  <c r="C501" i="8"/>
  <c r="C487" i="8"/>
  <c r="C471" i="8"/>
  <c r="C461" i="8"/>
  <c r="C948" i="8"/>
  <c r="C884" i="8"/>
  <c r="C820" i="8"/>
  <c r="C799" i="8"/>
  <c r="C666" i="8"/>
  <c r="C638" i="8"/>
  <c r="C553" i="8"/>
  <c r="C345" i="8"/>
  <c r="C175" i="8"/>
  <c r="C998" i="8"/>
  <c r="C990" i="8"/>
  <c r="C974" i="8"/>
  <c r="C966" i="8"/>
  <c r="C958" i="8"/>
  <c r="C942" i="8"/>
  <c r="C934" i="8"/>
  <c r="C926" i="8"/>
  <c r="C910" i="8"/>
  <c r="C902" i="8"/>
  <c r="C894" i="8"/>
  <c r="C878" i="8"/>
  <c r="C870" i="8"/>
  <c r="C862" i="8"/>
  <c r="C846" i="8"/>
  <c r="C838" i="8"/>
  <c r="C830" i="8"/>
  <c r="C814" i="8"/>
  <c r="C807" i="8"/>
  <c r="C796" i="8"/>
  <c r="C780" i="8"/>
  <c r="C777" i="8"/>
  <c r="C773" i="8"/>
  <c r="C758" i="8"/>
  <c r="C750" i="8"/>
  <c r="C743" i="8"/>
  <c r="C732" i="8"/>
  <c r="C716" i="8"/>
  <c r="C708" i="8"/>
  <c r="C700" i="8"/>
  <c r="C692" i="8"/>
  <c r="C684" i="8"/>
  <c r="C676" i="8"/>
  <c r="C668" i="8"/>
  <c r="C660" i="8"/>
  <c r="C652" i="8"/>
  <c r="C644" i="8"/>
  <c r="C636" i="8"/>
  <c r="C633" i="8"/>
  <c r="C629" i="8"/>
  <c r="C622" i="8"/>
  <c r="C614" i="8"/>
  <c r="C606" i="8"/>
  <c r="C599" i="8"/>
  <c r="C595" i="8"/>
  <c r="C588" i="8"/>
  <c r="C580" i="8"/>
  <c r="C572" i="8"/>
  <c r="C565" i="8"/>
  <c r="C551" i="8"/>
  <c r="C547" i="8"/>
  <c r="C543" i="8"/>
  <c r="C539" i="8"/>
  <c r="C529" i="8"/>
  <c r="C525" i="8"/>
  <c r="C503" i="8"/>
  <c r="C499" i="8"/>
  <c r="C489" i="8"/>
  <c r="C485" i="8"/>
  <c r="C481" i="8"/>
  <c r="C477" i="8"/>
  <c r="C463" i="8"/>
  <c r="C459" i="8"/>
  <c r="C980" i="8"/>
  <c r="C959" i="8"/>
  <c r="C916" i="8"/>
  <c r="C895" i="8"/>
  <c r="C852" i="8"/>
  <c r="C831" i="8"/>
  <c r="C788" i="8"/>
  <c r="C766" i="8"/>
  <c r="C709" i="8"/>
  <c r="C681" i="8"/>
  <c r="C653" i="8"/>
  <c r="C596" i="8"/>
  <c r="C537" i="8"/>
  <c r="B3" i="8"/>
  <c r="B998" i="8"/>
  <c r="B986" i="8"/>
  <c r="B974" i="8"/>
  <c r="B962" i="8"/>
  <c r="B1005" i="8"/>
  <c r="B997" i="8"/>
  <c r="B989" i="8"/>
  <c r="B981" i="8"/>
  <c r="B973" i="8"/>
  <c r="B965" i="8"/>
  <c r="B957" i="8"/>
  <c r="B949" i="8"/>
  <c r="B941" i="8"/>
  <c r="B933" i="8"/>
  <c r="B925" i="8"/>
  <c r="B1004" i="8"/>
  <c r="B1000" i="8"/>
  <c r="B996" i="8"/>
  <c r="B992" i="8"/>
  <c r="B988" i="8"/>
  <c r="B984" i="8"/>
  <c r="B980" i="8"/>
  <c r="B976" i="8"/>
  <c r="B972" i="8"/>
  <c r="B968" i="8"/>
  <c r="B964" i="8"/>
  <c r="B960" i="8"/>
  <c r="B956" i="8"/>
  <c r="B1003" i="8"/>
  <c r="B999" i="8"/>
  <c r="B995" i="8"/>
  <c r="B991" i="8"/>
  <c r="B987" i="8"/>
  <c r="B983" i="8"/>
  <c r="B979" i="8"/>
  <c r="B975" i="8"/>
  <c r="B971" i="8"/>
  <c r="B967" i="8"/>
  <c r="B963" i="8"/>
  <c r="B959" i="8"/>
  <c r="B955" i="8"/>
  <c r="B951" i="8"/>
  <c r="B947" i="8"/>
  <c r="B943" i="8"/>
  <c r="B939" i="8"/>
  <c r="B935" i="8"/>
  <c r="B931" i="8"/>
  <c r="B927" i="8"/>
  <c r="B923" i="8"/>
  <c r="B994" i="8"/>
  <c r="B978" i="8"/>
  <c r="B966" i="8"/>
  <c r="B954" i="8"/>
  <c r="B950" i="8"/>
  <c r="B946" i="8"/>
  <c r="B942" i="8"/>
  <c r="B938" i="8"/>
  <c r="B934" i="8"/>
  <c r="B930" i="8"/>
  <c r="B926" i="8"/>
  <c r="B922" i="8"/>
  <c r="B918" i="8"/>
  <c r="B914" i="8"/>
  <c r="B910" i="8"/>
  <c r="B906" i="8"/>
  <c r="B902" i="8"/>
  <c r="B898" i="8"/>
  <c r="B894" i="8"/>
  <c r="B890" i="8"/>
  <c r="B886" i="8"/>
  <c r="B1002" i="8"/>
  <c r="B990" i="8"/>
  <c r="B982" i="8"/>
  <c r="B970" i="8"/>
  <c r="B958" i="8"/>
  <c r="B1001" i="8"/>
  <c r="B993" i="8"/>
  <c r="B985" i="8"/>
  <c r="B977" i="8"/>
  <c r="B969" i="8"/>
  <c r="B961" i="8"/>
  <c r="B953" i="8"/>
  <c r="B945" i="8"/>
  <c r="B937" i="8"/>
  <c r="B929" i="8"/>
  <c r="B921" i="8"/>
  <c r="B917" i="8"/>
  <c r="B913" i="8"/>
  <c r="B909" i="8"/>
  <c r="B905" i="8"/>
  <c r="B901" i="8"/>
  <c r="B897" i="8"/>
  <c r="B893" i="8"/>
  <c r="B889" i="8"/>
  <c r="B885" i="8"/>
  <c r="B881" i="8"/>
  <c r="B877" i="8"/>
  <c r="B873" i="8"/>
  <c r="B869" i="8"/>
  <c r="B574" i="8"/>
  <c r="B570" i="8"/>
  <c r="B566" i="8"/>
  <c r="B562" i="8"/>
  <c r="B558" i="8"/>
  <c r="B554" i="8"/>
  <c r="B550" i="8"/>
  <c r="B546" i="8"/>
  <c r="B542" i="8"/>
  <c r="B538" i="8"/>
  <c r="B534" i="8"/>
  <c r="B530" i="8"/>
  <c r="B526" i="8"/>
  <c r="B522" i="8"/>
  <c r="B518" i="8"/>
  <c r="B514" i="8"/>
  <c r="B510" i="8"/>
  <c r="B506" i="8"/>
  <c r="B502" i="8"/>
  <c r="B498" i="8"/>
  <c r="B494" i="8"/>
  <c r="B490" i="8"/>
  <c r="B486" i="8"/>
  <c r="B482" i="8"/>
  <c r="B478" i="8"/>
  <c r="B474" i="8"/>
  <c r="B470" i="8"/>
  <c r="B466" i="8"/>
  <c r="B462" i="8"/>
  <c r="B458" i="8"/>
  <c r="B454" i="8"/>
  <c r="B450" i="8"/>
  <c r="B446" i="8"/>
  <c r="B442" i="8"/>
  <c r="B438" i="8"/>
  <c r="B434" i="8"/>
  <c r="B430" i="8"/>
  <c r="B426" i="8"/>
  <c r="B422" i="8"/>
  <c r="B418" i="8"/>
  <c r="B414" i="8"/>
  <c r="B410" i="8"/>
  <c r="B406" i="8"/>
  <c r="B402" i="8"/>
  <c r="B398" i="8"/>
  <c r="B394" i="8"/>
  <c r="B390" i="8"/>
  <c r="B386" i="8"/>
  <c r="B382" i="8"/>
  <c r="B378" i="8"/>
  <c r="B374" i="8"/>
  <c r="B370" i="8"/>
  <c r="B366" i="8"/>
  <c r="B362" i="8"/>
  <c r="B358" i="8"/>
  <c r="B354" i="8"/>
  <c r="B350" i="8"/>
  <c r="B346" i="8"/>
  <c r="B342" i="8"/>
  <c r="B338" i="8"/>
  <c r="B334" i="8"/>
  <c r="B330" i="8"/>
  <c r="B326" i="8"/>
  <c r="B322" i="8"/>
  <c r="B318" i="8"/>
  <c r="B314" i="8"/>
  <c r="B310" i="8"/>
  <c r="B306" i="8"/>
  <c r="B302" i="8"/>
  <c r="B298" i="8"/>
  <c r="B294" i="8"/>
  <c r="B290" i="8"/>
  <c r="B286" i="8"/>
  <c r="B282" i="8"/>
  <c r="B278" i="8"/>
  <c r="B274" i="8"/>
  <c r="B270" i="8"/>
  <c r="B266" i="8"/>
  <c r="B262" i="8"/>
  <c r="B258" i="8"/>
  <c r="B254" i="8"/>
  <c r="B250" i="8"/>
  <c r="B246" i="8"/>
  <c r="B242" i="8"/>
  <c r="B238" i="8"/>
  <c r="B234" i="8"/>
  <c r="B230" i="8"/>
  <c r="B226" i="8"/>
  <c r="B222" i="8"/>
  <c r="B218" i="8"/>
  <c r="B214" i="8"/>
  <c r="B210" i="8"/>
  <c r="B206" i="8"/>
  <c r="B202" i="8"/>
  <c r="B198" i="8"/>
  <c r="B194" i="8"/>
  <c r="B190" i="8"/>
  <c r="B186" i="8"/>
  <c r="B182" i="8"/>
  <c r="B178" i="8"/>
  <c r="B174" i="8"/>
  <c r="B170" i="8"/>
  <c r="B166" i="8"/>
  <c r="B162" i="8"/>
  <c r="B158" i="8"/>
  <c r="B154" i="8"/>
  <c r="B150" i="8"/>
  <c r="B146" i="8"/>
  <c r="B142" i="8"/>
  <c r="B138" i="8"/>
  <c r="B134" i="8"/>
  <c r="B130" i="8"/>
  <c r="B126" i="8"/>
  <c r="B122" i="8"/>
  <c r="B118" i="8"/>
  <c r="B114" i="8"/>
  <c r="B110" i="8"/>
  <c r="B106" i="8"/>
  <c r="B102" i="8"/>
  <c r="B98" i="8"/>
  <c r="B94" i="8"/>
  <c r="B90" i="8"/>
  <c r="B86" i="8"/>
  <c r="B82" i="8"/>
  <c r="B78" i="8"/>
  <c r="B74" i="8"/>
  <c r="B70" i="8"/>
  <c r="B66" i="8"/>
  <c r="B62" i="8"/>
  <c r="B58" i="8"/>
  <c r="B54" i="8"/>
  <c r="B50" i="8"/>
  <c r="B46" i="8"/>
  <c r="B42" i="8"/>
  <c r="B38" i="8"/>
  <c r="B34" i="8"/>
  <c r="B30" i="8"/>
  <c r="B26" i="8"/>
  <c r="B22" i="8"/>
  <c r="B18" i="8"/>
  <c r="B14" i="8"/>
  <c r="B10" i="8"/>
  <c r="B6" i="8"/>
  <c r="B865" i="8"/>
  <c r="B861" i="8"/>
  <c r="B857" i="8"/>
  <c r="B853" i="8"/>
  <c r="B849" i="8"/>
  <c r="B845" i="8"/>
  <c r="B841" i="8"/>
  <c r="B837" i="8"/>
  <c r="B833" i="8"/>
  <c r="B829" i="8"/>
  <c r="B825" i="8"/>
  <c r="B821" i="8"/>
  <c r="B817" i="8"/>
  <c r="B813" i="8"/>
  <c r="B809" i="8"/>
  <c r="B805" i="8"/>
  <c r="B801" i="8"/>
  <c r="B797" i="8"/>
  <c r="B793" i="8"/>
  <c r="B789" i="8"/>
  <c r="B785" i="8"/>
  <c r="B781" i="8"/>
  <c r="B777" i="8"/>
  <c r="B773" i="8"/>
  <c r="B769" i="8"/>
  <c r="B765" i="8"/>
  <c r="B761" i="8"/>
  <c r="B757" i="8"/>
  <c r="B753" i="8"/>
  <c r="B749" i="8"/>
  <c r="B745" i="8"/>
  <c r="B741" i="8"/>
  <c r="B737" i="8"/>
  <c r="B733" i="8"/>
  <c r="B729" i="8"/>
  <c r="B725" i="8"/>
  <c r="B721" i="8"/>
  <c r="B717" i="8"/>
  <c r="B713" i="8"/>
  <c r="B709" i="8"/>
  <c r="B705" i="8"/>
  <c r="B701" i="8"/>
  <c r="B697" i="8"/>
  <c r="B693" i="8"/>
  <c r="B689" i="8"/>
  <c r="B685" i="8"/>
  <c r="B681" i="8"/>
  <c r="B677" i="8"/>
  <c r="B673" i="8"/>
  <c r="B669" i="8"/>
  <c r="B665" i="8"/>
  <c r="B661" i="8"/>
  <c r="B657" i="8"/>
  <c r="B653" i="8"/>
  <c r="B649" i="8"/>
  <c r="B645" i="8"/>
  <c r="B641" i="8"/>
  <c r="B637" i="8"/>
  <c r="B633" i="8"/>
  <c r="B629" i="8"/>
  <c r="B625" i="8"/>
  <c r="B621" i="8"/>
  <c r="B617" i="8"/>
  <c r="B613" i="8"/>
  <c r="B609" i="8"/>
  <c r="B605" i="8"/>
  <c r="B601" i="8"/>
  <c r="B597" i="8"/>
  <c r="B593" i="8"/>
  <c r="B589" i="8"/>
  <c r="B585" i="8"/>
  <c r="B581" i="8"/>
  <c r="B577" i="8"/>
  <c r="B573" i="8"/>
  <c r="B569" i="8"/>
  <c r="B565" i="8"/>
  <c r="B561" i="8"/>
  <c r="B557" i="8"/>
  <c r="B553" i="8"/>
  <c r="B549" i="8"/>
  <c r="B545" i="8"/>
  <c r="B541" i="8"/>
  <c r="B537" i="8"/>
  <c r="B533" i="8"/>
  <c r="B529" i="8"/>
  <c r="B525" i="8"/>
  <c r="B521" i="8"/>
  <c r="B517" i="8"/>
  <c r="B513" i="8"/>
  <c r="B509" i="8"/>
  <c r="B505" i="8"/>
  <c r="B501" i="8"/>
  <c r="B497" i="8"/>
  <c r="B493" i="8"/>
  <c r="B489" i="8"/>
  <c r="B485" i="8"/>
  <c r="B481" i="8"/>
  <c r="B477" i="8"/>
  <c r="B473" i="8"/>
  <c r="B469" i="8"/>
  <c r="B465" i="8"/>
  <c r="B461" i="8"/>
  <c r="B457" i="8"/>
  <c r="B453" i="8"/>
  <c r="B449" i="8"/>
  <c r="B445" i="8"/>
  <c r="B441" i="8"/>
  <c r="B437" i="8"/>
  <c r="B433" i="8"/>
  <c r="B429" i="8"/>
  <c r="B425" i="8"/>
  <c r="B421" i="8"/>
  <c r="B417" i="8"/>
  <c r="B413" i="8"/>
  <c r="B409" i="8"/>
  <c r="B405" i="8"/>
  <c r="B401" i="8"/>
  <c r="B397" i="8"/>
  <c r="B393" i="8"/>
  <c r="B389" i="8"/>
  <c r="B385" i="8"/>
  <c r="B381" i="8"/>
  <c r="B377" i="8"/>
  <c r="B373" i="8"/>
  <c r="B369" i="8"/>
  <c r="B365" i="8"/>
  <c r="B361" i="8"/>
  <c r="B357" i="8"/>
  <c r="B353" i="8"/>
  <c r="B349" i="8"/>
  <c r="B345" i="8"/>
  <c r="B341" i="8"/>
  <c r="B337" i="8"/>
  <c r="B333" i="8"/>
  <c r="B329" i="8"/>
  <c r="B325" i="8"/>
  <c r="B321" i="8"/>
  <c r="B317" i="8"/>
  <c r="B313" i="8"/>
  <c r="B309" i="8"/>
  <c r="B305" i="8"/>
  <c r="B301" i="8"/>
  <c r="B297" i="8"/>
  <c r="B293" i="8"/>
  <c r="B289" i="8"/>
  <c r="B285" i="8"/>
  <c r="B281" i="8"/>
  <c r="B277" i="8"/>
  <c r="B273" i="8"/>
  <c r="B269" i="8"/>
  <c r="B265" i="8"/>
  <c r="B261" i="8"/>
  <c r="B257" i="8"/>
  <c r="B253" i="8"/>
  <c r="B249" i="8"/>
  <c r="B245" i="8"/>
  <c r="B241" i="8"/>
  <c r="B237" i="8"/>
  <c r="B233" i="8"/>
  <c r="B229" i="8"/>
  <c r="B225" i="8"/>
  <c r="B221" i="8"/>
  <c r="B217" i="8"/>
  <c r="B213" i="8"/>
  <c r="B209" i="8"/>
  <c r="B205" i="8"/>
  <c r="B201" i="8"/>
  <c r="B197" i="8"/>
  <c r="B193" i="8"/>
  <c r="B189" i="8"/>
  <c r="B185" i="8"/>
  <c r="B181" i="8"/>
  <c r="B177" i="8"/>
  <c r="B173" i="8"/>
  <c r="B169" i="8"/>
  <c r="B165" i="8"/>
  <c r="B161" i="8"/>
  <c r="B157" i="8"/>
  <c r="B153" i="8"/>
  <c r="B149" i="8"/>
  <c r="B145" i="8"/>
  <c r="B141" i="8"/>
  <c r="B137" i="8"/>
  <c r="B133" i="8"/>
  <c r="B129" i="8"/>
  <c r="B125" i="8"/>
  <c r="B121" i="8"/>
  <c r="B117" i="8"/>
  <c r="B113" i="8"/>
  <c r="B109" i="8"/>
  <c r="B105" i="8"/>
  <c r="B101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B576" i="8"/>
  <c r="B919" i="8"/>
  <c r="B915" i="8"/>
  <c r="B911" i="8"/>
  <c r="B907" i="8"/>
  <c r="B903" i="8"/>
  <c r="B899" i="8"/>
  <c r="B895" i="8"/>
  <c r="B891" i="8"/>
  <c r="B887" i="8"/>
  <c r="B883" i="8"/>
  <c r="B879" i="8"/>
  <c r="B875" i="8"/>
  <c r="B871" i="8"/>
  <c r="B867" i="8"/>
  <c r="B863" i="8"/>
  <c r="B859" i="8"/>
  <c r="B855" i="8"/>
  <c r="B851" i="8"/>
  <c r="B847" i="8"/>
  <c r="B843" i="8"/>
  <c r="B839" i="8"/>
  <c r="B835" i="8"/>
  <c r="B831" i="8"/>
  <c r="B827" i="8"/>
  <c r="B823" i="8"/>
  <c r="B819" i="8"/>
  <c r="B815" i="8"/>
  <c r="B811" i="8"/>
  <c r="B807" i="8"/>
  <c r="B803" i="8"/>
  <c r="B799" i="8"/>
  <c r="B795" i="8"/>
  <c r="B791" i="8"/>
  <c r="B787" i="8"/>
  <c r="B783" i="8"/>
  <c r="B779" i="8"/>
  <c r="B775" i="8"/>
  <c r="B771" i="8"/>
  <c r="B767" i="8"/>
  <c r="B763" i="8"/>
  <c r="B759" i="8"/>
  <c r="B755" i="8"/>
  <c r="B751" i="8"/>
  <c r="B747" i="8"/>
  <c r="B743" i="8"/>
  <c r="B739" i="8"/>
  <c r="B735" i="8"/>
  <c r="B731" i="8"/>
  <c r="B727" i="8"/>
  <c r="B723" i="8"/>
  <c r="B719" i="8"/>
  <c r="B715" i="8"/>
  <c r="B711" i="8"/>
  <c r="B707" i="8"/>
  <c r="B703" i="8"/>
  <c r="B699" i="8"/>
  <c r="B695" i="8"/>
  <c r="B691" i="8"/>
  <c r="B687" i="8"/>
  <c r="B683" i="8"/>
  <c r="B679" i="8"/>
  <c r="B675" i="8"/>
  <c r="B671" i="8"/>
  <c r="B667" i="8"/>
  <c r="B663" i="8"/>
  <c r="B659" i="8"/>
  <c r="B655" i="8"/>
  <c r="B651" i="8"/>
  <c r="B647" i="8"/>
  <c r="B643" i="8"/>
  <c r="B639" i="8"/>
  <c r="B635" i="8"/>
  <c r="B631" i="8"/>
  <c r="B627" i="8"/>
  <c r="B623" i="8"/>
  <c r="B619" i="8"/>
  <c r="B615" i="8"/>
  <c r="B611" i="8"/>
  <c r="B607" i="8"/>
  <c r="B603" i="8"/>
  <c r="B599" i="8"/>
  <c r="B595" i="8"/>
  <c r="B591" i="8"/>
  <c r="B587" i="8"/>
  <c r="B583" i="8"/>
  <c r="B579" i="8"/>
  <c r="B571" i="8"/>
  <c r="B567" i="8"/>
  <c r="B563" i="8"/>
  <c r="B559" i="8"/>
  <c r="B555" i="8"/>
  <c r="B551" i="8"/>
  <c r="B547" i="8"/>
  <c r="B543" i="8"/>
  <c r="B539" i="8"/>
  <c r="B535" i="8"/>
  <c r="B531" i="8"/>
  <c r="B527" i="8"/>
  <c r="B523" i="8"/>
  <c r="B519" i="8"/>
  <c r="B515" i="8"/>
  <c r="B511" i="8"/>
  <c r="B507" i="8"/>
  <c r="B503" i="8"/>
  <c r="B499" i="8"/>
  <c r="B495" i="8"/>
  <c r="B491" i="8"/>
  <c r="B487" i="8"/>
  <c r="B483" i="8"/>
  <c r="B479" i="8"/>
  <c r="B475" i="8"/>
  <c r="B471" i="8"/>
  <c r="B467" i="8"/>
  <c r="B463" i="8"/>
  <c r="B459" i="8"/>
  <c r="B455" i="8"/>
  <c r="B451" i="8"/>
  <c r="B447" i="8"/>
  <c r="B443" i="8"/>
  <c r="B439" i="8"/>
  <c r="B435" i="8"/>
  <c r="B431" i="8"/>
  <c r="B427" i="8"/>
  <c r="B423" i="8"/>
  <c r="B419" i="8"/>
  <c r="B415" i="8"/>
  <c r="B411" i="8"/>
  <c r="B407" i="8"/>
  <c r="B403" i="8"/>
  <c r="B399" i="8"/>
  <c r="B395" i="8"/>
  <c r="B391" i="8"/>
  <c r="B387" i="8"/>
  <c r="B383" i="8"/>
  <c r="B379" i="8"/>
  <c r="B375" i="8"/>
  <c r="B371" i="8"/>
  <c r="B367" i="8"/>
  <c r="B363" i="8"/>
  <c r="B359" i="8"/>
  <c r="B355" i="8"/>
  <c r="B351" i="8"/>
  <c r="B347" i="8"/>
  <c r="B343" i="8"/>
  <c r="B339" i="8"/>
  <c r="B335" i="8"/>
  <c r="B331" i="8"/>
  <c r="B327" i="8"/>
  <c r="B323" i="8"/>
  <c r="B319" i="8"/>
  <c r="B315" i="8"/>
  <c r="B311" i="8"/>
  <c r="B307" i="8"/>
  <c r="B303" i="8"/>
  <c r="B299" i="8"/>
  <c r="B295" i="8"/>
  <c r="B291" i="8"/>
  <c r="B287" i="8"/>
  <c r="B283" i="8"/>
  <c r="B279" i="8"/>
  <c r="B275" i="8"/>
  <c r="B271" i="8"/>
  <c r="B267" i="8"/>
  <c r="B263" i="8"/>
  <c r="B259" i="8"/>
  <c r="B255" i="8"/>
  <c r="B251" i="8"/>
  <c r="B247" i="8"/>
  <c r="B243" i="8"/>
  <c r="B239" i="8"/>
  <c r="B235" i="8"/>
  <c r="B231" i="8"/>
  <c r="B227" i="8"/>
  <c r="B223" i="8"/>
  <c r="B219" i="8"/>
  <c r="B215" i="8"/>
  <c r="B211" i="8"/>
  <c r="B207" i="8"/>
  <c r="B203" i="8"/>
  <c r="B199" i="8"/>
  <c r="B195" i="8"/>
  <c r="B191" i="8"/>
  <c r="B187" i="8"/>
  <c r="B183" i="8"/>
  <c r="B179" i="8"/>
  <c r="B175" i="8"/>
  <c r="B171" i="8"/>
  <c r="B167" i="8"/>
  <c r="B163" i="8"/>
  <c r="B159" i="8"/>
  <c r="B155" i="8"/>
  <c r="B151" i="8"/>
  <c r="B147" i="8"/>
  <c r="B143" i="8"/>
  <c r="B139" i="8"/>
  <c r="B135" i="8"/>
  <c r="B131" i="8"/>
  <c r="B127" i="8"/>
  <c r="B123" i="8"/>
  <c r="B119" i="8"/>
  <c r="B115" i="8"/>
  <c r="B111" i="8"/>
  <c r="B107" i="8"/>
  <c r="B103" i="8"/>
  <c r="B99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2" i="8"/>
  <c r="C15" i="8"/>
  <c r="D998" i="8"/>
  <c r="D921" i="8"/>
  <c r="D627" i="8"/>
  <c r="D417" i="8"/>
  <c r="D361" i="8"/>
  <c r="D305" i="8"/>
  <c r="D46" i="8"/>
  <c r="D949" i="8"/>
  <c r="D914" i="8"/>
  <c r="D655" i="8"/>
  <c r="D620" i="8"/>
  <c r="D333" i="8"/>
  <c r="D256" i="8"/>
  <c r="D984" i="8"/>
  <c r="D823" i="8"/>
  <c r="D535" i="8"/>
  <c r="D4" i="8"/>
  <c r="D963" i="8"/>
  <c r="D900" i="8"/>
  <c r="D844" i="8"/>
  <c r="D816" i="8"/>
  <c r="D774" i="8"/>
  <c r="D697" i="8"/>
  <c r="D640" i="8"/>
  <c r="D592" i="8"/>
  <c r="D564" i="8"/>
  <c r="D452" i="8"/>
  <c r="D340" i="8"/>
  <c r="D172" i="8"/>
  <c r="D18" i="8"/>
  <c r="D991" i="8"/>
  <c r="D977" i="8"/>
  <c r="D956" i="8"/>
  <c r="D907" i="8"/>
  <c r="D885" i="8"/>
  <c r="D851" i="8"/>
  <c r="D809" i="8"/>
  <c r="D781" i="8"/>
  <c r="D767" i="8"/>
  <c r="D753" i="8"/>
  <c r="D732" i="8"/>
  <c r="D585" i="8"/>
  <c r="D550" i="8"/>
  <c r="D522" i="8"/>
  <c r="D508" i="8"/>
  <c r="D246" i="8"/>
  <c r="D214" i="8"/>
  <c r="D200" i="8"/>
  <c r="D178" i="8"/>
  <c r="D130" i="8"/>
  <c r="D74" i="8"/>
  <c r="D60" i="8"/>
  <c r="D32" i="8"/>
  <c r="D970" i="8"/>
  <c r="D935" i="8"/>
  <c r="D891" i="8"/>
  <c r="D879" i="8"/>
  <c r="D558" i="8" l="1"/>
  <c r="D690" i="8"/>
  <c r="D390" i="8"/>
  <c r="D747" i="8"/>
  <c r="D383" i="8"/>
  <c r="D123" i="8"/>
  <c r="D711" i="8"/>
  <c r="D570" i="8"/>
  <c r="D404" i="8"/>
  <c r="D684" i="8"/>
  <c r="D488" i="8"/>
  <c r="D761" i="8"/>
  <c r="D142" i="8"/>
  <c r="D138" i="8"/>
  <c r="D82" i="8"/>
  <c r="D193" i="8"/>
  <c r="D165" i="8"/>
  <c r="D235" i="8"/>
  <c r="D271" i="8"/>
  <c r="D647" i="8"/>
  <c r="D607" i="8"/>
  <c r="D803" i="8"/>
  <c r="D466" i="8"/>
  <c r="D274" i="8"/>
  <c r="D243" i="8"/>
  <c r="D663" i="8"/>
  <c r="D718" i="8"/>
  <c r="D796" i="8"/>
  <c r="D270" i="8"/>
  <c r="D208" i="8"/>
  <c r="D519" i="8"/>
  <c r="D579" i="8"/>
  <c r="D943" i="8"/>
  <c r="D299" i="8"/>
  <c r="D411" i="8"/>
  <c r="D502" i="8"/>
  <c r="D746" i="8"/>
  <c r="D95" i="8"/>
  <c r="D347" i="8"/>
  <c r="D494" i="8"/>
  <c r="D151" i="8"/>
  <c r="D222" i="8"/>
  <c r="D438" i="8"/>
  <c r="D676" i="8"/>
  <c r="D115" i="8"/>
  <c r="D25" i="8"/>
  <c r="D11" i="8"/>
  <c r="D159" i="8"/>
  <c r="D495" i="8"/>
  <c r="D739" i="8"/>
  <c r="D634" i="8"/>
  <c r="D263" i="8"/>
  <c r="D719" i="8"/>
  <c r="D375" i="8"/>
  <c r="D327" i="8"/>
  <c r="D432" i="8"/>
  <c r="D1005" i="8"/>
  <c r="D102" i="8"/>
  <c r="D460" i="8"/>
  <c r="D600" i="8"/>
  <c r="D777" i="8"/>
  <c r="D858" i="8"/>
  <c r="D670" i="8"/>
  <c r="D110" i="8"/>
  <c r="D838" i="8"/>
  <c r="D866" i="8"/>
  <c r="D530" i="8"/>
  <c r="D831" i="8"/>
  <c r="D278" i="8"/>
  <c r="D726" i="8"/>
  <c r="D354" i="8"/>
  <c r="D471" i="8"/>
  <c r="D439" i="8"/>
  <c r="D516" i="8"/>
  <c r="D569" i="8"/>
  <c r="D662" i="8"/>
  <c r="D277" i="8"/>
  <c r="D68" i="8"/>
  <c r="D735" i="8"/>
  <c r="D382" i="8"/>
  <c r="D481" i="8"/>
  <c r="D54" i="8"/>
  <c r="D229" i="8"/>
  <c r="D291" i="8"/>
  <c r="D424" i="8"/>
  <c r="D557" i="8"/>
  <c r="D830" i="8"/>
  <c r="D319" i="8"/>
  <c r="D179" i="8"/>
  <c r="D509" i="8"/>
  <c r="D908" i="8"/>
  <c r="D886" i="8"/>
  <c r="D536" i="8"/>
  <c r="D824" i="8"/>
  <c r="D551" i="8"/>
  <c r="D601" i="8"/>
  <c r="D892" i="8"/>
  <c r="D247" i="8"/>
  <c r="D852" i="8"/>
  <c r="D641" i="8"/>
  <c r="D648" i="8" l="1"/>
  <c r="D472" i="8"/>
  <c r="D656" i="8"/>
  <c r="D61" i="8"/>
  <c r="D733" i="8"/>
  <c r="D320" i="8"/>
  <c r="D26" i="8"/>
  <c r="D96" i="8"/>
  <c r="D635" i="8"/>
  <c r="D740" i="8"/>
  <c r="D859" i="8"/>
  <c r="D936" i="8"/>
  <c r="D593" i="8"/>
  <c r="D782" i="8"/>
  <c r="D999" i="8"/>
  <c r="D985" i="8"/>
  <c r="D565" i="8"/>
  <c r="D425" i="8"/>
  <c r="D418" i="8"/>
  <c r="D5" i="8"/>
  <c r="D131" i="8"/>
  <c r="D698" i="8"/>
  <c r="D992" i="8"/>
  <c r="D75" i="8"/>
  <c r="D369" i="8"/>
  <c r="D103" i="8"/>
  <c r="D143" i="8"/>
  <c r="D12" i="8"/>
  <c r="D116" i="8"/>
  <c r="D152" i="8"/>
  <c r="D348" i="8"/>
  <c r="D264" i="8"/>
  <c r="D355" i="8"/>
  <c r="D628" i="8"/>
  <c r="D453" i="8"/>
  <c r="D845" i="8"/>
  <c r="D523" i="8"/>
  <c r="D677" i="8"/>
  <c r="D166" i="8"/>
  <c r="D496" i="8"/>
  <c r="D922" i="8"/>
  <c r="D901" i="8"/>
  <c r="D19" i="8"/>
  <c r="D215" i="8"/>
  <c r="D950" i="8"/>
  <c r="D957" i="8"/>
  <c r="D257" i="8"/>
  <c r="D292" i="8"/>
  <c r="D446" i="8"/>
  <c r="D40" i="8"/>
  <c r="D144" i="8"/>
  <c r="D124" i="8"/>
  <c r="D571" i="8"/>
  <c r="D915" i="8"/>
  <c r="D978" i="8"/>
  <c r="D586" i="8"/>
  <c r="D971" i="8"/>
  <c r="D810" i="8"/>
  <c r="D334" i="8"/>
  <c r="D964" i="8"/>
  <c r="D376" i="8"/>
  <c r="D691" i="8"/>
  <c r="D467" i="8"/>
  <c r="D712" i="8"/>
  <c r="D362" i="8"/>
  <c r="D817" i="8"/>
  <c r="D201" i="8"/>
  <c r="D880" i="8"/>
  <c r="D47" i="8"/>
  <c r="D775" i="8"/>
  <c r="D341" i="8"/>
  <c r="D754" i="8"/>
  <c r="D33" i="8"/>
  <c r="D306" i="8"/>
  <c r="D173" i="8"/>
  <c r="D621" i="8"/>
  <c r="D768" i="8"/>
  <c r="D236" i="8"/>
  <c r="D194" i="8"/>
  <c r="D510" i="8"/>
  <c r="D537" i="8"/>
  <c r="D853" i="8"/>
  <c r="D248" i="8"/>
  <c r="D893" i="8"/>
  <c r="D825" i="8"/>
  <c r="D180" i="8"/>
  <c r="D887" i="8" l="1"/>
  <c r="D97" i="8"/>
  <c r="D473" i="8"/>
  <c r="D117" i="8"/>
  <c r="D27" i="8"/>
  <c r="D909" i="8"/>
  <c r="D497" i="8"/>
  <c r="D552" i="8"/>
  <c r="D167" i="8"/>
  <c r="D649" i="8"/>
  <c r="D602" i="8"/>
  <c r="D572" i="8"/>
  <c r="D145" i="8"/>
  <c r="D125" i="8"/>
  <c r="D642" i="8"/>
  <c r="D181" i="8"/>
  <c r="D894" i="8"/>
  <c r="D249" i="8"/>
  <c r="D826" i="8"/>
  <c r="D538" i="8"/>
  <c r="D126" i="8" l="1"/>
  <c r="D854" i="8"/>
  <c r="D474" i="8"/>
  <c r="D511" i="8"/>
  <c r="D118" i="8"/>
  <c r="D182" i="8"/>
  <c r="D539" i="8"/>
  <c r="D895" i="8"/>
  <c r="D827" i="8" l="1"/>
  <c r="D250" i="8"/>
  <c r="D183" i="8"/>
  <c r="D896" i="8"/>
  <c r="D540" i="8"/>
  <c r="D184" i="8" l="1"/>
  <c r="D541" i="8"/>
  <c r="D897" i="8" l="1"/>
  <c r="D185" i="8"/>
  <c r="D542" i="8"/>
  <c r="D186" i="8" l="1"/>
  <c r="D543" i="8"/>
  <c r="D187" i="8" l="1"/>
  <c r="F5" i="4"/>
  <c r="D544" i="8" l="1"/>
  <c r="D18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<sst xmlns="http://schemas.openxmlformats.org/spreadsheetml/2006/main" count="40" uniqueCount="20">
  <si>
    <t>Data Inflasi</t>
  </si>
  <si>
    <t>No</t>
  </si>
  <si>
    <t>Periode</t>
  </si>
  <si>
    <t>BI-7Day-RR</t>
  </si>
  <si>
    <t>NO</t>
  </si>
  <si>
    <t>Tanggal</t>
  </si>
  <si>
    <t>Harga Beli</t>
  </si>
  <si>
    <t>No.</t>
  </si>
  <si>
    <t>Harga Jual</t>
  </si>
  <si>
    <t>PT Syariah Koin-Emas</t>
  </si>
  <si>
    <t xml:space="preserve">Harga </t>
  </si>
  <si>
    <t xml:space="preserve">Data Minyak Mentah  </t>
  </si>
  <si>
    <t>Informasi Kurs Jisdor</t>
  </si>
  <si>
    <t>Kurs</t>
  </si>
  <si>
    <t>Harga (USD)</t>
  </si>
  <si>
    <t>Gold</t>
  </si>
  <si>
    <t>Oil</t>
  </si>
  <si>
    <t>Bunga</t>
  </si>
  <si>
    <t>Inflasi</t>
  </si>
  <si>
    <t>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</si>
</sst>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$-409]* #,##0.00_ ;_-[$$-409]* \-#,##0.00\ ;_-[$$-409]* &quot;-&quot;??_ ;_-@_ "/>
  </numFmts>
  <fonts count="1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  <font>
      <b/>
      <sz val="16"/>
      <name val="Tahoma"/>
      <family val="2"/>
    </font>
    <font>
      <sz val="12"/>
      <color theme="1"/>
      <name val="Tahoma"/>
      <family val="2"/>
    </font>
    <font>
      <sz val="12"/>
      <color theme="1"/>
      <name val="Tahoma"/>
      <family val="2"/>
    </font>
    <font>
      <sz val="11"/>
      <name val="Calibri"/>
    </font>
    <font>
      <b/>
      <sz val="12"/>
      <color theme="1"/>
      <name val="Tahoma"/>
      <family val="2"/>
    </font>
    <font>
      <sz val="12"/>
      <name val="Tahoma"/>
      <family val="2"/>
    </font>
    <font>
      <sz val="11"/>
      <name val="Calibri"/>
      <family val="2"/>
    </font>
    <font>
      <b/>
      <sz val="12"/>
      <name val="Tahoma"/>
      <family val="2"/>
    </font>
    <font>
      <sz val="8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0" fillId="0" borderId="0"/>
    <xf numFmtId="44" fontId="7" fillId="0" borderId="0" applyFont="0" applyFill="0" applyBorder="0" applyAlignment="0" applyProtection="0"/>
  </cellStyleXfs>
  <cellXfs count="49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6" fillId="3" borderId="1" xfId="0" applyFont="1" applyFill="1" applyBorder="1" applyAlignment="1">
      <alignment vertical="center" wrapText="1"/>
    </xf>
    <xf numFmtId="6" fontId="6" fillId="3" borderId="1" xfId="0" applyNumberFormat="1" applyFont="1" applyFill="1" applyBorder="1" applyAlignment="1">
      <alignment vertical="center" wrapText="1"/>
    </xf>
    <xf numFmtId="6" fontId="6" fillId="2" borderId="1" xfId="0" applyNumberFormat="1" applyFont="1" applyFill="1" applyBorder="1" applyAlignment="1">
      <alignment vertical="center" wrapText="1"/>
    </xf>
    <xf numFmtId="6" fontId="6" fillId="3" borderId="2" xfId="0" applyNumberFormat="1" applyFont="1" applyFill="1" applyBorder="1" applyAlignment="1">
      <alignment vertical="center" wrapText="1"/>
    </xf>
    <xf numFmtId="6" fontId="6" fillId="2" borderId="2" xfId="0" applyNumberFormat="1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/>
    <xf numFmtId="2" fontId="2" fillId="0" borderId="1" xfId="0" applyNumberFormat="1" applyFont="1" applyBorder="1" applyAlignment="1">
      <alignment horizontal="left"/>
    </xf>
    <xf numFmtId="2" fontId="9" fillId="0" borderId="1" xfId="1" applyNumberFormat="1" applyFont="1" applyBorder="1" applyAlignment="1">
      <alignment horizontal="left"/>
    </xf>
    <xf numFmtId="0" fontId="10" fillId="0" borderId="0" xfId="2"/>
    <xf numFmtId="0" fontId="11" fillId="0" borderId="1" xfId="2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11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9" fillId="0" borderId="0" xfId="0" applyFont="1"/>
    <xf numFmtId="0" fontId="9" fillId="0" borderId="1" xfId="0" applyFont="1" applyBorder="1"/>
    <xf numFmtId="0" fontId="2" fillId="0" borderId="1" xfId="1" applyNumberFormat="1" applyFont="1" applyBorder="1" applyAlignment="1">
      <alignment horizontal="left"/>
    </xf>
    <xf numFmtId="14" fontId="5" fillId="0" borderId="1" xfId="0" applyNumberFormat="1" applyFont="1" applyBorder="1"/>
    <xf numFmtId="14" fontId="9" fillId="0" borderId="1" xfId="0" applyNumberFormat="1" applyFont="1" applyBorder="1"/>
    <xf numFmtId="14" fontId="6" fillId="3" borderId="1" xfId="0" applyNumberFormat="1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9" fillId="0" borderId="0" xfId="0" applyNumberFormat="1" applyFont="1"/>
    <xf numFmtId="164" fontId="11" fillId="0" borderId="1" xfId="0" applyNumberFormat="1" applyFont="1" applyBorder="1"/>
    <xf numFmtId="164" fontId="9" fillId="0" borderId="1" xfId="0" applyNumberFormat="1" applyFont="1" applyBorder="1"/>
    <xf numFmtId="44" fontId="9" fillId="0" borderId="1" xfId="3" applyFont="1" applyBorder="1"/>
    <xf numFmtId="2" fontId="0" fillId="0" borderId="0" xfId="0" applyNumberFormat="1"/>
    <xf numFmtId="0" fontId="0" fillId="0" borderId="1" xfId="0" applyBorder="1"/>
    <xf numFmtId="20" fontId="0" fillId="0" borderId="0" xfId="0" applyNumberFormat="1"/>
    <xf numFmtId="14" fontId="0" fillId="0" borderId="1" xfId="0" applyNumberFormat="1" applyBorder="1"/>
    <xf numFmtId="0" fontId="13" fillId="0" borderId="1" xfId="0" applyFont="1" applyBorder="1"/>
    <xf numFmtId="17" fontId="2" fillId="0" borderId="1" xfId="0" applyNumberFormat="1" applyFont="1" applyBorder="1" applyAlignment="1">
      <alignment horizontal="left"/>
    </xf>
    <xf numFmtId="2" fontId="0" fillId="0" borderId="1" xfId="0" applyNumberFormat="1" applyBorder="1"/>
    <xf numFmtId="0" fontId="9" fillId="0" borderId="1" xfId="1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11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1" xfId="0" applyNumberFormat="1" applyFont="1" applyBorder="1"/>
    <xf numFmtId="0" fontId="0" fillId="0" borderId="1" xfId="3" applyNumberFormat="1" applyFont="1" applyBorder="1"/>
    <xf numFmtId="0" fontId="0" fillId="0" borderId="0" xfId="0" applyNumberFormat="1"/>
    <xf numFmtId="0" fontId="0" fillId="0" borderId="1" xfId="0" applyNumberFormat="1" applyBorder="1"/>
  </cellXfs>
  <cellStyles count="4">
    <cellStyle name="Comma" xfId="1" builtinId="3"/>
    <cellStyle name="Currency" xfId="3" builtinId="4"/>
    <cellStyle name="Normal" xfId="0" builtinId="0"/>
    <cellStyle name="Normal 2" xfId="2" xr:uid="{8830E4EA-12A5-4FBB-8690-914DEB99A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009"/>
  <sheetViews>
    <sheetView topLeftCell="A2" zoomScale="101" zoomScaleNormal="152" workbookViewId="0">
      <selection activeCell="I20" sqref="I20"/>
    </sheetView>
  </sheetViews>
  <sheetFormatPr defaultRowHeight="15.6" x14ac:dyDescent="0.3"/>
  <cols>
    <col min="1" max="1" width="4.44140625" bestFit="1" customWidth="1"/>
    <col min="2" max="2" width="18.33203125" bestFit="1" customWidth="1"/>
    <col min="3" max="3" width="15" bestFit="1" customWidth="1"/>
    <col min="6" max="6" width="7" style="18" bestFit="1" customWidth="1"/>
    <col min="7" max="7" width="13.44140625" bestFit="1" customWidth="1"/>
    <col min="8" max="8" width="15" bestFit="1" customWidth="1"/>
    <col min="12" max="12" width="13.33203125" bestFit="1" customWidth="1"/>
    <col min="13" max="13" width="12.44140625" bestFit="1" customWidth="1"/>
    <col min="14" max="14" width="11.44140625" bestFit="1" customWidth="1"/>
    <col min="15" max="15" width="9.5546875" bestFit="1" customWidth="1"/>
    <col min="16" max="17" width="13.33203125" bestFit="1" customWidth="1"/>
    <col min="18" max="18" width="13.44140625" bestFit="1" customWidth="1"/>
    <col min="19" max="19" width="18.33203125" bestFit="1" customWidth="1"/>
    <col min="20" max="20" width="12.44140625" bestFit="1" customWidth="1"/>
    <col min="21" max="21" width="14.5546875" bestFit="1" customWidth="1"/>
    <col min="22" max="22" width="14" bestFit="1" customWidth="1"/>
    <col min="23" max="23" width="13.88671875" bestFit="1" customWidth="1"/>
    <col min="24" max="24" width="12.5546875" bestFit="1" customWidth="1"/>
    <col min="25" max="26" width="13.44140625" bestFit="1" customWidth="1"/>
    <col min="27" max="28" width="13.33203125" bestFit="1" customWidth="1"/>
  </cols>
  <sheetData>
    <row r="3" spans="1:8" ht="20.399999999999999" x14ac:dyDescent="0.35">
      <c r="A3" s="40" t="s">
        <v>0</v>
      </c>
      <c r="B3" s="40" t="s">
        <v>0</v>
      </c>
      <c r="C3" s="40" t="s">
        <v>0</v>
      </c>
      <c r="D3" s="40" t="s">
        <v>0</v>
      </c>
    </row>
    <row r="5" spans="1:8" x14ac:dyDescent="0.3">
      <c r="A5" s="1" t="s">
        <v>1</v>
      </c>
      <c r="B5" s="41" t="s">
        <v>2</v>
      </c>
      <c r="C5" s="41" t="s">
        <v>0</v>
      </c>
      <c r="F5" s="16" t="str">
        <f>A5</f>
        <v>No</v>
      </c>
      <c r="G5" s="16" t="str">
        <f t="shared" ref="G5" si="0">B5</f>
        <v>Periode</v>
      </c>
      <c r="H5" s="1" t="s">
        <v>0</v>
      </c>
    </row>
    <row r="6" spans="1:8" x14ac:dyDescent="0.3">
      <c r="A6" s="2">
        <v>1</v>
      </c>
      <c r="B6" s="37">
        <v>45901</v>
      </c>
      <c r="C6" s="2">
        <v>2.65</v>
      </c>
      <c r="D6" s="32"/>
      <c r="F6" s="19">
        <v>1</v>
      </c>
      <c r="G6" s="22">
        <v>45930</v>
      </c>
      <c r="H6" s="19" cm="1">
        <f t="array" ref="H6">_xlfn.XLOOKUP(MONTH(G6) &amp; YEAR(G6),MONTH($B$6:$B$38) &amp; YEAR($B$6:$B$38),$C$6:$C$38)</f>
        <v>2.65</v>
      </c>
    </row>
    <row r="7" spans="1:8" x14ac:dyDescent="0.3">
      <c r="A7" s="2">
        <v>2</v>
      </c>
      <c r="B7" s="37">
        <v>45870</v>
      </c>
      <c r="C7" s="2">
        <v>2.31</v>
      </c>
      <c r="F7" s="19">
        <v>2</v>
      </c>
      <c r="G7" s="22">
        <v>45929</v>
      </c>
      <c r="H7" s="19" cm="1">
        <f t="array" ref="H7">_xlfn.XLOOKUP(MONTH(G7) &amp; YEAR(G7),MONTH($B$6:$B$38) &amp; YEAR($B$6:$B$38),$C$6:$C$38)</f>
        <v>2.65</v>
      </c>
    </row>
    <row r="8" spans="1:8" x14ac:dyDescent="0.3">
      <c r="A8" s="2">
        <v>3</v>
      </c>
      <c r="B8" s="37">
        <v>45839</v>
      </c>
      <c r="C8" s="2">
        <v>2.37</v>
      </c>
      <c r="F8" s="19">
        <v>3</v>
      </c>
      <c r="G8" s="22">
        <v>45928</v>
      </c>
      <c r="H8" s="19" cm="1">
        <f t="array" ref="H8">_xlfn.XLOOKUP(MONTH(G8) &amp; YEAR(G8),MONTH($B$6:$B$38) &amp; YEAR($B$6:$B$38),$C$6:$C$38)</f>
        <v>2.65</v>
      </c>
    </row>
    <row r="9" spans="1:8" x14ac:dyDescent="0.3">
      <c r="A9" s="2">
        <v>4</v>
      </c>
      <c r="B9" s="37">
        <v>45809</v>
      </c>
      <c r="C9" s="2">
        <v>1.87</v>
      </c>
      <c r="D9" s="34"/>
      <c r="F9" s="19">
        <v>4</v>
      </c>
      <c r="G9" s="22">
        <v>45927</v>
      </c>
      <c r="H9" s="19" cm="1">
        <f t="array" ref="H9">_xlfn.XLOOKUP(MONTH(G9) &amp; YEAR(G9),MONTH($B$6:$B$38) &amp; YEAR($B$6:$B$38),$C$6:$C$38)</f>
        <v>2.65</v>
      </c>
    </row>
    <row r="10" spans="1:8" x14ac:dyDescent="0.3">
      <c r="A10" s="2">
        <v>5</v>
      </c>
      <c r="B10" s="37">
        <v>45778</v>
      </c>
      <c r="C10" s="2">
        <v>1.6</v>
      </c>
      <c r="D10" s="34"/>
      <c r="F10" s="19">
        <v>5</v>
      </c>
      <c r="G10" s="22">
        <v>45926</v>
      </c>
      <c r="H10" s="19" cm="1">
        <f t="array" ref="H10">_xlfn.XLOOKUP(MONTH(G10) &amp; YEAR(G10),MONTH($B$6:$B$38) &amp; YEAR($B$6:$B$38),$C$6:$C$38)</f>
        <v>2.65</v>
      </c>
    </row>
    <row r="11" spans="1:8" x14ac:dyDescent="0.3">
      <c r="A11" s="2">
        <v>6</v>
      </c>
      <c r="B11" s="37">
        <v>45748</v>
      </c>
      <c r="C11" s="2">
        <v>1.95</v>
      </c>
      <c r="F11" s="19">
        <v>6</v>
      </c>
      <c r="G11" s="22">
        <v>45925</v>
      </c>
      <c r="H11" s="19" cm="1">
        <f t="array" ref="H11">_xlfn.XLOOKUP(MONTH(G11) &amp; YEAR(G11),MONTH($B$6:$B$38) &amp; YEAR($B$6:$B$38),$C$6:$C$38)</f>
        <v>2.65</v>
      </c>
    </row>
    <row r="12" spans="1:8" x14ac:dyDescent="0.3">
      <c r="A12" s="2">
        <v>7</v>
      </c>
      <c r="B12" s="37">
        <v>45717</v>
      </c>
      <c r="C12" s="2">
        <v>1.03</v>
      </c>
      <c r="F12" s="19">
        <v>7</v>
      </c>
      <c r="G12" s="22">
        <v>45924</v>
      </c>
      <c r="H12" s="19" cm="1">
        <f t="array" ref="H12">_xlfn.XLOOKUP(MONTH(G12) &amp; YEAR(G12),MONTH($B$6:$B$38) &amp; YEAR($B$6:$B$38),$C$6:$C$38)</f>
        <v>2.65</v>
      </c>
    </row>
    <row r="13" spans="1:8" x14ac:dyDescent="0.3">
      <c r="A13" s="2">
        <v>8</v>
      </c>
      <c r="B13" s="37">
        <v>45689</v>
      </c>
      <c r="C13" s="2">
        <v>-0.09</v>
      </c>
      <c r="F13" s="19">
        <v>8</v>
      </c>
      <c r="G13" s="22">
        <v>45923</v>
      </c>
      <c r="H13" s="19" cm="1">
        <f t="array" ref="H13">_xlfn.XLOOKUP(MONTH(G13) &amp; YEAR(G13),MONTH($B$6:$B$38) &amp; YEAR($B$6:$B$38),$C$6:$C$38)</f>
        <v>2.65</v>
      </c>
    </row>
    <row r="14" spans="1:8" x14ac:dyDescent="0.3">
      <c r="A14" s="2">
        <v>9</v>
      </c>
      <c r="B14" s="37">
        <v>45658</v>
      </c>
      <c r="C14" s="20">
        <v>0.76</v>
      </c>
      <c r="F14" s="19">
        <v>9</v>
      </c>
      <c r="G14" s="22">
        <v>45922</v>
      </c>
      <c r="H14" s="19" cm="1">
        <f t="array" ref="H14">_xlfn.XLOOKUP(MONTH(G14) &amp; YEAR(G14),MONTH($B$6:$B$38) &amp; YEAR($B$6:$B$38),$C$6:$C$38)</f>
        <v>2.65</v>
      </c>
    </row>
    <row r="15" spans="1:8" x14ac:dyDescent="0.3">
      <c r="A15" s="2">
        <v>10</v>
      </c>
      <c r="B15" s="37">
        <v>45627</v>
      </c>
      <c r="C15" s="39">
        <v>1.57</v>
      </c>
      <c r="F15" s="19">
        <v>10</v>
      </c>
      <c r="G15" s="22">
        <v>45921</v>
      </c>
      <c r="H15" s="19" cm="1">
        <f t="array" ref="H15">_xlfn.XLOOKUP(MONTH(G15) &amp; YEAR(G15),MONTH($B$6:$B$38) &amp; YEAR($B$6:$B$38),$C$6:$C$38)</f>
        <v>2.65</v>
      </c>
    </row>
    <row r="16" spans="1:8" x14ac:dyDescent="0.3">
      <c r="A16" s="2">
        <v>11</v>
      </c>
      <c r="B16" s="37">
        <v>45597</v>
      </c>
      <c r="C16" s="20">
        <v>1.55</v>
      </c>
      <c r="F16" s="19">
        <v>11</v>
      </c>
      <c r="G16" s="22">
        <v>45920</v>
      </c>
      <c r="H16" s="19" cm="1">
        <f t="array" ref="H16">_xlfn.XLOOKUP(MONTH(G16) &amp; YEAR(G16),MONTH($B$6:$B$38) &amp; YEAR($B$6:$B$38),$C$6:$C$38)</f>
        <v>2.65</v>
      </c>
    </row>
    <row r="17" spans="1:8" x14ac:dyDescent="0.3">
      <c r="A17" s="2">
        <v>12</v>
      </c>
      <c r="B17" s="37">
        <v>45566</v>
      </c>
      <c r="C17" s="20">
        <v>1.71</v>
      </c>
      <c r="F17" s="19">
        <v>12</v>
      </c>
      <c r="G17" s="22">
        <v>45919</v>
      </c>
      <c r="H17" s="19" cm="1">
        <f t="array" ref="H17">_xlfn.XLOOKUP(MONTH(G17) &amp; YEAR(G17),MONTH($B$6:$B$38) &amp; YEAR($B$6:$B$38),$C$6:$C$38)</f>
        <v>2.65</v>
      </c>
    </row>
    <row r="18" spans="1:8" x14ac:dyDescent="0.3">
      <c r="A18" s="2">
        <v>13</v>
      </c>
      <c r="B18" s="37">
        <v>45536</v>
      </c>
      <c r="C18" s="20">
        <v>1.84</v>
      </c>
      <c r="F18" s="19">
        <v>13</v>
      </c>
      <c r="G18" s="22">
        <v>45918</v>
      </c>
      <c r="H18" s="19" cm="1">
        <f t="array" ref="H18">_xlfn.XLOOKUP(MONTH(G18) &amp; YEAR(G18),MONTH($B$6:$B$38) &amp; YEAR($B$6:$B$38),$C$6:$C$38)</f>
        <v>2.65</v>
      </c>
    </row>
    <row r="19" spans="1:8" x14ac:dyDescent="0.3">
      <c r="A19" s="2">
        <v>14</v>
      </c>
      <c r="B19" s="37">
        <v>45505</v>
      </c>
      <c r="C19" s="20">
        <v>2.12</v>
      </c>
      <c r="F19" s="19">
        <v>14</v>
      </c>
      <c r="G19" s="22">
        <v>45917</v>
      </c>
      <c r="H19" s="19" cm="1">
        <f t="array" ref="H19">_xlfn.XLOOKUP(MONTH(G19) &amp; YEAR(G19),MONTH($B$6:$B$38) &amp; YEAR($B$6:$B$38),$C$6:$C$38)</f>
        <v>2.65</v>
      </c>
    </row>
    <row r="20" spans="1:8" x14ac:dyDescent="0.3">
      <c r="A20" s="2">
        <v>15</v>
      </c>
      <c r="B20" s="37">
        <v>45474</v>
      </c>
      <c r="C20" s="20">
        <v>2.13</v>
      </c>
      <c r="F20" s="19">
        <v>15</v>
      </c>
      <c r="G20" s="22">
        <v>45916</v>
      </c>
      <c r="H20" s="19" cm="1">
        <f t="array" ref="H20">_xlfn.XLOOKUP(MONTH(G20) &amp; YEAR(G20),MONTH($B$6:$B$38) &amp; YEAR($B$6:$B$38),$C$6:$C$38)</f>
        <v>2.65</v>
      </c>
    </row>
    <row r="21" spans="1:8" x14ac:dyDescent="0.3">
      <c r="A21" s="2">
        <v>16</v>
      </c>
      <c r="B21" s="37">
        <v>45444</v>
      </c>
      <c r="C21" s="20">
        <v>2.5099999999999998</v>
      </c>
      <c r="F21" s="19">
        <v>16</v>
      </c>
      <c r="G21" s="22">
        <v>45915</v>
      </c>
      <c r="H21" s="19" cm="1">
        <f t="array" ref="H21">_xlfn.XLOOKUP(MONTH(G21) &amp; YEAR(G21),MONTH($B$6:$B$38) &amp; YEAR($B$6:$B$38),$C$6:$C$38)</f>
        <v>2.65</v>
      </c>
    </row>
    <row r="22" spans="1:8" x14ac:dyDescent="0.3">
      <c r="A22" s="2">
        <v>17</v>
      </c>
      <c r="B22" s="37">
        <v>45413</v>
      </c>
      <c r="C22" s="20">
        <v>2.84</v>
      </c>
      <c r="F22" s="19">
        <v>17</v>
      </c>
      <c r="G22" s="22">
        <v>45914</v>
      </c>
      <c r="H22" s="19" cm="1">
        <f t="array" ref="H22">_xlfn.XLOOKUP(MONTH(G22) &amp; YEAR(G22),MONTH($B$6:$B$38) &amp; YEAR($B$6:$B$38),$C$6:$C$38)</f>
        <v>2.65</v>
      </c>
    </row>
    <row r="23" spans="1:8" x14ac:dyDescent="0.3">
      <c r="A23" s="2">
        <v>18</v>
      </c>
      <c r="B23" s="37">
        <v>45383</v>
      </c>
      <c r="C23" s="20">
        <v>3</v>
      </c>
      <c r="F23" s="19">
        <v>18</v>
      </c>
      <c r="G23" s="22">
        <v>45913</v>
      </c>
      <c r="H23" s="19" cm="1">
        <f t="array" ref="H23">_xlfn.XLOOKUP(MONTH(G23) &amp; YEAR(G23),MONTH($B$6:$B$38) &amp; YEAR($B$6:$B$38),$C$6:$C$38)</f>
        <v>2.65</v>
      </c>
    </row>
    <row r="24" spans="1:8" x14ac:dyDescent="0.3">
      <c r="A24" s="2">
        <v>19</v>
      </c>
      <c r="B24" s="37">
        <v>45352</v>
      </c>
      <c r="C24" s="2">
        <v>3.05</v>
      </c>
      <c r="F24" s="19">
        <v>19</v>
      </c>
      <c r="G24" s="22">
        <v>45912</v>
      </c>
      <c r="H24" s="19" cm="1">
        <f t="array" ref="H24">_xlfn.XLOOKUP(MONTH(G24) &amp; YEAR(G24),MONTH($B$6:$B$38) &amp; YEAR($B$6:$B$38),$C$6:$C$38)</f>
        <v>2.65</v>
      </c>
    </row>
    <row r="25" spans="1:8" x14ac:dyDescent="0.3">
      <c r="A25" s="2">
        <v>20</v>
      </c>
      <c r="B25" s="37">
        <v>45323</v>
      </c>
      <c r="C25" s="2">
        <v>2.75</v>
      </c>
      <c r="F25" s="19">
        <v>20</v>
      </c>
      <c r="G25" s="22">
        <v>45911</v>
      </c>
      <c r="H25" s="19" cm="1">
        <f t="array" ref="H25">_xlfn.XLOOKUP(MONTH(G25) &amp; YEAR(G25),MONTH($B$6:$B$38) &amp; YEAR($B$6:$B$38),$C$6:$C$38)</f>
        <v>2.65</v>
      </c>
    </row>
    <row r="26" spans="1:8" x14ac:dyDescent="0.3">
      <c r="A26" s="2">
        <v>21</v>
      </c>
      <c r="B26" s="37">
        <v>45292</v>
      </c>
      <c r="C26" s="2">
        <v>2.57</v>
      </c>
      <c r="F26" s="19">
        <v>21</v>
      </c>
      <c r="G26" s="22">
        <v>45910</v>
      </c>
      <c r="H26" s="19" cm="1">
        <f t="array" ref="H26">_xlfn.XLOOKUP(MONTH(G26) &amp; YEAR(G26),MONTH($B$6:$B$38) &amp; YEAR($B$6:$B$38),$C$6:$C$38)</f>
        <v>2.65</v>
      </c>
    </row>
    <row r="27" spans="1:8" x14ac:dyDescent="0.3">
      <c r="A27" s="2">
        <v>22</v>
      </c>
      <c r="B27" s="37">
        <v>45261</v>
      </c>
      <c r="C27" s="2">
        <v>2.61</v>
      </c>
      <c r="F27" s="19">
        <v>22</v>
      </c>
      <c r="G27" s="22">
        <v>45909</v>
      </c>
      <c r="H27" s="19" cm="1">
        <f t="array" ref="H27">_xlfn.XLOOKUP(MONTH(G27) &amp; YEAR(G27),MONTH($B$6:$B$38) &amp; YEAR($B$6:$B$38),$C$6:$C$38)</f>
        <v>2.65</v>
      </c>
    </row>
    <row r="28" spans="1:8" x14ac:dyDescent="0.3">
      <c r="A28" s="2">
        <v>23</v>
      </c>
      <c r="B28" s="37">
        <v>45231</v>
      </c>
      <c r="C28" s="2">
        <v>2.86</v>
      </c>
      <c r="F28" s="19">
        <v>23</v>
      </c>
      <c r="G28" s="22">
        <v>45908</v>
      </c>
      <c r="H28" s="19" cm="1">
        <f t="array" ref="H28">_xlfn.XLOOKUP(MONTH(G28) &amp; YEAR(G28),MONTH($B$6:$B$38) &amp; YEAR($B$6:$B$38),$C$6:$C$38)</f>
        <v>2.65</v>
      </c>
    </row>
    <row r="29" spans="1:8" x14ac:dyDescent="0.3">
      <c r="A29" s="2">
        <v>24</v>
      </c>
      <c r="B29" s="37">
        <v>45200</v>
      </c>
      <c r="C29" s="2">
        <v>2.56</v>
      </c>
      <c r="F29" s="19">
        <v>24</v>
      </c>
      <c r="G29" s="22">
        <v>45907</v>
      </c>
      <c r="H29" s="19" cm="1">
        <f t="array" ref="H29">_xlfn.XLOOKUP(MONTH(G29) &amp; YEAR(G29),MONTH($B$6:$B$38) &amp; YEAR($B$6:$B$38),$C$6:$C$38)</f>
        <v>2.65</v>
      </c>
    </row>
    <row r="30" spans="1:8" x14ac:dyDescent="0.3">
      <c r="A30" s="2">
        <v>25</v>
      </c>
      <c r="B30" s="37">
        <v>45170</v>
      </c>
      <c r="C30" s="2">
        <v>2.2799999999999998</v>
      </c>
      <c r="F30" s="19">
        <v>25</v>
      </c>
      <c r="G30" s="22">
        <v>45906</v>
      </c>
      <c r="H30" s="19" cm="1">
        <f t="array" ref="H30">_xlfn.XLOOKUP(MONTH(G30) &amp; YEAR(G30),MONTH($B$6:$B$38) &amp; YEAR($B$6:$B$38),$C$6:$C$38)</f>
        <v>2.65</v>
      </c>
    </row>
    <row r="31" spans="1:8" x14ac:dyDescent="0.3">
      <c r="A31" s="2">
        <v>26</v>
      </c>
      <c r="B31" s="37">
        <v>45139</v>
      </c>
      <c r="C31" s="2">
        <v>3.27</v>
      </c>
      <c r="F31" s="19">
        <v>26</v>
      </c>
      <c r="G31" s="22">
        <v>45905</v>
      </c>
      <c r="H31" s="19" cm="1">
        <f t="array" ref="H31">_xlfn.XLOOKUP(MONTH(G31) &amp; YEAR(G31),MONTH($B$6:$B$38) &amp; YEAR($B$6:$B$38),$C$6:$C$38)</f>
        <v>2.65</v>
      </c>
    </row>
    <row r="32" spans="1:8" x14ac:dyDescent="0.3">
      <c r="A32" s="2">
        <v>27</v>
      </c>
      <c r="B32" s="37">
        <v>45108</v>
      </c>
      <c r="C32" s="2">
        <v>3.08</v>
      </c>
      <c r="F32" s="19">
        <v>27</v>
      </c>
      <c r="G32" s="22">
        <v>45904</v>
      </c>
      <c r="H32" s="19" cm="1">
        <f t="array" ref="H32">_xlfn.XLOOKUP(MONTH(G32) &amp; YEAR(G32),MONTH($B$6:$B$38) &amp; YEAR($B$6:$B$38),$C$6:$C$38)</f>
        <v>2.65</v>
      </c>
    </row>
    <row r="33" spans="1:8" x14ac:dyDescent="0.3">
      <c r="A33" s="2">
        <v>28</v>
      </c>
      <c r="B33" s="37">
        <v>45078</v>
      </c>
      <c r="C33" s="2">
        <v>3.52</v>
      </c>
      <c r="F33" s="19">
        <v>28</v>
      </c>
      <c r="G33" s="22">
        <v>45903</v>
      </c>
      <c r="H33" s="19" cm="1">
        <f t="array" ref="H33">_xlfn.XLOOKUP(MONTH(G33) &amp; YEAR(G33),MONTH($B$6:$B$38) &amp; YEAR($B$6:$B$38),$C$6:$C$38)</f>
        <v>2.65</v>
      </c>
    </row>
    <row r="34" spans="1:8" x14ac:dyDescent="0.3">
      <c r="A34" s="2">
        <v>29</v>
      </c>
      <c r="B34" s="37">
        <v>45047</v>
      </c>
      <c r="C34" s="2">
        <v>4</v>
      </c>
      <c r="F34" s="19">
        <v>29</v>
      </c>
      <c r="G34" s="22">
        <v>45902</v>
      </c>
      <c r="H34" s="19" cm="1">
        <f t="array" ref="H34">_xlfn.XLOOKUP(MONTH(G34) &amp; YEAR(G34),MONTH($B$6:$B$38) &amp; YEAR($B$6:$B$38),$C$6:$C$38)</f>
        <v>2.65</v>
      </c>
    </row>
    <row r="35" spans="1:8" x14ac:dyDescent="0.3">
      <c r="A35" s="2">
        <v>30</v>
      </c>
      <c r="B35" s="37">
        <v>45017</v>
      </c>
      <c r="C35" s="2">
        <v>4.33</v>
      </c>
      <c r="F35" s="19">
        <v>30</v>
      </c>
      <c r="G35" s="22">
        <v>45901</v>
      </c>
      <c r="H35" s="19" cm="1">
        <f t="array" ref="H35">_xlfn.XLOOKUP(MONTH(G35) &amp; YEAR(G35),MONTH($B$6:$B$38) &amp; YEAR($B$6:$B$38),$C$6:$C$38)</f>
        <v>2.65</v>
      </c>
    </row>
    <row r="36" spans="1:8" x14ac:dyDescent="0.3">
      <c r="A36" s="2">
        <v>31</v>
      </c>
      <c r="B36" s="37">
        <v>44986</v>
      </c>
      <c r="C36" s="2">
        <v>4.97</v>
      </c>
      <c r="F36" s="19">
        <v>31</v>
      </c>
      <c r="G36" s="22">
        <v>45900</v>
      </c>
      <c r="H36" s="19" cm="1">
        <f t="array" ref="H36">_xlfn.XLOOKUP(MONTH(G36) &amp; YEAR(G36),MONTH($B$6:$B$38) &amp; YEAR($B$6:$B$38),$C$6:$C$38)</f>
        <v>2.31</v>
      </c>
    </row>
    <row r="37" spans="1:8" x14ac:dyDescent="0.3">
      <c r="A37" s="2">
        <v>32</v>
      </c>
      <c r="B37" s="37">
        <v>44958</v>
      </c>
      <c r="C37" s="2">
        <v>5.47</v>
      </c>
      <c r="F37" s="19">
        <v>32</v>
      </c>
      <c r="G37" s="22">
        <v>45899</v>
      </c>
      <c r="H37" s="19" cm="1">
        <f t="array" ref="H37">_xlfn.XLOOKUP(MONTH(G37) &amp; YEAR(G37),MONTH($B$6:$B$38) &amp; YEAR($B$6:$B$38),$C$6:$C$38)</f>
        <v>2.31</v>
      </c>
    </row>
    <row r="38" spans="1:8" x14ac:dyDescent="0.3">
      <c r="A38" s="2">
        <v>33</v>
      </c>
      <c r="B38" s="37">
        <v>44927</v>
      </c>
      <c r="C38" s="2">
        <v>5.28</v>
      </c>
      <c r="F38" s="19">
        <v>33</v>
      </c>
      <c r="G38" s="22">
        <v>45898</v>
      </c>
      <c r="H38" s="19" cm="1">
        <f t="array" ref="H38">_xlfn.XLOOKUP(MONTH(G38) &amp; YEAR(G38),MONTH($B$6:$B$38) &amp; YEAR($B$6:$B$38),$C$6:$C$38)</f>
        <v>2.31</v>
      </c>
    </row>
    <row r="39" spans="1:8" x14ac:dyDescent="0.3">
      <c r="F39" s="19">
        <v>34</v>
      </c>
      <c r="G39" s="22">
        <v>45897</v>
      </c>
      <c r="H39" s="19" cm="1">
        <f t="array" ref="H39">_xlfn.XLOOKUP(MONTH(G39) &amp; YEAR(G39),MONTH($B$6:$B$38) &amp; YEAR($B$6:$B$38),$C$6:$C$38)</f>
        <v>2.31</v>
      </c>
    </row>
    <row r="40" spans="1:8" x14ac:dyDescent="0.3">
      <c r="F40" s="19">
        <v>35</v>
      </c>
      <c r="G40" s="22">
        <v>45896</v>
      </c>
      <c r="H40" s="19" cm="1">
        <f t="array" ref="H40">_xlfn.XLOOKUP(MONTH(G40) &amp; YEAR(G40),MONTH($B$6:$B$38) &amp; YEAR($B$6:$B$38),$C$6:$C$38)</f>
        <v>2.31</v>
      </c>
    </row>
    <row r="41" spans="1:8" x14ac:dyDescent="0.3">
      <c r="F41" s="19">
        <v>36</v>
      </c>
      <c r="G41" s="22">
        <v>45895</v>
      </c>
      <c r="H41" s="19" cm="1">
        <f t="array" ref="H41">_xlfn.XLOOKUP(MONTH(G41) &amp; YEAR(G41),MONTH($B$6:$B$38) &amp; YEAR($B$6:$B$38),$C$6:$C$38)</f>
        <v>2.31</v>
      </c>
    </row>
    <row r="42" spans="1:8" x14ac:dyDescent="0.3">
      <c r="F42" s="19">
        <v>37</v>
      </c>
      <c r="G42" s="22">
        <v>45894</v>
      </c>
      <c r="H42" s="19" cm="1">
        <f t="array" ref="H42">_xlfn.XLOOKUP(MONTH(G42) &amp; YEAR(G42),MONTH($B$6:$B$38) &amp; YEAR($B$6:$B$38),$C$6:$C$38)</f>
        <v>2.31</v>
      </c>
    </row>
    <row r="43" spans="1:8" x14ac:dyDescent="0.3">
      <c r="F43" s="19">
        <v>38</v>
      </c>
      <c r="G43" s="22">
        <v>45893</v>
      </c>
      <c r="H43" s="19" cm="1">
        <f t="array" ref="H43">_xlfn.XLOOKUP(MONTH(G43) &amp; YEAR(G43),MONTH($B$6:$B$38) &amp; YEAR($B$6:$B$38),$C$6:$C$38)</f>
        <v>2.31</v>
      </c>
    </row>
    <row r="44" spans="1:8" x14ac:dyDescent="0.3">
      <c r="F44" s="19">
        <v>39</v>
      </c>
      <c r="G44" s="22">
        <v>45892</v>
      </c>
      <c r="H44" s="19" cm="1">
        <f t="array" ref="H44">_xlfn.XLOOKUP(MONTH(G44) &amp; YEAR(G44),MONTH($B$6:$B$38) &amp; YEAR($B$6:$B$38),$C$6:$C$38)</f>
        <v>2.31</v>
      </c>
    </row>
    <row r="45" spans="1:8" x14ac:dyDescent="0.3">
      <c r="F45" s="19">
        <v>40</v>
      </c>
      <c r="G45" s="22">
        <v>45891</v>
      </c>
      <c r="H45" s="19" cm="1">
        <f t="array" ref="H45">_xlfn.XLOOKUP(MONTH(G45) &amp; YEAR(G45),MONTH($B$6:$B$38) &amp; YEAR($B$6:$B$38),$C$6:$C$38)</f>
        <v>2.31</v>
      </c>
    </row>
    <row r="46" spans="1:8" x14ac:dyDescent="0.3">
      <c r="F46" s="19">
        <v>41</v>
      </c>
      <c r="G46" s="22">
        <v>45890</v>
      </c>
      <c r="H46" s="19" cm="1">
        <f t="array" ref="H46">_xlfn.XLOOKUP(MONTH(G46) &amp; YEAR(G46),MONTH($B$6:$B$38) &amp; YEAR($B$6:$B$38),$C$6:$C$38)</f>
        <v>2.31</v>
      </c>
    </row>
    <row r="47" spans="1:8" x14ac:dyDescent="0.3">
      <c r="F47" s="19">
        <v>42</v>
      </c>
      <c r="G47" s="22">
        <v>45889</v>
      </c>
      <c r="H47" s="19" cm="1">
        <f t="array" ref="H47">_xlfn.XLOOKUP(MONTH(G47) &amp; YEAR(G47),MONTH($B$6:$B$38) &amp; YEAR($B$6:$B$38),$C$6:$C$38)</f>
        <v>2.31</v>
      </c>
    </row>
    <row r="48" spans="1:8" x14ac:dyDescent="0.3">
      <c r="F48" s="19">
        <v>43</v>
      </c>
      <c r="G48" s="22">
        <v>45888</v>
      </c>
      <c r="H48" s="19" cm="1">
        <f t="array" ref="H48">_xlfn.XLOOKUP(MONTH(G48) &amp; YEAR(G48),MONTH($B$6:$B$38) &amp; YEAR($B$6:$B$38),$C$6:$C$38)</f>
        <v>2.31</v>
      </c>
    </row>
    <row r="49" spans="6:8" x14ac:dyDescent="0.3">
      <c r="F49" s="19">
        <v>44</v>
      </c>
      <c r="G49" s="22">
        <v>45887</v>
      </c>
      <c r="H49" s="19" cm="1">
        <f t="array" ref="H49">_xlfn.XLOOKUP(MONTH(G49) &amp; YEAR(G49),MONTH($B$6:$B$38) &amp; YEAR($B$6:$B$38),$C$6:$C$38)</f>
        <v>2.31</v>
      </c>
    </row>
    <row r="50" spans="6:8" x14ac:dyDescent="0.3">
      <c r="F50" s="19">
        <v>45</v>
      </c>
      <c r="G50" s="22">
        <v>45886</v>
      </c>
      <c r="H50" s="19" cm="1">
        <f t="array" ref="H50">_xlfn.XLOOKUP(MONTH(G50) &amp; YEAR(G50),MONTH($B$6:$B$38) &amp; YEAR($B$6:$B$38),$C$6:$C$38)</f>
        <v>2.31</v>
      </c>
    </row>
    <row r="51" spans="6:8" x14ac:dyDescent="0.3">
      <c r="F51" s="19">
        <v>46</v>
      </c>
      <c r="G51" s="22">
        <v>45885</v>
      </c>
      <c r="H51" s="19" cm="1">
        <f t="array" ref="H51">_xlfn.XLOOKUP(MONTH(G51) &amp; YEAR(G51),MONTH($B$6:$B$38) &amp; YEAR($B$6:$B$38),$C$6:$C$38)</f>
        <v>2.31</v>
      </c>
    </row>
    <row r="52" spans="6:8" x14ac:dyDescent="0.3">
      <c r="F52" s="19">
        <v>47</v>
      </c>
      <c r="G52" s="22">
        <v>45884</v>
      </c>
      <c r="H52" s="19" cm="1">
        <f t="array" ref="H52">_xlfn.XLOOKUP(MONTH(G52) &amp; YEAR(G52),MONTH($B$6:$B$38) &amp; YEAR($B$6:$B$38),$C$6:$C$38)</f>
        <v>2.31</v>
      </c>
    </row>
    <row r="53" spans="6:8" x14ac:dyDescent="0.3">
      <c r="F53" s="19">
        <v>48</v>
      </c>
      <c r="G53" s="22">
        <v>45883</v>
      </c>
      <c r="H53" s="19" cm="1">
        <f t="array" ref="H53">_xlfn.XLOOKUP(MONTH(G53) &amp; YEAR(G53),MONTH($B$6:$B$38) &amp; YEAR($B$6:$B$38),$C$6:$C$38)</f>
        <v>2.31</v>
      </c>
    </row>
    <row r="54" spans="6:8" x14ac:dyDescent="0.3">
      <c r="F54" s="19">
        <v>49</v>
      </c>
      <c r="G54" s="22">
        <v>45882</v>
      </c>
      <c r="H54" s="19" cm="1">
        <f t="array" ref="H54">_xlfn.XLOOKUP(MONTH(G54) &amp; YEAR(G54),MONTH($B$6:$B$38) &amp; YEAR($B$6:$B$38),$C$6:$C$38)</f>
        <v>2.31</v>
      </c>
    </row>
    <row r="55" spans="6:8" x14ac:dyDescent="0.3">
      <c r="F55" s="19">
        <v>50</v>
      </c>
      <c r="G55" s="22">
        <v>45881</v>
      </c>
      <c r="H55" s="19" cm="1">
        <f t="array" ref="H55">_xlfn.XLOOKUP(MONTH(G55) &amp; YEAR(G55),MONTH($B$6:$B$38) &amp; YEAR($B$6:$B$38),$C$6:$C$38)</f>
        <v>2.31</v>
      </c>
    </row>
    <row r="56" spans="6:8" x14ac:dyDescent="0.3">
      <c r="F56" s="19">
        <v>51</v>
      </c>
      <c r="G56" s="22">
        <v>45880</v>
      </c>
      <c r="H56" s="19" cm="1">
        <f t="array" ref="H56">_xlfn.XLOOKUP(MONTH(G56) &amp; YEAR(G56),MONTH($B$6:$B$38) &amp; YEAR($B$6:$B$38),$C$6:$C$38)</f>
        <v>2.31</v>
      </c>
    </row>
    <row r="57" spans="6:8" x14ac:dyDescent="0.3">
      <c r="F57" s="19">
        <v>52</v>
      </c>
      <c r="G57" s="22">
        <v>45879</v>
      </c>
      <c r="H57" s="19" cm="1">
        <f t="array" ref="H57">_xlfn.XLOOKUP(MONTH(G57) &amp; YEAR(G57),MONTH($B$6:$B$38) &amp; YEAR($B$6:$B$38),$C$6:$C$38)</f>
        <v>2.31</v>
      </c>
    </row>
    <row r="58" spans="6:8" x14ac:dyDescent="0.3">
      <c r="F58" s="19">
        <v>53</v>
      </c>
      <c r="G58" s="22">
        <v>45878</v>
      </c>
      <c r="H58" s="19" cm="1">
        <f t="array" ref="H58">_xlfn.XLOOKUP(MONTH(G58) &amp; YEAR(G58),MONTH($B$6:$B$38) &amp; YEAR($B$6:$B$38),$C$6:$C$38)</f>
        <v>2.31</v>
      </c>
    </row>
    <row r="59" spans="6:8" x14ac:dyDescent="0.3">
      <c r="F59" s="19">
        <v>54</v>
      </c>
      <c r="G59" s="22">
        <v>45877</v>
      </c>
      <c r="H59" s="19" cm="1">
        <f t="array" ref="H59">_xlfn.XLOOKUP(MONTH(G59) &amp; YEAR(G59),MONTH($B$6:$B$38) &amp; YEAR($B$6:$B$38),$C$6:$C$38)</f>
        <v>2.31</v>
      </c>
    </row>
    <row r="60" spans="6:8" x14ac:dyDescent="0.3">
      <c r="F60" s="19">
        <v>55</v>
      </c>
      <c r="G60" s="22">
        <v>45876</v>
      </c>
      <c r="H60" s="19" cm="1">
        <f t="array" ref="H60">_xlfn.XLOOKUP(MONTH(G60) &amp; YEAR(G60),MONTH($B$6:$B$38) &amp; YEAR($B$6:$B$38),$C$6:$C$38)</f>
        <v>2.31</v>
      </c>
    </row>
    <row r="61" spans="6:8" x14ac:dyDescent="0.3">
      <c r="F61" s="19">
        <v>56</v>
      </c>
      <c r="G61" s="22">
        <v>45875</v>
      </c>
      <c r="H61" s="19" cm="1">
        <f t="array" ref="H61">_xlfn.XLOOKUP(MONTH(G61) &amp; YEAR(G61),MONTH($B$6:$B$38) &amp; YEAR($B$6:$B$38),$C$6:$C$38)</f>
        <v>2.31</v>
      </c>
    </row>
    <row r="62" spans="6:8" x14ac:dyDescent="0.3">
      <c r="F62" s="19">
        <v>57</v>
      </c>
      <c r="G62" s="22">
        <v>45874</v>
      </c>
      <c r="H62" s="19" cm="1">
        <f t="array" ref="H62">_xlfn.XLOOKUP(MONTH(G62) &amp; YEAR(G62),MONTH($B$6:$B$38) &amp; YEAR($B$6:$B$38),$C$6:$C$38)</f>
        <v>2.31</v>
      </c>
    </row>
    <row r="63" spans="6:8" x14ac:dyDescent="0.3">
      <c r="F63" s="19">
        <v>58</v>
      </c>
      <c r="G63" s="22">
        <v>45873</v>
      </c>
      <c r="H63" s="19" cm="1">
        <f t="array" ref="H63">_xlfn.XLOOKUP(MONTH(G63) &amp; YEAR(G63),MONTH($B$6:$B$38) &amp; YEAR($B$6:$B$38),$C$6:$C$38)</f>
        <v>2.31</v>
      </c>
    </row>
    <row r="64" spans="6:8" x14ac:dyDescent="0.3">
      <c r="F64" s="19">
        <v>59</v>
      </c>
      <c r="G64" s="22">
        <v>45872</v>
      </c>
      <c r="H64" s="19" cm="1">
        <f t="array" ref="H64">_xlfn.XLOOKUP(MONTH(G64) &amp; YEAR(G64),MONTH($B$6:$B$38) &amp; YEAR($B$6:$B$38),$C$6:$C$38)</f>
        <v>2.31</v>
      </c>
    </row>
    <row r="65" spans="6:8" x14ac:dyDescent="0.3">
      <c r="F65" s="19">
        <v>60</v>
      </c>
      <c r="G65" s="22">
        <v>45871</v>
      </c>
      <c r="H65" s="19" cm="1">
        <f t="array" ref="H65">_xlfn.XLOOKUP(MONTH(G65) &amp; YEAR(G65),MONTH($B$6:$B$38) &amp; YEAR($B$6:$B$38),$C$6:$C$38)</f>
        <v>2.31</v>
      </c>
    </row>
    <row r="66" spans="6:8" x14ac:dyDescent="0.3">
      <c r="F66" s="19">
        <v>61</v>
      </c>
      <c r="G66" s="22">
        <v>45870</v>
      </c>
      <c r="H66" s="19" cm="1">
        <f t="array" ref="H66">_xlfn.XLOOKUP(MONTH(G66) &amp; YEAR(G66),MONTH($B$6:$B$38) &amp; YEAR($B$6:$B$38),$C$6:$C$38)</f>
        <v>2.31</v>
      </c>
    </row>
    <row r="67" spans="6:8" x14ac:dyDescent="0.3">
      <c r="F67" s="19">
        <v>62</v>
      </c>
      <c r="G67" s="22">
        <v>45869</v>
      </c>
      <c r="H67" s="19" cm="1">
        <f t="array" ref="H67">_xlfn.XLOOKUP(MONTH(G67) &amp; YEAR(G67),MONTH($B$6:$B$38) &amp; YEAR($B$6:$B$38),$C$6:$C$38)</f>
        <v>2.37</v>
      </c>
    </row>
    <row r="68" spans="6:8" x14ac:dyDescent="0.3">
      <c r="F68" s="19">
        <v>63</v>
      </c>
      <c r="G68" s="22">
        <v>45868</v>
      </c>
      <c r="H68" s="19" cm="1">
        <f t="array" ref="H68">_xlfn.XLOOKUP(MONTH(G68) &amp; YEAR(G68),MONTH($B$6:$B$38) &amp; YEAR($B$6:$B$38),$C$6:$C$38)</f>
        <v>2.37</v>
      </c>
    </row>
    <row r="69" spans="6:8" x14ac:dyDescent="0.3">
      <c r="F69" s="19">
        <v>64</v>
      </c>
      <c r="G69" s="22">
        <v>45867</v>
      </c>
      <c r="H69" s="19" cm="1">
        <f t="array" ref="H69">_xlfn.XLOOKUP(MONTH(G69) &amp; YEAR(G69),MONTH($B$6:$B$38) &amp; YEAR($B$6:$B$38),$C$6:$C$38)</f>
        <v>2.37</v>
      </c>
    </row>
    <row r="70" spans="6:8" x14ac:dyDescent="0.3">
      <c r="F70" s="19">
        <v>65</v>
      </c>
      <c r="G70" s="22">
        <v>45866</v>
      </c>
      <c r="H70" s="19" cm="1">
        <f t="array" ref="H70">_xlfn.XLOOKUP(MONTH(G70) &amp; YEAR(G70),MONTH($B$6:$B$38) &amp; YEAR($B$6:$B$38),$C$6:$C$38)</f>
        <v>2.37</v>
      </c>
    </row>
    <row r="71" spans="6:8" x14ac:dyDescent="0.3">
      <c r="F71" s="19">
        <v>66</v>
      </c>
      <c r="G71" s="22">
        <v>45865</v>
      </c>
      <c r="H71" s="19" cm="1">
        <f t="array" ref="H71">_xlfn.XLOOKUP(MONTH(G71) &amp; YEAR(G71),MONTH($B$6:$B$38) &amp; YEAR($B$6:$B$38),$C$6:$C$38)</f>
        <v>2.37</v>
      </c>
    </row>
    <row r="72" spans="6:8" x14ac:dyDescent="0.3">
      <c r="F72" s="19">
        <v>67</v>
      </c>
      <c r="G72" s="22">
        <v>45864</v>
      </c>
      <c r="H72" s="19" cm="1">
        <f t="array" ref="H72">_xlfn.XLOOKUP(MONTH(G72) &amp; YEAR(G72),MONTH($B$6:$B$38) &amp; YEAR($B$6:$B$38),$C$6:$C$38)</f>
        <v>2.37</v>
      </c>
    </row>
    <row r="73" spans="6:8" x14ac:dyDescent="0.3">
      <c r="F73" s="19">
        <v>68</v>
      </c>
      <c r="G73" s="22">
        <v>45863</v>
      </c>
      <c r="H73" s="19" cm="1">
        <f t="array" ref="H73">_xlfn.XLOOKUP(MONTH(G73) &amp; YEAR(G73),MONTH($B$6:$B$38) &amp; YEAR($B$6:$B$38),$C$6:$C$38)</f>
        <v>2.37</v>
      </c>
    </row>
    <row r="74" spans="6:8" x14ac:dyDescent="0.3">
      <c r="F74" s="19">
        <v>69</v>
      </c>
      <c r="G74" s="22">
        <v>45862</v>
      </c>
      <c r="H74" s="19" cm="1">
        <f t="array" ref="H74">_xlfn.XLOOKUP(MONTH(G74) &amp; YEAR(G74),MONTH($B$6:$B$38) &amp; YEAR($B$6:$B$38),$C$6:$C$38)</f>
        <v>2.37</v>
      </c>
    </row>
    <row r="75" spans="6:8" x14ac:dyDescent="0.3">
      <c r="F75" s="19">
        <v>70</v>
      </c>
      <c r="G75" s="22">
        <v>45861</v>
      </c>
      <c r="H75" s="19" cm="1">
        <f t="array" ref="H75">_xlfn.XLOOKUP(MONTH(G75) &amp; YEAR(G75),MONTH($B$6:$B$38) &amp; YEAR($B$6:$B$38),$C$6:$C$38)</f>
        <v>2.37</v>
      </c>
    </row>
    <row r="76" spans="6:8" x14ac:dyDescent="0.3">
      <c r="F76" s="19">
        <v>71</v>
      </c>
      <c r="G76" s="22">
        <v>45860</v>
      </c>
      <c r="H76" s="19" cm="1">
        <f t="array" ref="H76">_xlfn.XLOOKUP(MONTH(G76) &amp; YEAR(G76),MONTH($B$6:$B$38) &amp; YEAR($B$6:$B$38),$C$6:$C$38)</f>
        <v>2.37</v>
      </c>
    </row>
    <row r="77" spans="6:8" x14ac:dyDescent="0.3">
      <c r="F77" s="19">
        <v>72</v>
      </c>
      <c r="G77" s="22">
        <v>45859</v>
      </c>
      <c r="H77" s="19" cm="1">
        <f t="array" ref="H77">_xlfn.XLOOKUP(MONTH(G77) &amp; YEAR(G77),MONTH($B$6:$B$38) &amp; YEAR($B$6:$B$38),$C$6:$C$38)</f>
        <v>2.37</v>
      </c>
    </row>
    <row r="78" spans="6:8" x14ac:dyDescent="0.3">
      <c r="F78" s="19">
        <v>73</v>
      </c>
      <c r="G78" s="22">
        <v>45858</v>
      </c>
      <c r="H78" s="19" cm="1">
        <f t="array" ref="H78">_xlfn.XLOOKUP(MONTH(G78) &amp; YEAR(G78),MONTH($B$6:$B$38) &amp; YEAR($B$6:$B$38),$C$6:$C$38)</f>
        <v>2.37</v>
      </c>
    </row>
    <row r="79" spans="6:8" x14ac:dyDescent="0.3">
      <c r="F79" s="19">
        <v>74</v>
      </c>
      <c r="G79" s="22">
        <v>45857</v>
      </c>
      <c r="H79" s="19" cm="1">
        <f t="array" ref="H79">_xlfn.XLOOKUP(MONTH(G79) &amp; YEAR(G79),MONTH($B$6:$B$38) &amp; YEAR($B$6:$B$38),$C$6:$C$38)</f>
        <v>2.37</v>
      </c>
    </row>
    <row r="80" spans="6:8" x14ac:dyDescent="0.3">
      <c r="F80" s="19">
        <v>75</v>
      </c>
      <c r="G80" s="22">
        <v>45856</v>
      </c>
      <c r="H80" s="19" cm="1">
        <f t="array" ref="H80">_xlfn.XLOOKUP(MONTH(G80) &amp; YEAR(G80),MONTH($B$6:$B$38) &amp; YEAR($B$6:$B$38),$C$6:$C$38)</f>
        <v>2.37</v>
      </c>
    </row>
    <row r="81" spans="6:8" x14ac:dyDescent="0.3">
      <c r="F81" s="19">
        <v>76</v>
      </c>
      <c r="G81" s="22">
        <v>45855</v>
      </c>
      <c r="H81" s="19" cm="1">
        <f t="array" ref="H81">_xlfn.XLOOKUP(MONTH(G81) &amp; YEAR(G81),MONTH($B$6:$B$38) &amp; YEAR($B$6:$B$38),$C$6:$C$38)</f>
        <v>2.37</v>
      </c>
    </row>
    <row r="82" spans="6:8" x14ac:dyDescent="0.3">
      <c r="F82" s="19">
        <v>77</v>
      </c>
      <c r="G82" s="22">
        <v>45854</v>
      </c>
      <c r="H82" s="19" cm="1">
        <f t="array" ref="H82">_xlfn.XLOOKUP(MONTH(G82) &amp; YEAR(G82),MONTH($B$6:$B$38) &amp; YEAR($B$6:$B$38),$C$6:$C$38)</f>
        <v>2.37</v>
      </c>
    </row>
    <row r="83" spans="6:8" x14ac:dyDescent="0.3">
      <c r="F83" s="19">
        <v>78</v>
      </c>
      <c r="G83" s="22">
        <v>45853</v>
      </c>
      <c r="H83" s="19" cm="1">
        <f t="array" ref="H83">_xlfn.XLOOKUP(MONTH(G83) &amp; YEAR(G83),MONTH($B$6:$B$38) &amp; YEAR($B$6:$B$38),$C$6:$C$38)</f>
        <v>2.37</v>
      </c>
    </row>
    <row r="84" spans="6:8" x14ac:dyDescent="0.3">
      <c r="F84" s="19">
        <v>79</v>
      </c>
      <c r="G84" s="22">
        <v>45852</v>
      </c>
      <c r="H84" s="19" cm="1">
        <f t="array" ref="H84">_xlfn.XLOOKUP(MONTH(G84) &amp; YEAR(G84),MONTH($B$6:$B$38) &amp; YEAR($B$6:$B$38),$C$6:$C$38)</f>
        <v>2.37</v>
      </c>
    </row>
    <row r="85" spans="6:8" x14ac:dyDescent="0.3">
      <c r="F85" s="19">
        <v>80</v>
      </c>
      <c r="G85" s="22">
        <v>45851</v>
      </c>
      <c r="H85" s="19" cm="1">
        <f t="array" ref="H85">_xlfn.XLOOKUP(MONTH(G85) &amp; YEAR(G85),MONTH($B$6:$B$38) &amp; YEAR($B$6:$B$38),$C$6:$C$38)</f>
        <v>2.37</v>
      </c>
    </row>
    <row r="86" spans="6:8" x14ac:dyDescent="0.3">
      <c r="F86" s="19">
        <v>81</v>
      </c>
      <c r="G86" s="22">
        <v>45850</v>
      </c>
      <c r="H86" s="19" cm="1">
        <f t="array" ref="H86">_xlfn.XLOOKUP(MONTH(G86) &amp; YEAR(G86),MONTH($B$6:$B$38) &amp; YEAR($B$6:$B$38),$C$6:$C$38)</f>
        <v>2.37</v>
      </c>
    </row>
    <row r="87" spans="6:8" x14ac:dyDescent="0.3">
      <c r="F87" s="19">
        <v>82</v>
      </c>
      <c r="G87" s="22">
        <v>45849</v>
      </c>
      <c r="H87" s="19" cm="1">
        <f t="array" ref="H87">_xlfn.XLOOKUP(MONTH(G87) &amp; YEAR(G87),MONTH($B$6:$B$38) &amp; YEAR($B$6:$B$38),$C$6:$C$38)</f>
        <v>2.37</v>
      </c>
    </row>
    <row r="88" spans="6:8" x14ac:dyDescent="0.3">
      <c r="F88" s="19">
        <v>83</v>
      </c>
      <c r="G88" s="22">
        <v>45848</v>
      </c>
      <c r="H88" s="19" cm="1">
        <f t="array" ref="H88">_xlfn.XLOOKUP(MONTH(G88) &amp; YEAR(G88),MONTH($B$6:$B$38) &amp; YEAR($B$6:$B$38),$C$6:$C$38)</f>
        <v>2.37</v>
      </c>
    </row>
    <row r="89" spans="6:8" x14ac:dyDescent="0.3">
      <c r="F89" s="19">
        <v>84</v>
      </c>
      <c r="G89" s="22">
        <v>45847</v>
      </c>
      <c r="H89" s="19" cm="1">
        <f t="array" ref="H89">_xlfn.XLOOKUP(MONTH(G89) &amp; YEAR(G89),MONTH($B$6:$B$38) &amp; YEAR($B$6:$B$38),$C$6:$C$38)</f>
        <v>2.37</v>
      </c>
    </row>
    <row r="90" spans="6:8" x14ac:dyDescent="0.3">
      <c r="F90" s="19">
        <v>85</v>
      </c>
      <c r="G90" s="22">
        <v>45846</v>
      </c>
      <c r="H90" s="19" cm="1">
        <f t="array" ref="H90">_xlfn.XLOOKUP(MONTH(G90) &amp; YEAR(G90),MONTH($B$6:$B$38) &amp; YEAR($B$6:$B$38),$C$6:$C$38)</f>
        <v>2.37</v>
      </c>
    </row>
    <row r="91" spans="6:8" x14ac:dyDescent="0.3">
      <c r="F91" s="19">
        <v>86</v>
      </c>
      <c r="G91" s="22">
        <v>45845</v>
      </c>
      <c r="H91" s="19" cm="1">
        <f t="array" ref="H91">_xlfn.XLOOKUP(MONTH(G91) &amp; YEAR(G91),MONTH($B$6:$B$38) &amp; YEAR($B$6:$B$38),$C$6:$C$38)</f>
        <v>2.37</v>
      </c>
    </row>
    <row r="92" spans="6:8" x14ac:dyDescent="0.3">
      <c r="F92" s="19">
        <v>87</v>
      </c>
      <c r="G92" s="22">
        <v>45844</v>
      </c>
      <c r="H92" s="19" cm="1">
        <f t="array" ref="H92">_xlfn.XLOOKUP(MONTH(G92) &amp; YEAR(G92),MONTH($B$6:$B$38) &amp; YEAR($B$6:$B$38),$C$6:$C$38)</f>
        <v>2.37</v>
      </c>
    </row>
    <row r="93" spans="6:8" x14ac:dyDescent="0.3">
      <c r="F93" s="19">
        <v>88</v>
      </c>
      <c r="G93" s="22">
        <v>45843</v>
      </c>
      <c r="H93" s="19" cm="1">
        <f t="array" ref="H93">_xlfn.XLOOKUP(MONTH(G93) &amp; YEAR(G93),MONTH($B$6:$B$38) &amp; YEAR($B$6:$B$38),$C$6:$C$38)</f>
        <v>2.37</v>
      </c>
    </row>
    <row r="94" spans="6:8" x14ac:dyDescent="0.3">
      <c r="F94" s="19">
        <v>89</v>
      </c>
      <c r="G94" s="22">
        <v>45842</v>
      </c>
      <c r="H94" s="19" cm="1">
        <f t="array" ref="H94">_xlfn.XLOOKUP(MONTH(G94) &amp; YEAR(G94),MONTH($B$6:$B$38) &amp; YEAR($B$6:$B$38),$C$6:$C$38)</f>
        <v>2.37</v>
      </c>
    </row>
    <row r="95" spans="6:8" x14ac:dyDescent="0.3">
      <c r="F95" s="19">
        <v>90</v>
      </c>
      <c r="G95" s="22">
        <v>45841</v>
      </c>
      <c r="H95" s="19" cm="1">
        <f t="array" ref="H95">_xlfn.XLOOKUP(MONTH(G95) &amp; YEAR(G95),MONTH($B$6:$B$38) &amp; YEAR($B$6:$B$38),$C$6:$C$38)</f>
        <v>2.37</v>
      </c>
    </row>
    <row r="96" spans="6:8" x14ac:dyDescent="0.3">
      <c r="F96" s="19">
        <v>91</v>
      </c>
      <c r="G96" s="22">
        <v>45840</v>
      </c>
      <c r="H96" s="19" cm="1">
        <f t="array" ref="H96">_xlfn.XLOOKUP(MONTH(G96) &amp; YEAR(G96),MONTH($B$6:$B$38) &amp; YEAR($B$6:$B$38),$C$6:$C$38)</f>
        <v>2.37</v>
      </c>
    </row>
    <row r="97" spans="6:8" x14ac:dyDescent="0.3">
      <c r="F97" s="19">
        <v>92</v>
      </c>
      <c r="G97" s="22">
        <v>45839</v>
      </c>
      <c r="H97" s="19" cm="1">
        <f t="array" ref="H97">_xlfn.XLOOKUP(MONTH(G97) &amp; YEAR(G97),MONTH($B$6:$B$38) &amp; YEAR($B$6:$B$38),$C$6:$C$38)</f>
        <v>2.37</v>
      </c>
    </row>
    <row r="98" spans="6:8" x14ac:dyDescent="0.3">
      <c r="F98" s="19">
        <v>93</v>
      </c>
      <c r="G98" s="22">
        <v>45838</v>
      </c>
      <c r="H98" s="19" cm="1">
        <f t="array" ref="H98">_xlfn.XLOOKUP(MONTH(G98) &amp; YEAR(G98),MONTH($B$6:$B$38) &amp; YEAR($B$6:$B$38),$C$6:$C$38)</f>
        <v>1.87</v>
      </c>
    </row>
    <row r="99" spans="6:8" x14ac:dyDescent="0.3">
      <c r="F99" s="19">
        <v>94</v>
      </c>
      <c r="G99" s="22">
        <v>45837</v>
      </c>
      <c r="H99" s="19" cm="1">
        <f t="array" ref="H99">_xlfn.XLOOKUP(MONTH(G99) &amp; YEAR(G99),MONTH($B$6:$B$38) &amp; YEAR($B$6:$B$38),$C$6:$C$38)</f>
        <v>1.87</v>
      </c>
    </row>
    <row r="100" spans="6:8" x14ac:dyDescent="0.3">
      <c r="F100" s="19">
        <v>95</v>
      </c>
      <c r="G100" s="22">
        <v>45836</v>
      </c>
      <c r="H100" s="19" cm="1">
        <f t="array" ref="H100">_xlfn.XLOOKUP(MONTH(G100) &amp; YEAR(G100),MONTH($B$6:$B$38) &amp; YEAR($B$6:$B$38),$C$6:$C$38)</f>
        <v>1.87</v>
      </c>
    </row>
    <row r="101" spans="6:8" x14ac:dyDescent="0.3">
      <c r="F101" s="19">
        <v>96</v>
      </c>
      <c r="G101" s="22">
        <v>45835</v>
      </c>
      <c r="H101" s="19" cm="1">
        <f t="array" ref="H101">_xlfn.XLOOKUP(MONTH(G101) &amp; YEAR(G101),MONTH($B$6:$B$38) &amp; YEAR($B$6:$B$38),$C$6:$C$38)</f>
        <v>1.87</v>
      </c>
    </row>
    <row r="102" spans="6:8" x14ac:dyDescent="0.3">
      <c r="F102" s="19">
        <v>97</v>
      </c>
      <c r="G102" s="22">
        <v>45834</v>
      </c>
      <c r="H102" s="19" cm="1">
        <f t="array" ref="H102">_xlfn.XLOOKUP(MONTH(G102) &amp; YEAR(G102),MONTH($B$6:$B$38) &amp; YEAR($B$6:$B$38),$C$6:$C$38)</f>
        <v>1.87</v>
      </c>
    </row>
    <row r="103" spans="6:8" x14ac:dyDescent="0.3">
      <c r="F103" s="19">
        <v>98</v>
      </c>
      <c r="G103" s="22">
        <v>45833</v>
      </c>
      <c r="H103" s="19" cm="1">
        <f t="array" ref="H103">_xlfn.XLOOKUP(MONTH(G103) &amp; YEAR(G103),MONTH($B$6:$B$38) &amp; YEAR($B$6:$B$38),$C$6:$C$38)</f>
        <v>1.87</v>
      </c>
    </row>
    <row r="104" spans="6:8" x14ac:dyDescent="0.3">
      <c r="F104" s="19">
        <v>99</v>
      </c>
      <c r="G104" s="22">
        <v>45832</v>
      </c>
      <c r="H104" s="19" cm="1">
        <f t="array" ref="H104">_xlfn.XLOOKUP(MONTH(G104) &amp; YEAR(G104),MONTH($B$6:$B$38) &amp; YEAR($B$6:$B$38),$C$6:$C$38)</f>
        <v>1.87</v>
      </c>
    </row>
    <row r="105" spans="6:8" x14ac:dyDescent="0.3">
      <c r="F105" s="19">
        <v>100</v>
      </c>
      <c r="G105" s="22">
        <v>45831</v>
      </c>
      <c r="H105" s="19" cm="1">
        <f t="array" ref="H105">_xlfn.XLOOKUP(MONTH(G105) &amp; YEAR(G105),MONTH($B$6:$B$38) &amp; YEAR($B$6:$B$38),$C$6:$C$38)</f>
        <v>1.87</v>
      </c>
    </row>
    <row r="106" spans="6:8" x14ac:dyDescent="0.3">
      <c r="F106" s="19">
        <v>101</v>
      </c>
      <c r="G106" s="22">
        <v>45830</v>
      </c>
      <c r="H106" s="19" cm="1">
        <f t="array" ref="H106">_xlfn.XLOOKUP(MONTH(G106) &amp; YEAR(G106),MONTH($B$6:$B$38) &amp; YEAR($B$6:$B$38),$C$6:$C$38)</f>
        <v>1.87</v>
      </c>
    </row>
    <row r="107" spans="6:8" x14ac:dyDescent="0.3">
      <c r="F107" s="19">
        <v>102</v>
      </c>
      <c r="G107" s="22">
        <v>45829</v>
      </c>
      <c r="H107" s="19" cm="1">
        <f t="array" ref="H107">_xlfn.XLOOKUP(MONTH(G107) &amp; YEAR(G107),MONTH($B$6:$B$38) &amp; YEAR($B$6:$B$38),$C$6:$C$38)</f>
        <v>1.87</v>
      </c>
    </row>
    <row r="108" spans="6:8" x14ac:dyDescent="0.3">
      <c r="F108" s="19">
        <v>103</v>
      </c>
      <c r="G108" s="22">
        <v>45828</v>
      </c>
      <c r="H108" s="19" cm="1">
        <f t="array" ref="H108">_xlfn.XLOOKUP(MONTH(G108) &amp; YEAR(G108),MONTH($B$6:$B$38) &amp; YEAR($B$6:$B$38),$C$6:$C$38)</f>
        <v>1.87</v>
      </c>
    </row>
    <row r="109" spans="6:8" x14ac:dyDescent="0.3">
      <c r="F109" s="19">
        <v>104</v>
      </c>
      <c r="G109" s="22">
        <v>45827</v>
      </c>
      <c r="H109" s="19" cm="1">
        <f t="array" ref="H109">_xlfn.XLOOKUP(MONTH(G109) &amp; YEAR(G109),MONTH($B$6:$B$38) &amp; YEAR($B$6:$B$38),$C$6:$C$38)</f>
        <v>1.87</v>
      </c>
    </row>
    <row r="110" spans="6:8" x14ac:dyDescent="0.3">
      <c r="F110" s="19">
        <v>105</v>
      </c>
      <c r="G110" s="22">
        <v>45826</v>
      </c>
      <c r="H110" s="19" cm="1">
        <f t="array" ref="H110">_xlfn.XLOOKUP(MONTH(G110) &amp; YEAR(G110),MONTH($B$6:$B$38) &amp; YEAR($B$6:$B$38),$C$6:$C$38)</f>
        <v>1.87</v>
      </c>
    </row>
    <row r="111" spans="6:8" x14ac:dyDescent="0.3">
      <c r="F111" s="19">
        <v>106</v>
      </c>
      <c r="G111" s="22">
        <v>45825</v>
      </c>
      <c r="H111" s="19" cm="1">
        <f t="array" ref="H111">_xlfn.XLOOKUP(MONTH(G111) &amp; YEAR(G111),MONTH($B$6:$B$38) &amp; YEAR($B$6:$B$38),$C$6:$C$38)</f>
        <v>1.87</v>
      </c>
    </row>
    <row r="112" spans="6:8" x14ac:dyDescent="0.3">
      <c r="F112" s="19">
        <v>107</v>
      </c>
      <c r="G112" s="22">
        <v>45824</v>
      </c>
      <c r="H112" s="19" cm="1">
        <f t="array" ref="H112">_xlfn.XLOOKUP(MONTH(G112) &amp; YEAR(G112),MONTH($B$6:$B$38) &amp; YEAR($B$6:$B$38),$C$6:$C$38)</f>
        <v>1.87</v>
      </c>
    </row>
    <row r="113" spans="6:8" x14ac:dyDescent="0.3">
      <c r="F113" s="19">
        <v>108</v>
      </c>
      <c r="G113" s="22">
        <v>45823</v>
      </c>
      <c r="H113" s="19" cm="1">
        <f t="array" ref="H113">_xlfn.XLOOKUP(MONTH(G113) &amp; YEAR(G113),MONTH($B$6:$B$38) &amp; YEAR($B$6:$B$38),$C$6:$C$38)</f>
        <v>1.87</v>
      </c>
    </row>
    <row r="114" spans="6:8" x14ac:dyDescent="0.3">
      <c r="F114" s="19">
        <v>109</v>
      </c>
      <c r="G114" s="22">
        <v>45822</v>
      </c>
      <c r="H114" s="19" cm="1">
        <f t="array" ref="H114">_xlfn.XLOOKUP(MONTH(G114) &amp; YEAR(G114),MONTH($B$6:$B$38) &amp; YEAR($B$6:$B$38),$C$6:$C$38)</f>
        <v>1.87</v>
      </c>
    </row>
    <row r="115" spans="6:8" x14ac:dyDescent="0.3">
      <c r="F115" s="19">
        <v>110</v>
      </c>
      <c r="G115" s="22">
        <v>45821</v>
      </c>
      <c r="H115" s="19" cm="1">
        <f t="array" ref="H115">_xlfn.XLOOKUP(MONTH(G115) &amp; YEAR(G115),MONTH($B$6:$B$38) &amp; YEAR($B$6:$B$38),$C$6:$C$38)</f>
        <v>1.87</v>
      </c>
    </row>
    <row r="116" spans="6:8" x14ac:dyDescent="0.3">
      <c r="F116" s="19">
        <v>111</v>
      </c>
      <c r="G116" s="22">
        <v>45820</v>
      </c>
      <c r="H116" s="19" cm="1">
        <f t="array" ref="H116">_xlfn.XLOOKUP(MONTH(G116) &amp; YEAR(G116),MONTH($B$6:$B$38) &amp; YEAR($B$6:$B$38),$C$6:$C$38)</f>
        <v>1.87</v>
      </c>
    </row>
    <row r="117" spans="6:8" x14ac:dyDescent="0.3">
      <c r="F117" s="19">
        <v>112</v>
      </c>
      <c r="G117" s="22">
        <v>45819</v>
      </c>
      <c r="H117" s="19" cm="1">
        <f t="array" ref="H117">_xlfn.XLOOKUP(MONTH(G117) &amp; YEAR(G117),MONTH($B$6:$B$38) &amp; YEAR($B$6:$B$38),$C$6:$C$38)</f>
        <v>1.87</v>
      </c>
    </row>
    <row r="118" spans="6:8" x14ac:dyDescent="0.3">
      <c r="F118" s="19">
        <v>113</v>
      </c>
      <c r="G118" s="22">
        <v>45818</v>
      </c>
      <c r="H118" s="19" cm="1">
        <f t="array" ref="H118">_xlfn.XLOOKUP(MONTH(G118) &amp; YEAR(G118),MONTH($B$6:$B$38) &amp; YEAR($B$6:$B$38),$C$6:$C$38)</f>
        <v>1.87</v>
      </c>
    </row>
    <row r="119" spans="6:8" x14ac:dyDescent="0.3">
      <c r="F119" s="19">
        <v>114</v>
      </c>
      <c r="G119" s="22">
        <v>45817</v>
      </c>
      <c r="H119" s="19" cm="1">
        <f t="array" ref="H119">_xlfn.XLOOKUP(MONTH(G119) &amp; YEAR(G119),MONTH($B$6:$B$38) &amp; YEAR($B$6:$B$38),$C$6:$C$38)</f>
        <v>1.87</v>
      </c>
    </row>
    <row r="120" spans="6:8" x14ac:dyDescent="0.3">
      <c r="F120" s="19">
        <v>115</v>
      </c>
      <c r="G120" s="22">
        <v>45816</v>
      </c>
      <c r="H120" s="19" cm="1">
        <f t="array" ref="H120">_xlfn.XLOOKUP(MONTH(G120) &amp; YEAR(G120),MONTH($B$6:$B$38) &amp; YEAR($B$6:$B$38),$C$6:$C$38)</f>
        <v>1.87</v>
      </c>
    </row>
    <row r="121" spans="6:8" x14ac:dyDescent="0.3">
      <c r="F121" s="19">
        <v>116</v>
      </c>
      <c r="G121" s="22">
        <v>45815</v>
      </c>
      <c r="H121" s="19" cm="1">
        <f t="array" ref="H121">_xlfn.XLOOKUP(MONTH(G121) &amp; YEAR(G121),MONTH($B$6:$B$38) &amp; YEAR($B$6:$B$38),$C$6:$C$38)</f>
        <v>1.87</v>
      </c>
    </row>
    <row r="122" spans="6:8" x14ac:dyDescent="0.3">
      <c r="F122" s="19">
        <v>117</v>
      </c>
      <c r="G122" s="22">
        <v>45814</v>
      </c>
      <c r="H122" s="19" cm="1">
        <f t="array" ref="H122">_xlfn.XLOOKUP(MONTH(G122) &amp; YEAR(G122),MONTH($B$6:$B$38) &amp; YEAR($B$6:$B$38),$C$6:$C$38)</f>
        <v>1.87</v>
      </c>
    </row>
    <row r="123" spans="6:8" x14ac:dyDescent="0.3">
      <c r="F123" s="19">
        <v>118</v>
      </c>
      <c r="G123" s="22">
        <v>45813</v>
      </c>
      <c r="H123" s="19" cm="1">
        <f t="array" ref="H123">_xlfn.XLOOKUP(MONTH(G123) &amp; YEAR(G123),MONTH($B$6:$B$38) &amp; YEAR($B$6:$B$38),$C$6:$C$38)</f>
        <v>1.87</v>
      </c>
    </row>
    <row r="124" spans="6:8" x14ac:dyDescent="0.3">
      <c r="F124" s="19">
        <v>119</v>
      </c>
      <c r="G124" s="22">
        <v>45812</v>
      </c>
      <c r="H124" s="19" cm="1">
        <f t="array" ref="H124">_xlfn.XLOOKUP(MONTH(G124) &amp; YEAR(G124),MONTH($B$6:$B$38) &amp; YEAR($B$6:$B$38),$C$6:$C$38)</f>
        <v>1.87</v>
      </c>
    </row>
    <row r="125" spans="6:8" x14ac:dyDescent="0.3">
      <c r="F125" s="19">
        <v>120</v>
      </c>
      <c r="G125" s="22">
        <v>45811</v>
      </c>
      <c r="H125" s="19" cm="1">
        <f t="array" ref="H125">_xlfn.XLOOKUP(MONTH(G125) &amp; YEAR(G125),MONTH($B$6:$B$38) &amp; YEAR($B$6:$B$38),$C$6:$C$38)</f>
        <v>1.87</v>
      </c>
    </row>
    <row r="126" spans="6:8" x14ac:dyDescent="0.3">
      <c r="F126" s="19">
        <v>121</v>
      </c>
      <c r="G126" s="22">
        <v>45810</v>
      </c>
      <c r="H126" s="19" cm="1">
        <f t="array" ref="H126">_xlfn.XLOOKUP(MONTH(G126) &amp; YEAR(G126),MONTH($B$6:$B$38) &amp; YEAR($B$6:$B$38),$C$6:$C$38)</f>
        <v>1.87</v>
      </c>
    </row>
    <row r="127" spans="6:8" x14ac:dyDescent="0.3">
      <c r="F127" s="19">
        <v>122</v>
      </c>
      <c r="G127" s="22">
        <v>45809</v>
      </c>
      <c r="H127" s="19" cm="1">
        <f t="array" ref="H127">_xlfn.XLOOKUP(MONTH(G127) &amp; YEAR(G127),MONTH($B$6:$B$38) &amp; YEAR($B$6:$B$38),$C$6:$C$38)</f>
        <v>1.87</v>
      </c>
    </row>
    <row r="128" spans="6:8" x14ac:dyDescent="0.3">
      <c r="F128" s="19">
        <v>123</v>
      </c>
      <c r="G128" s="22">
        <v>45808</v>
      </c>
      <c r="H128" s="19" cm="1">
        <f t="array" ref="H128">_xlfn.XLOOKUP(MONTH(G128) &amp; YEAR(G128),MONTH($B$6:$B$38) &amp; YEAR($B$6:$B$38),$C$6:$C$38)</f>
        <v>1.6</v>
      </c>
    </row>
    <row r="129" spans="6:8" x14ac:dyDescent="0.3">
      <c r="F129" s="19">
        <v>124</v>
      </c>
      <c r="G129" s="22">
        <v>45807</v>
      </c>
      <c r="H129" s="19" cm="1">
        <f t="array" ref="H129">_xlfn.XLOOKUP(MONTH(G129) &amp; YEAR(G129),MONTH($B$6:$B$38) &amp; YEAR($B$6:$B$38),$C$6:$C$38)</f>
        <v>1.6</v>
      </c>
    </row>
    <row r="130" spans="6:8" x14ac:dyDescent="0.3">
      <c r="F130" s="19">
        <v>125</v>
      </c>
      <c r="G130" s="22">
        <v>45806</v>
      </c>
      <c r="H130" s="19" cm="1">
        <f t="array" ref="H130">_xlfn.XLOOKUP(MONTH(G130) &amp; YEAR(G130),MONTH($B$6:$B$38) &amp; YEAR($B$6:$B$38),$C$6:$C$38)</f>
        <v>1.6</v>
      </c>
    </row>
    <row r="131" spans="6:8" x14ac:dyDescent="0.3">
      <c r="F131" s="19">
        <v>126</v>
      </c>
      <c r="G131" s="22">
        <v>45805</v>
      </c>
      <c r="H131" s="19" cm="1">
        <f t="array" ref="H131">_xlfn.XLOOKUP(MONTH(G131) &amp; YEAR(G131),MONTH($B$6:$B$38) &amp; YEAR($B$6:$B$38),$C$6:$C$38)</f>
        <v>1.6</v>
      </c>
    </row>
    <row r="132" spans="6:8" x14ac:dyDescent="0.3">
      <c r="F132" s="19">
        <v>127</v>
      </c>
      <c r="G132" s="22">
        <v>45804</v>
      </c>
      <c r="H132" s="19" cm="1">
        <f t="array" ref="H132">_xlfn.XLOOKUP(MONTH(G132) &amp; YEAR(G132),MONTH($B$6:$B$38) &amp; YEAR($B$6:$B$38),$C$6:$C$38)</f>
        <v>1.6</v>
      </c>
    </row>
    <row r="133" spans="6:8" x14ac:dyDescent="0.3">
      <c r="F133" s="19">
        <v>128</v>
      </c>
      <c r="G133" s="22">
        <v>45803</v>
      </c>
      <c r="H133" s="19" cm="1">
        <f t="array" ref="H133">_xlfn.XLOOKUP(MONTH(G133) &amp; YEAR(G133),MONTH($B$6:$B$38) &amp; YEAR($B$6:$B$38),$C$6:$C$38)</f>
        <v>1.6</v>
      </c>
    </row>
    <row r="134" spans="6:8" x14ac:dyDescent="0.3">
      <c r="F134" s="19">
        <v>129</v>
      </c>
      <c r="G134" s="22">
        <v>45802</v>
      </c>
      <c r="H134" s="19" cm="1">
        <f t="array" ref="H134">_xlfn.XLOOKUP(MONTH(G134) &amp; YEAR(G134),MONTH($B$6:$B$38) &amp; YEAR($B$6:$B$38),$C$6:$C$38)</f>
        <v>1.6</v>
      </c>
    </row>
    <row r="135" spans="6:8" x14ac:dyDescent="0.3">
      <c r="F135" s="19">
        <v>130</v>
      </c>
      <c r="G135" s="22">
        <v>45801</v>
      </c>
      <c r="H135" s="19" cm="1">
        <f t="array" ref="H135">_xlfn.XLOOKUP(MONTH(G135) &amp; YEAR(G135),MONTH($B$6:$B$38) &amp; YEAR($B$6:$B$38),$C$6:$C$38)</f>
        <v>1.6</v>
      </c>
    </row>
    <row r="136" spans="6:8" x14ac:dyDescent="0.3">
      <c r="F136" s="19">
        <v>131</v>
      </c>
      <c r="G136" s="22">
        <v>45800</v>
      </c>
      <c r="H136" s="19" cm="1">
        <f t="array" ref="H136">_xlfn.XLOOKUP(MONTH(G136) &amp; YEAR(G136),MONTH($B$6:$B$38) &amp; YEAR($B$6:$B$38),$C$6:$C$38)</f>
        <v>1.6</v>
      </c>
    </row>
    <row r="137" spans="6:8" x14ac:dyDescent="0.3">
      <c r="F137" s="19">
        <v>132</v>
      </c>
      <c r="G137" s="22">
        <v>45799</v>
      </c>
      <c r="H137" s="19" cm="1">
        <f t="array" ref="H137">_xlfn.XLOOKUP(MONTH(G137) &amp; YEAR(G137),MONTH($B$6:$B$38) &amp; YEAR($B$6:$B$38),$C$6:$C$38)</f>
        <v>1.6</v>
      </c>
    </row>
    <row r="138" spans="6:8" x14ac:dyDescent="0.3">
      <c r="F138" s="19">
        <v>133</v>
      </c>
      <c r="G138" s="22">
        <v>45798</v>
      </c>
      <c r="H138" s="19" cm="1">
        <f t="array" ref="H138">_xlfn.XLOOKUP(MONTH(G138) &amp; YEAR(G138),MONTH($B$6:$B$38) &amp; YEAR($B$6:$B$38),$C$6:$C$38)</f>
        <v>1.6</v>
      </c>
    </row>
    <row r="139" spans="6:8" x14ac:dyDescent="0.3">
      <c r="F139" s="19">
        <v>134</v>
      </c>
      <c r="G139" s="22">
        <v>45797</v>
      </c>
      <c r="H139" s="19" cm="1">
        <f t="array" ref="H139">_xlfn.XLOOKUP(MONTH(G139) &amp; YEAR(G139),MONTH($B$6:$B$38) &amp; YEAR($B$6:$B$38),$C$6:$C$38)</f>
        <v>1.6</v>
      </c>
    </row>
    <row r="140" spans="6:8" x14ac:dyDescent="0.3">
      <c r="F140" s="19">
        <v>135</v>
      </c>
      <c r="G140" s="22">
        <v>45796</v>
      </c>
      <c r="H140" s="19" cm="1">
        <f t="array" ref="H140">_xlfn.XLOOKUP(MONTH(G140) &amp; YEAR(G140),MONTH($B$6:$B$38) &amp; YEAR($B$6:$B$38),$C$6:$C$38)</f>
        <v>1.6</v>
      </c>
    </row>
    <row r="141" spans="6:8" x14ac:dyDescent="0.3">
      <c r="F141" s="19">
        <v>136</v>
      </c>
      <c r="G141" s="22">
        <v>45795</v>
      </c>
      <c r="H141" s="19" cm="1">
        <f t="array" ref="H141">_xlfn.XLOOKUP(MONTH(G141) &amp; YEAR(G141),MONTH($B$6:$B$38) &amp; YEAR($B$6:$B$38),$C$6:$C$38)</f>
        <v>1.6</v>
      </c>
    </row>
    <row r="142" spans="6:8" x14ac:dyDescent="0.3">
      <c r="F142" s="19">
        <v>137</v>
      </c>
      <c r="G142" s="22">
        <v>45794</v>
      </c>
      <c r="H142" s="19" cm="1">
        <f t="array" ref="H142">_xlfn.XLOOKUP(MONTH(G142) &amp; YEAR(G142),MONTH($B$6:$B$38) &amp; YEAR($B$6:$B$38),$C$6:$C$38)</f>
        <v>1.6</v>
      </c>
    </row>
    <row r="143" spans="6:8" x14ac:dyDescent="0.3">
      <c r="F143" s="19">
        <v>138</v>
      </c>
      <c r="G143" s="22">
        <v>45793</v>
      </c>
      <c r="H143" s="19" cm="1">
        <f t="array" ref="H143">_xlfn.XLOOKUP(MONTH(G143) &amp; YEAR(G143),MONTH($B$6:$B$38) &amp; YEAR($B$6:$B$38),$C$6:$C$38)</f>
        <v>1.6</v>
      </c>
    </row>
    <row r="144" spans="6:8" x14ac:dyDescent="0.3">
      <c r="F144" s="19">
        <v>139</v>
      </c>
      <c r="G144" s="22">
        <v>45792</v>
      </c>
      <c r="H144" s="19" cm="1">
        <f t="array" ref="H144">_xlfn.XLOOKUP(MONTH(G144) &amp; YEAR(G144),MONTH($B$6:$B$38) &amp; YEAR($B$6:$B$38),$C$6:$C$38)</f>
        <v>1.6</v>
      </c>
    </row>
    <row r="145" spans="6:8" x14ac:dyDescent="0.3">
      <c r="F145" s="19">
        <v>140</v>
      </c>
      <c r="G145" s="22">
        <v>45791</v>
      </c>
      <c r="H145" s="19" cm="1">
        <f t="array" ref="H145">_xlfn.XLOOKUP(MONTH(G145) &amp; YEAR(G145),MONTH($B$6:$B$38) &amp; YEAR($B$6:$B$38),$C$6:$C$38)</f>
        <v>1.6</v>
      </c>
    </row>
    <row r="146" spans="6:8" x14ac:dyDescent="0.3">
      <c r="F146" s="19">
        <v>141</v>
      </c>
      <c r="G146" s="22">
        <v>45790</v>
      </c>
      <c r="H146" s="19" cm="1">
        <f t="array" ref="H146">_xlfn.XLOOKUP(MONTH(G146) &amp; YEAR(G146),MONTH($B$6:$B$38) &amp; YEAR($B$6:$B$38),$C$6:$C$38)</f>
        <v>1.6</v>
      </c>
    </row>
    <row r="147" spans="6:8" x14ac:dyDescent="0.3">
      <c r="F147" s="19">
        <v>142</v>
      </c>
      <c r="G147" s="22">
        <v>45789</v>
      </c>
      <c r="H147" s="19" cm="1">
        <f t="array" ref="H147">_xlfn.XLOOKUP(MONTH(G147) &amp; YEAR(G147),MONTH($B$6:$B$38) &amp; YEAR($B$6:$B$38),$C$6:$C$38)</f>
        <v>1.6</v>
      </c>
    </row>
    <row r="148" spans="6:8" x14ac:dyDescent="0.3">
      <c r="F148" s="19">
        <v>143</v>
      </c>
      <c r="G148" s="22">
        <v>45788</v>
      </c>
      <c r="H148" s="19" cm="1">
        <f t="array" ref="H148">_xlfn.XLOOKUP(MONTH(G148) &amp; YEAR(G148),MONTH($B$6:$B$38) &amp; YEAR($B$6:$B$38),$C$6:$C$38)</f>
        <v>1.6</v>
      </c>
    </row>
    <row r="149" spans="6:8" x14ac:dyDescent="0.3">
      <c r="F149" s="19">
        <v>144</v>
      </c>
      <c r="G149" s="22">
        <v>45787</v>
      </c>
      <c r="H149" s="19" cm="1">
        <f t="array" ref="H149">_xlfn.XLOOKUP(MONTH(G149) &amp; YEAR(G149),MONTH($B$6:$B$38) &amp; YEAR($B$6:$B$38),$C$6:$C$38)</f>
        <v>1.6</v>
      </c>
    </row>
    <row r="150" spans="6:8" x14ac:dyDescent="0.3">
      <c r="F150" s="19">
        <v>145</v>
      </c>
      <c r="G150" s="22">
        <v>45786</v>
      </c>
      <c r="H150" s="19" cm="1">
        <f t="array" ref="H150">_xlfn.XLOOKUP(MONTH(G150) &amp; YEAR(G150),MONTH($B$6:$B$38) &amp; YEAR($B$6:$B$38),$C$6:$C$38)</f>
        <v>1.6</v>
      </c>
    </row>
    <row r="151" spans="6:8" x14ac:dyDescent="0.3">
      <c r="F151" s="19">
        <v>146</v>
      </c>
      <c r="G151" s="22">
        <v>45785</v>
      </c>
      <c r="H151" s="19" cm="1">
        <f t="array" ref="H151">_xlfn.XLOOKUP(MONTH(G151) &amp; YEAR(G151),MONTH($B$6:$B$38) &amp; YEAR($B$6:$B$38),$C$6:$C$38)</f>
        <v>1.6</v>
      </c>
    </row>
    <row r="152" spans="6:8" x14ac:dyDescent="0.3">
      <c r="F152" s="19">
        <v>147</v>
      </c>
      <c r="G152" s="22">
        <v>45784</v>
      </c>
      <c r="H152" s="19" cm="1">
        <f t="array" ref="H152">_xlfn.XLOOKUP(MONTH(G152) &amp; YEAR(G152),MONTH($B$6:$B$38) &amp; YEAR($B$6:$B$38),$C$6:$C$38)</f>
        <v>1.6</v>
      </c>
    </row>
    <row r="153" spans="6:8" x14ac:dyDescent="0.3">
      <c r="F153" s="19">
        <v>148</v>
      </c>
      <c r="G153" s="22">
        <v>45783</v>
      </c>
      <c r="H153" s="19" cm="1">
        <f t="array" ref="H153">_xlfn.XLOOKUP(MONTH(G153) &amp; YEAR(G153),MONTH($B$6:$B$38) &amp; YEAR($B$6:$B$38),$C$6:$C$38)</f>
        <v>1.6</v>
      </c>
    </row>
    <row r="154" spans="6:8" x14ac:dyDescent="0.3">
      <c r="F154" s="19">
        <v>149</v>
      </c>
      <c r="G154" s="22">
        <v>45782</v>
      </c>
      <c r="H154" s="19" cm="1">
        <f t="array" ref="H154">_xlfn.XLOOKUP(MONTH(G154) &amp; YEAR(G154),MONTH($B$6:$B$38) &amp; YEAR($B$6:$B$38),$C$6:$C$38)</f>
        <v>1.6</v>
      </c>
    </row>
    <row r="155" spans="6:8" x14ac:dyDescent="0.3">
      <c r="F155" s="19">
        <v>150</v>
      </c>
      <c r="G155" s="22">
        <v>45781</v>
      </c>
      <c r="H155" s="19" cm="1">
        <f t="array" ref="H155">_xlfn.XLOOKUP(MONTH(G155) &amp; YEAR(G155),MONTH($B$6:$B$38) &amp; YEAR($B$6:$B$38),$C$6:$C$38)</f>
        <v>1.6</v>
      </c>
    </row>
    <row r="156" spans="6:8" x14ac:dyDescent="0.3">
      <c r="F156" s="19">
        <v>151</v>
      </c>
      <c r="G156" s="22">
        <v>45780</v>
      </c>
      <c r="H156" s="19" cm="1">
        <f t="array" ref="H156">_xlfn.XLOOKUP(MONTH(G156) &amp; YEAR(G156),MONTH($B$6:$B$38) &amp; YEAR($B$6:$B$38),$C$6:$C$38)</f>
        <v>1.6</v>
      </c>
    </row>
    <row r="157" spans="6:8" x14ac:dyDescent="0.3">
      <c r="F157" s="19">
        <v>152</v>
      </c>
      <c r="G157" s="22">
        <v>45779</v>
      </c>
      <c r="H157" s="19" cm="1">
        <f t="array" ref="H157">_xlfn.XLOOKUP(MONTH(G157) &amp; YEAR(G157),MONTH($B$6:$B$38) &amp; YEAR($B$6:$B$38),$C$6:$C$38)</f>
        <v>1.6</v>
      </c>
    </row>
    <row r="158" spans="6:8" x14ac:dyDescent="0.3">
      <c r="F158" s="19">
        <v>153</v>
      </c>
      <c r="G158" s="22">
        <v>45778</v>
      </c>
      <c r="H158" s="19" cm="1">
        <f t="array" ref="H158">_xlfn.XLOOKUP(MONTH(G158) &amp; YEAR(G158),MONTH($B$6:$B$38) &amp; YEAR($B$6:$B$38),$C$6:$C$38)</f>
        <v>1.6</v>
      </c>
    </row>
    <row r="159" spans="6:8" x14ac:dyDescent="0.3">
      <c r="F159" s="19">
        <v>154</v>
      </c>
      <c r="G159" s="22">
        <v>45777</v>
      </c>
      <c r="H159" s="19" cm="1">
        <f t="array" ref="H159">_xlfn.XLOOKUP(MONTH(G159) &amp; YEAR(G159),MONTH($B$6:$B$38) &amp; YEAR($B$6:$B$38),$C$6:$C$38)</f>
        <v>1.95</v>
      </c>
    </row>
    <row r="160" spans="6:8" x14ac:dyDescent="0.3">
      <c r="F160" s="19">
        <v>155</v>
      </c>
      <c r="G160" s="22">
        <v>45776</v>
      </c>
      <c r="H160" s="19" cm="1">
        <f t="array" ref="H160">_xlfn.XLOOKUP(MONTH(G160) &amp; YEAR(G160),MONTH($B$6:$B$38) &amp; YEAR($B$6:$B$38),$C$6:$C$38)</f>
        <v>1.95</v>
      </c>
    </row>
    <row r="161" spans="6:8" x14ac:dyDescent="0.3">
      <c r="F161" s="19">
        <v>156</v>
      </c>
      <c r="G161" s="22">
        <v>45775</v>
      </c>
      <c r="H161" s="19" cm="1">
        <f t="array" ref="H161">_xlfn.XLOOKUP(MONTH(G161) &amp; YEAR(G161),MONTH($B$6:$B$38) &amp; YEAR($B$6:$B$38),$C$6:$C$38)</f>
        <v>1.95</v>
      </c>
    </row>
    <row r="162" spans="6:8" x14ac:dyDescent="0.3">
      <c r="F162" s="19">
        <v>157</v>
      </c>
      <c r="G162" s="22">
        <v>45774</v>
      </c>
      <c r="H162" s="19" cm="1">
        <f t="array" ref="H162">_xlfn.XLOOKUP(MONTH(G162) &amp; YEAR(G162),MONTH($B$6:$B$38) &amp; YEAR($B$6:$B$38),$C$6:$C$38)</f>
        <v>1.95</v>
      </c>
    </row>
    <row r="163" spans="6:8" x14ac:dyDescent="0.3">
      <c r="F163" s="19">
        <v>158</v>
      </c>
      <c r="G163" s="22">
        <v>45773</v>
      </c>
      <c r="H163" s="19" cm="1">
        <f t="array" ref="H163">_xlfn.XLOOKUP(MONTH(G163) &amp; YEAR(G163),MONTH($B$6:$B$38) &amp; YEAR($B$6:$B$38),$C$6:$C$38)</f>
        <v>1.95</v>
      </c>
    </row>
    <row r="164" spans="6:8" x14ac:dyDescent="0.3">
      <c r="F164" s="19">
        <v>159</v>
      </c>
      <c r="G164" s="22">
        <v>45772</v>
      </c>
      <c r="H164" s="19" cm="1">
        <f t="array" ref="H164">_xlfn.XLOOKUP(MONTH(G164) &amp; YEAR(G164),MONTH($B$6:$B$38) &amp; YEAR($B$6:$B$38),$C$6:$C$38)</f>
        <v>1.95</v>
      </c>
    </row>
    <row r="165" spans="6:8" x14ac:dyDescent="0.3">
      <c r="F165" s="19">
        <v>160</v>
      </c>
      <c r="G165" s="22">
        <v>45771</v>
      </c>
      <c r="H165" s="19" cm="1">
        <f t="array" ref="H165">_xlfn.XLOOKUP(MONTH(G165) &amp; YEAR(G165),MONTH($B$6:$B$38) &amp; YEAR($B$6:$B$38),$C$6:$C$38)</f>
        <v>1.95</v>
      </c>
    </row>
    <row r="166" spans="6:8" x14ac:dyDescent="0.3">
      <c r="F166" s="19">
        <v>161</v>
      </c>
      <c r="G166" s="22">
        <v>45770</v>
      </c>
      <c r="H166" s="19" cm="1">
        <f t="array" ref="H166">_xlfn.XLOOKUP(MONTH(G166) &amp; YEAR(G166),MONTH($B$6:$B$38) &amp; YEAR($B$6:$B$38),$C$6:$C$38)</f>
        <v>1.95</v>
      </c>
    </row>
    <row r="167" spans="6:8" x14ac:dyDescent="0.3">
      <c r="F167" s="19">
        <v>162</v>
      </c>
      <c r="G167" s="22">
        <v>45769</v>
      </c>
      <c r="H167" s="19" cm="1">
        <f t="array" ref="H167">_xlfn.XLOOKUP(MONTH(G167) &amp; YEAR(G167),MONTH($B$6:$B$38) &amp; YEAR($B$6:$B$38),$C$6:$C$38)</f>
        <v>1.95</v>
      </c>
    </row>
    <row r="168" spans="6:8" x14ac:dyDescent="0.3">
      <c r="F168" s="19">
        <v>163</v>
      </c>
      <c r="G168" s="22">
        <v>45768</v>
      </c>
      <c r="H168" s="19" cm="1">
        <f t="array" ref="H168">_xlfn.XLOOKUP(MONTH(G168) &amp; YEAR(G168),MONTH($B$6:$B$38) &amp; YEAR($B$6:$B$38),$C$6:$C$38)</f>
        <v>1.95</v>
      </c>
    </row>
    <row r="169" spans="6:8" x14ac:dyDescent="0.3">
      <c r="F169" s="19">
        <v>164</v>
      </c>
      <c r="G169" s="22">
        <v>45767</v>
      </c>
      <c r="H169" s="19" cm="1">
        <f t="array" ref="H169">_xlfn.XLOOKUP(MONTH(G169) &amp; YEAR(G169),MONTH($B$6:$B$38) &amp; YEAR($B$6:$B$38),$C$6:$C$38)</f>
        <v>1.95</v>
      </c>
    </row>
    <row r="170" spans="6:8" x14ac:dyDescent="0.3">
      <c r="F170" s="19">
        <v>165</v>
      </c>
      <c r="G170" s="22">
        <v>45766</v>
      </c>
      <c r="H170" s="19" cm="1">
        <f t="array" ref="H170">_xlfn.XLOOKUP(MONTH(G170) &amp; YEAR(G170),MONTH($B$6:$B$38) &amp; YEAR($B$6:$B$38),$C$6:$C$38)</f>
        <v>1.95</v>
      </c>
    </row>
    <row r="171" spans="6:8" x14ac:dyDescent="0.3">
      <c r="F171" s="19">
        <v>166</v>
      </c>
      <c r="G171" s="22">
        <v>45765</v>
      </c>
      <c r="H171" s="19" cm="1">
        <f t="array" ref="H171">_xlfn.XLOOKUP(MONTH(G171) &amp; YEAR(G171),MONTH($B$6:$B$38) &amp; YEAR($B$6:$B$38),$C$6:$C$38)</f>
        <v>1.95</v>
      </c>
    </row>
    <row r="172" spans="6:8" x14ac:dyDescent="0.3">
      <c r="F172" s="19">
        <v>167</v>
      </c>
      <c r="G172" s="22">
        <v>45764</v>
      </c>
      <c r="H172" s="19" cm="1">
        <f t="array" ref="H172">_xlfn.XLOOKUP(MONTH(G172) &amp; YEAR(G172),MONTH($B$6:$B$38) &amp; YEAR($B$6:$B$38),$C$6:$C$38)</f>
        <v>1.95</v>
      </c>
    </row>
    <row r="173" spans="6:8" x14ac:dyDescent="0.3">
      <c r="F173" s="19">
        <v>168</v>
      </c>
      <c r="G173" s="22">
        <v>45763</v>
      </c>
      <c r="H173" s="19" cm="1">
        <f t="array" ref="H173">_xlfn.XLOOKUP(MONTH(G173) &amp; YEAR(G173),MONTH($B$6:$B$38) &amp; YEAR($B$6:$B$38),$C$6:$C$38)</f>
        <v>1.95</v>
      </c>
    </row>
    <row r="174" spans="6:8" x14ac:dyDescent="0.3">
      <c r="F174" s="19">
        <v>169</v>
      </c>
      <c r="G174" s="22">
        <v>45762</v>
      </c>
      <c r="H174" s="19" cm="1">
        <f t="array" ref="H174">_xlfn.XLOOKUP(MONTH(G174) &amp; YEAR(G174),MONTH($B$6:$B$38) &amp; YEAR($B$6:$B$38),$C$6:$C$38)</f>
        <v>1.95</v>
      </c>
    </row>
    <row r="175" spans="6:8" x14ac:dyDescent="0.3">
      <c r="F175" s="19">
        <v>170</v>
      </c>
      <c r="G175" s="22">
        <v>45761</v>
      </c>
      <c r="H175" s="19" cm="1">
        <f t="array" ref="H175">_xlfn.XLOOKUP(MONTH(G175) &amp; YEAR(G175),MONTH($B$6:$B$38) &amp; YEAR($B$6:$B$38),$C$6:$C$38)</f>
        <v>1.95</v>
      </c>
    </row>
    <row r="176" spans="6:8" x14ac:dyDescent="0.3">
      <c r="F176" s="19">
        <v>171</v>
      </c>
      <c r="G176" s="22">
        <v>45760</v>
      </c>
      <c r="H176" s="19" cm="1">
        <f t="array" ref="H176">_xlfn.XLOOKUP(MONTH(G176) &amp; YEAR(G176),MONTH($B$6:$B$38) &amp; YEAR($B$6:$B$38),$C$6:$C$38)</f>
        <v>1.95</v>
      </c>
    </row>
    <row r="177" spans="6:8" x14ac:dyDescent="0.3">
      <c r="F177" s="19">
        <v>172</v>
      </c>
      <c r="G177" s="22">
        <v>45759</v>
      </c>
      <c r="H177" s="19" cm="1">
        <f t="array" ref="H177">_xlfn.XLOOKUP(MONTH(G177) &amp; YEAR(G177),MONTH($B$6:$B$38) &amp; YEAR($B$6:$B$38),$C$6:$C$38)</f>
        <v>1.95</v>
      </c>
    </row>
    <row r="178" spans="6:8" x14ac:dyDescent="0.3">
      <c r="F178" s="19">
        <v>173</v>
      </c>
      <c r="G178" s="22">
        <v>45758</v>
      </c>
      <c r="H178" s="19" cm="1">
        <f t="array" ref="H178">_xlfn.XLOOKUP(MONTH(G178) &amp; YEAR(G178),MONTH($B$6:$B$38) &amp; YEAR($B$6:$B$38),$C$6:$C$38)</f>
        <v>1.95</v>
      </c>
    </row>
    <row r="179" spans="6:8" x14ac:dyDescent="0.3">
      <c r="F179" s="19">
        <v>174</v>
      </c>
      <c r="G179" s="22">
        <v>45757</v>
      </c>
      <c r="H179" s="19" cm="1">
        <f t="array" ref="H179">_xlfn.XLOOKUP(MONTH(G179) &amp; YEAR(G179),MONTH($B$6:$B$38) &amp; YEAR($B$6:$B$38),$C$6:$C$38)</f>
        <v>1.95</v>
      </c>
    </row>
    <row r="180" spans="6:8" x14ac:dyDescent="0.3">
      <c r="F180" s="19">
        <v>175</v>
      </c>
      <c r="G180" s="22">
        <v>45756</v>
      </c>
      <c r="H180" s="19" cm="1">
        <f t="array" ref="H180">_xlfn.XLOOKUP(MONTH(G180) &amp; YEAR(G180),MONTH($B$6:$B$38) &amp; YEAR($B$6:$B$38),$C$6:$C$38)</f>
        <v>1.95</v>
      </c>
    </row>
    <row r="181" spans="6:8" x14ac:dyDescent="0.3">
      <c r="F181" s="19">
        <v>176</v>
      </c>
      <c r="G181" s="22">
        <v>45755</v>
      </c>
      <c r="H181" s="19" cm="1">
        <f t="array" ref="H181">_xlfn.XLOOKUP(MONTH(G181) &amp; YEAR(G181),MONTH($B$6:$B$38) &amp; YEAR($B$6:$B$38),$C$6:$C$38)</f>
        <v>1.95</v>
      </c>
    </row>
    <row r="182" spans="6:8" x14ac:dyDescent="0.3">
      <c r="F182" s="19">
        <v>177</v>
      </c>
      <c r="G182" s="22">
        <v>45754</v>
      </c>
      <c r="H182" s="19" cm="1">
        <f t="array" ref="H182">_xlfn.XLOOKUP(MONTH(G182) &amp; YEAR(G182),MONTH($B$6:$B$38) &amp; YEAR($B$6:$B$38),$C$6:$C$38)</f>
        <v>1.95</v>
      </c>
    </row>
    <row r="183" spans="6:8" x14ac:dyDescent="0.3">
      <c r="F183" s="19">
        <v>178</v>
      </c>
      <c r="G183" s="22">
        <v>45753</v>
      </c>
      <c r="H183" s="19" cm="1">
        <f t="array" ref="H183">_xlfn.XLOOKUP(MONTH(G183) &amp; YEAR(G183),MONTH($B$6:$B$38) &amp; YEAR($B$6:$B$38),$C$6:$C$38)</f>
        <v>1.95</v>
      </c>
    </row>
    <row r="184" spans="6:8" x14ac:dyDescent="0.3">
      <c r="F184" s="19">
        <v>179</v>
      </c>
      <c r="G184" s="22">
        <v>45752</v>
      </c>
      <c r="H184" s="19" cm="1">
        <f t="array" ref="H184">_xlfn.XLOOKUP(MONTH(G184) &amp; YEAR(G184),MONTH($B$6:$B$38) &amp; YEAR($B$6:$B$38),$C$6:$C$38)</f>
        <v>1.95</v>
      </c>
    </row>
    <row r="185" spans="6:8" x14ac:dyDescent="0.3">
      <c r="F185" s="19">
        <v>180</v>
      </c>
      <c r="G185" s="22">
        <v>45751</v>
      </c>
      <c r="H185" s="19" cm="1">
        <f t="array" ref="H185">_xlfn.XLOOKUP(MONTH(G185) &amp; YEAR(G185),MONTH($B$6:$B$38) &amp; YEAR($B$6:$B$38),$C$6:$C$38)</f>
        <v>1.95</v>
      </c>
    </row>
    <row r="186" spans="6:8" x14ac:dyDescent="0.3">
      <c r="F186" s="19">
        <v>181</v>
      </c>
      <c r="G186" s="22">
        <v>45750</v>
      </c>
      <c r="H186" s="19" cm="1">
        <f t="array" ref="H186">_xlfn.XLOOKUP(MONTH(G186) &amp; YEAR(G186),MONTH($B$6:$B$38) &amp; YEAR($B$6:$B$38),$C$6:$C$38)</f>
        <v>1.95</v>
      </c>
    </row>
    <row r="187" spans="6:8" x14ac:dyDescent="0.3">
      <c r="F187" s="19">
        <v>182</v>
      </c>
      <c r="G187" s="22">
        <v>45749</v>
      </c>
      <c r="H187" s="19" cm="1">
        <f t="array" ref="H187">_xlfn.XLOOKUP(MONTH(G187) &amp; YEAR(G187),MONTH($B$6:$B$38) &amp; YEAR($B$6:$B$38),$C$6:$C$38)</f>
        <v>1.95</v>
      </c>
    </row>
    <row r="188" spans="6:8" x14ac:dyDescent="0.3">
      <c r="F188" s="19">
        <v>183</v>
      </c>
      <c r="G188" s="22">
        <v>45748</v>
      </c>
      <c r="H188" s="19" cm="1">
        <f t="array" ref="H188">_xlfn.XLOOKUP(MONTH(G188) &amp; YEAR(G188),MONTH($B$6:$B$38) &amp; YEAR($B$6:$B$38),$C$6:$C$38)</f>
        <v>1.95</v>
      </c>
    </row>
    <row r="189" spans="6:8" x14ac:dyDescent="0.3">
      <c r="F189" s="19">
        <v>184</v>
      </c>
      <c r="G189" s="22">
        <v>45747</v>
      </c>
      <c r="H189" s="19" cm="1">
        <f t="array" ref="H189">_xlfn.XLOOKUP(MONTH(G189) &amp; YEAR(G189),MONTH($B$6:$B$38) &amp; YEAR($B$6:$B$38),$C$6:$C$38)</f>
        <v>1.03</v>
      </c>
    </row>
    <row r="190" spans="6:8" x14ac:dyDescent="0.3">
      <c r="F190" s="19">
        <v>185</v>
      </c>
      <c r="G190" s="22">
        <v>45746</v>
      </c>
      <c r="H190" s="19" cm="1">
        <f t="array" ref="H190">_xlfn.XLOOKUP(MONTH(G190) &amp; YEAR(G190),MONTH($B$6:$B$38) &amp; YEAR($B$6:$B$38),$C$6:$C$38)</f>
        <v>1.03</v>
      </c>
    </row>
    <row r="191" spans="6:8" x14ac:dyDescent="0.3">
      <c r="F191" s="19">
        <v>186</v>
      </c>
      <c r="G191" s="22">
        <v>45745</v>
      </c>
      <c r="H191" s="19" cm="1">
        <f t="array" ref="H191">_xlfn.XLOOKUP(MONTH(G191) &amp; YEAR(G191),MONTH($B$6:$B$38) &amp; YEAR($B$6:$B$38),$C$6:$C$38)</f>
        <v>1.03</v>
      </c>
    </row>
    <row r="192" spans="6:8" x14ac:dyDescent="0.3">
      <c r="F192" s="19">
        <v>187</v>
      </c>
      <c r="G192" s="22">
        <v>45744</v>
      </c>
      <c r="H192" s="19" cm="1">
        <f t="array" ref="H192">_xlfn.XLOOKUP(MONTH(G192) &amp; YEAR(G192),MONTH($B$6:$B$38) &amp; YEAR($B$6:$B$38),$C$6:$C$38)</f>
        <v>1.03</v>
      </c>
    </row>
    <row r="193" spans="6:8" x14ac:dyDescent="0.3">
      <c r="F193" s="19">
        <v>188</v>
      </c>
      <c r="G193" s="22">
        <v>45743</v>
      </c>
      <c r="H193" s="19" cm="1">
        <f t="array" ref="H193">_xlfn.XLOOKUP(MONTH(G193) &amp; YEAR(G193),MONTH($B$6:$B$38) &amp; YEAR($B$6:$B$38),$C$6:$C$38)</f>
        <v>1.03</v>
      </c>
    </row>
    <row r="194" spans="6:8" x14ac:dyDescent="0.3">
      <c r="F194" s="19">
        <v>189</v>
      </c>
      <c r="G194" s="22">
        <v>45742</v>
      </c>
      <c r="H194" s="19" cm="1">
        <f t="array" ref="H194">_xlfn.XLOOKUP(MONTH(G194) &amp; YEAR(G194),MONTH($B$6:$B$38) &amp; YEAR($B$6:$B$38),$C$6:$C$38)</f>
        <v>1.03</v>
      </c>
    </row>
    <row r="195" spans="6:8" x14ac:dyDescent="0.3">
      <c r="F195" s="19">
        <v>190</v>
      </c>
      <c r="G195" s="22">
        <v>45741</v>
      </c>
      <c r="H195" s="19" cm="1">
        <f t="array" ref="H195">_xlfn.XLOOKUP(MONTH(G195) &amp; YEAR(G195),MONTH($B$6:$B$38) &amp; YEAR($B$6:$B$38),$C$6:$C$38)</f>
        <v>1.03</v>
      </c>
    </row>
    <row r="196" spans="6:8" x14ac:dyDescent="0.3">
      <c r="F196" s="19">
        <v>191</v>
      </c>
      <c r="G196" s="22">
        <v>45740</v>
      </c>
      <c r="H196" s="19" cm="1">
        <f t="array" ref="H196">_xlfn.XLOOKUP(MONTH(G196) &amp; YEAR(G196),MONTH($B$6:$B$38) &amp; YEAR($B$6:$B$38),$C$6:$C$38)</f>
        <v>1.03</v>
      </c>
    </row>
    <row r="197" spans="6:8" x14ac:dyDescent="0.3">
      <c r="F197" s="19">
        <v>192</v>
      </c>
      <c r="G197" s="22">
        <v>45739</v>
      </c>
      <c r="H197" s="19" cm="1">
        <f t="array" ref="H197">_xlfn.XLOOKUP(MONTH(G197) &amp; YEAR(G197),MONTH($B$6:$B$38) &amp; YEAR($B$6:$B$38),$C$6:$C$38)</f>
        <v>1.03</v>
      </c>
    </row>
    <row r="198" spans="6:8" x14ac:dyDescent="0.3">
      <c r="F198" s="19">
        <v>193</v>
      </c>
      <c r="G198" s="22">
        <v>45738</v>
      </c>
      <c r="H198" s="19" cm="1">
        <f t="array" ref="H198">_xlfn.XLOOKUP(MONTH(G198) &amp; YEAR(G198),MONTH($B$6:$B$38) &amp; YEAR($B$6:$B$38),$C$6:$C$38)</f>
        <v>1.03</v>
      </c>
    </row>
    <row r="199" spans="6:8" x14ac:dyDescent="0.3">
      <c r="F199" s="19">
        <v>194</v>
      </c>
      <c r="G199" s="22">
        <v>45737</v>
      </c>
      <c r="H199" s="19" cm="1">
        <f t="array" ref="H199">_xlfn.XLOOKUP(MONTH(G199) &amp; YEAR(G199),MONTH($B$6:$B$38) &amp; YEAR($B$6:$B$38),$C$6:$C$38)</f>
        <v>1.03</v>
      </c>
    </row>
    <row r="200" spans="6:8" x14ac:dyDescent="0.3">
      <c r="F200" s="19">
        <v>195</v>
      </c>
      <c r="G200" s="22">
        <v>45736</v>
      </c>
      <c r="H200" s="19" cm="1">
        <f t="array" ref="H200">_xlfn.XLOOKUP(MONTH(G200) &amp; YEAR(G200),MONTH($B$6:$B$38) &amp; YEAR($B$6:$B$38),$C$6:$C$38)</f>
        <v>1.03</v>
      </c>
    </row>
    <row r="201" spans="6:8" x14ac:dyDescent="0.3">
      <c r="F201" s="19">
        <v>196</v>
      </c>
      <c r="G201" s="22">
        <v>45735</v>
      </c>
      <c r="H201" s="19" cm="1">
        <f t="array" ref="H201">_xlfn.XLOOKUP(MONTH(G201) &amp; YEAR(G201),MONTH($B$6:$B$38) &amp; YEAR($B$6:$B$38),$C$6:$C$38)</f>
        <v>1.03</v>
      </c>
    </row>
    <row r="202" spans="6:8" x14ac:dyDescent="0.3">
      <c r="F202" s="19">
        <v>197</v>
      </c>
      <c r="G202" s="22">
        <v>45734</v>
      </c>
      <c r="H202" s="19" cm="1">
        <f t="array" ref="H202">_xlfn.XLOOKUP(MONTH(G202) &amp; YEAR(G202),MONTH($B$6:$B$38) &amp; YEAR($B$6:$B$38),$C$6:$C$38)</f>
        <v>1.03</v>
      </c>
    </row>
    <row r="203" spans="6:8" x14ac:dyDescent="0.3">
      <c r="F203" s="19">
        <v>198</v>
      </c>
      <c r="G203" s="22">
        <v>45733</v>
      </c>
      <c r="H203" s="19" cm="1">
        <f t="array" ref="H203">_xlfn.XLOOKUP(MONTH(G203) &amp; YEAR(G203),MONTH($B$6:$B$38) &amp; YEAR($B$6:$B$38),$C$6:$C$38)</f>
        <v>1.03</v>
      </c>
    </row>
    <row r="204" spans="6:8" x14ac:dyDescent="0.3">
      <c r="F204" s="19">
        <v>199</v>
      </c>
      <c r="G204" s="22">
        <v>45732</v>
      </c>
      <c r="H204" s="19" cm="1">
        <f t="array" ref="H204">_xlfn.XLOOKUP(MONTH(G204) &amp; YEAR(G204),MONTH($B$6:$B$38) &amp; YEAR($B$6:$B$38),$C$6:$C$38)</f>
        <v>1.03</v>
      </c>
    </row>
    <row r="205" spans="6:8" x14ac:dyDescent="0.3">
      <c r="F205" s="19">
        <v>200</v>
      </c>
      <c r="G205" s="22">
        <v>45731</v>
      </c>
      <c r="H205" s="19" cm="1">
        <f t="array" ref="H205">_xlfn.XLOOKUP(MONTH(G205) &amp; YEAR(G205),MONTH($B$6:$B$38) &amp; YEAR($B$6:$B$38),$C$6:$C$38)</f>
        <v>1.03</v>
      </c>
    </row>
    <row r="206" spans="6:8" x14ac:dyDescent="0.3">
      <c r="F206" s="19">
        <v>201</v>
      </c>
      <c r="G206" s="22">
        <v>45730</v>
      </c>
      <c r="H206" s="19" cm="1">
        <f t="array" ref="H206">_xlfn.XLOOKUP(MONTH(G206) &amp; YEAR(G206),MONTH($B$6:$B$38) &amp; YEAR($B$6:$B$38),$C$6:$C$38)</f>
        <v>1.03</v>
      </c>
    </row>
    <row r="207" spans="6:8" x14ac:dyDescent="0.3">
      <c r="F207" s="19">
        <v>202</v>
      </c>
      <c r="G207" s="22">
        <v>45729</v>
      </c>
      <c r="H207" s="19" cm="1">
        <f t="array" ref="H207">_xlfn.XLOOKUP(MONTH(G207) &amp; YEAR(G207),MONTH($B$6:$B$38) &amp; YEAR($B$6:$B$38),$C$6:$C$38)</f>
        <v>1.03</v>
      </c>
    </row>
    <row r="208" spans="6:8" x14ac:dyDescent="0.3">
      <c r="F208" s="19">
        <v>203</v>
      </c>
      <c r="G208" s="22">
        <v>45728</v>
      </c>
      <c r="H208" s="19" cm="1">
        <f t="array" ref="H208">_xlfn.XLOOKUP(MONTH(G208) &amp; YEAR(G208),MONTH($B$6:$B$38) &amp; YEAR($B$6:$B$38),$C$6:$C$38)</f>
        <v>1.03</v>
      </c>
    </row>
    <row r="209" spans="6:8" x14ac:dyDescent="0.3">
      <c r="F209" s="19">
        <v>204</v>
      </c>
      <c r="G209" s="22">
        <v>45727</v>
      </c>
      <c r="H209" s="19" cm="1">
        <f t="array" ref="H209">_xlfn.XLOOKUP(MONTH(G209) &amp; YEAR(G209),MONTH($B$6:$B$38) &amp; YEAR($B$6:$B$38),$C$6:$C$38)</f>
        <v>1.03</v>
      </c>
    </row>
    <row r="210" spans="6:8" x14ac:dyDescent="0.3">
      <c r="F210" s="19">
        <v>205</v>
      </c>
      <c r="G210" s="22">
        <v>45726</v>
      </c>
      <c r="H210" s="19" cm="1">
        <f t="array" ref="H210">_xlfn.XLOOKUP(MONTH(G210) &amp; YEAR(G210),MONTH($B$6:$B$38) &amp; YEAR($B$6:$B$38),$C$6:$C$38)</f>
        <v>1.03</v>
      </c>
    </row>
    <row r="211" spans="6:8" x14ac:dyDescent="0.3">
      <c r="F211" s="19">
        <v>206</v>
      </c>
      <c r="G211" s="22">
        <v>45725</v>
      </c>
      <c r="H211" s="19" cm="1">
        <f t="array" ref="H211">_xlfn.XLOOKUP(MONTH(G211) &amp; YEAR(G211),MONTH($B$6:$B$38) &amp; YEAR($B$6:$B$38),$C$6:$C$38)</f>
        <v>1.03</v>
      </c>
    </row>
    <row r="212" spans="6:8" x14ac:dyDescent="0.3">
      <c r="F212" s="19">
        <v>207</v>
      </c>
      <c r="G212" s="22">
        <v>45724</v>
      </c>
      <c r="H212" s="19" cm="1">
        <f t="array" ref="H212">_xlfn.XLOOKUP(MONTH(G212) &amp; YEAR(G212),MONTH($B$6:$B$38) &amp; YEAR($B$6:$B$38),$C$6:$C$38)</f>
        <v>1.03</v>
      </c>
    </row>
    <row r="213" spans="6:8" x14ac:dyDescent="0.3">
      <c r="F213" s="19">
        <v>208</v>
      </c>
      <c r="G213" s="22">
        <v>45723</v>
      </c>
      <c r="H213" s="19" cm="1">
        <f t="array" ref="H213">_xlfn.XLOOKUP(MONTH(G213) &amp; YEAR(G213),MONTH($B$6:$B$38) &amp; YEAR($B$6:$B$38),$C$6:$C$38)</f>
        <v>1.03</v>
      </c>
    </row>
    <row r="214" spans="6:8" x14ac:dyDescent="0.3">
      <c r="F214" s="19">
        <v>209</v>
      </c>
      <c r="G214" s="22">
        <v>45722</v>
      </c>
      <c r="H214" s="19" cm="1">
        <f t="array" ref="H214">_xlfn.XLOOKUP(MONTH(G214) &amp; YEAR(G214),MONTH($B$6:$B$38) &amp; YEAR($B$6:$B$38),$C$6:$C$38)</f>
        <v>1.03</v>
      </c>
    </row>
    <row r="215" spans="6:8" x14ac:dyDescent="0.3">
      <c r="F215" s="19">
        <v>210</v>
      </c>
      <c r="G215" s="22">
        <v>45721</v>
      </c>
      <c r="H215" s="19" cm="1">
        <f t="array" ref="H215">_xlfn.XLOOKUP(MONTH(G215) &amp; YEAR(G215),MONTH($B$6:$B$38) &amp; YEAR($B$6:$B$38),$C$6:$C$38)</f>
        <v>1.03</v>
      </c>
    </row>
    <row r="216" spans="6:8" x14ac:dyDescent="0.3">
      <c r="F216" s="19">
        <v>211</v>
      </c>
      <c r="G216" s="22">
        <v>45720</v>
      </c>
      <c r="H216" s="19" cm="1">
        <f t="array" ref="H216">_xlfn.XLOOKUP(MONTH(G216) &amp; YEAR(G216),MONTH($B$6:$B$38) &amp; YEAR($B$6:$B$38),$C$6:$C$38)</f>
        <v>1.03</v>
      </c>
    </row>
    <row r="217" spans="6:8" x14ac:dyDescent="0.3">
      <c r="F217" s="19">
        <v>212</v>
      </c>
      <c r="G217" s="22">
        <v>45719</v>
      </c>
      <c r="H217" s="19" cm="1">
        <f t="array" ref="H217">_xlfn.XLOOKUP(MONTH(G217) &amp; YEAR(G217),MONTH($B$6:$B$38) &amp; YEAR($B$6:$B$38),$C$6:$C$38)</f>
        <v>1.03</v>
      </c>
    </row>
    <row r="218" spans="6:8" x14ac:dyDescent="0.3">
      <c r="F218" s="19">
        <v>213</v>
      </c>
      <c r="G218" s="22">
        <v>45718</v>
      </c>
      <c r="H218" s="19" cm="1">
        <f t="array" ref="H218">_xlfn.XLOOKUP(MONTH(G218) &amp; YEAR(G218),MONTH($B$6:$B$38) &amp; YEAR($B$6:$B$38),$C$6:$C$38)</f>
        <v>1.03</v>
      </c>
    </row>
    <row r="219" spans="6:8" x14ac:dyDescent="0.3">
      <c r="F219" s="19">
        <v>214</v>
      </c>
      <c r="G219" s="22">
        <v>45717</v>
      </c>
      <c r="H219" s="19" cm="1">
        <f t="array" ref="H219">_xlfn.XLOOKUP(MONTH(G219) &amp; YEAR(G219),MONTH($B$6:$B$38) &amp; YEAR($B$6:$B$38),$C$6:$C$38)</f>
        <v>1.03</v>
      </c>
    </row>
    <row r="220" spans="6:8" x14ac:dyDescent="0.3">
      <c r="F220" s="19">
        <v>215</v>
      </c>
      <c r="G220" s="22">
        <v>45716</v>
      </c>
      <c r="H220" s="19" cm="1">
        <f t="array" ref="H220">_xlfn.XLOOKUP(MONTH(G220) &amp; YEAR(G220),MONTH($B$6:$B$38) &amp; YEAR($B$6:$B$38),$C$6:$C$38)</f>
        <v>-0.09</v>
      </c>
    </row>
    <row r="221" spans="6:8" x14ac:dyDescent="0.3">
      <c r="F221" s="19">
        <v>216</v>
      </c>
      <c r="G221" s="22">
        <v>45715</v>
      </c>
      <c r="H221" s="19" cm="1">
        <f t="array" ref="H221">_xlfn.XLOOKUP(MONTH(G221) &amp; YEAR(G221),MONTH($B$6:$B$38) &amp; YEAR($B$6:$B$38),$C$6:$C$38)</f>
        <v>-0.09</v>
      </c>
    </row>
    <row r="222" spans="6:8" x14ac:dyDescent="0.3">
      <c r="F222" s="19">
        <v>217</v>
      </c>
      <c r="G222" s="22">
        <v>45714</v>
      </c>
      <c r="H222" s="19" cm="1">
        <f t="array" ref="H222">_xlfn.XLOOKUP(MONTH(G222) &amp; YEAR(G222),MONTH($B$6:$B$38) &amp; YEAR($B$6:$B$38),$C$6:$C$38)</f>
        <v>-0.09</v>
      </c>
    </row>
    <row r="223" spans="6:8" x14ac:dyDescent="0.3">
      <c r="F223" s="19">
        <v>218</v>
      </c>
      <c r="G223" s="22">
        <v>45713</v>
      </c>
      <c r="H223" s="19" cm="1">
        <f t="array" ref="H223">_xlfn.XLOOKUP(MONTH(G223) &amp; YEAR(G223),MONTH($B$6:$B$38) &amp; YEAR($B$6:$B$38),$C$6:$C$38)</f>
        <v>-0.09</v>
      </c>
    </row>
    <row r="224" spans="6:8" x14ac:dyDescent="0.3">
      <c r="F224" s="19">
        <v>219</v>
      </c>
      <c r="G224" s="22">
        <v>45712</v>
      </c>
      <c r="H224" s="19" cm="1">
        <f t="array" ref="H224">_xlfn.XLOOKUP(MONTH(G224) &amp; YEAR(G224),MONTH($B$6:$B$38) &amp; YEAR($B$6:$B$38),$C$6:$C$38)</f>
        <v>-0.09</v>
      </c>
    </row>
    <row r="225" spans="6:8" x14ac:dyDescent="0.3">
      <c r="F225" s="19">
        <v>220</v>
      </c>
      <c r="G225" s="22">
        <v>45711</v>
      </c>
      <c r="H225" s="19" cm="1">
        <f t="array" ref="H225">_xlfn.XLOOKUP(MONTH(G225) &amp; YEAR(G225),MONTH($B$6:$B$38) &amp; YEAR($B$6:$B$38),$C$6:$C$38)</f>
        <v>-0.09</v>
      </c>
    </row>
    <row r="226" spans="6:8" x14ac:dyDescent="0.3">
      <c r="F226" s="19">
        <v>221</v>
      </c>
      <c r="G226" s="22">
        <v>45710</v>
      </c>
      <c r="H226" s="19" cm="1">
        <f t="array" ref="H226">_xlfn.XLOOKUP(MONTH(G226) &amp; YEAR(G226),MONTH($B$6:$B$38) &amp; YEAR($B$6:$B$38),$C$6:$C$38)</f>
        <v>-0.09</v>
      </c>
    </row>
    <row r="227" spans="6:8" x14ac:dyDescent="0.3">
      <c r="F227" s="19">
        <v>222</v>
      </c>
      <c r="G227" s="22">
        <v>45709</v>
      </c>
      <c r="H227" s="19" cm="1">
        <f t="array" ref="H227">_xlfn.XLOOKUP(MONTH(G227) &amp; YEAR(G227),MONTH($B$6:$B$38) &amp; YEAR($B$6:$B$38),$C$6:$C$38)</f>
        <v>-0.09</v>
      </c>
    </row>
    <row r="228" spans="6:8" x14ac:dyDescent="0.3">
      <c r="F228" s="19">
        <v>223</v>
      </c>
      <c r="G228" s="22">
        <v>45708</v>
      </c>
      <c r="H228" s="19" cm="1">
        <f t="array" ref="H228">_xlfn.XLOOKUP(MONTH(G228) &amp; YEAR(G228),MONTH($B$6:$B$38) &amp; YEAR($B$6:$B$38),$C$6:$C$38)</f>
        <v>-0.09</v>
      </c>
    </row>
    <row r="229" spans="6:8" x14ac:dyDescent="0.3">
      <c r="F229" s="19">
        <v>224</v>
      </c>
      <c r="G229" s="22">
        <v>45707</v>
      </c>
      <c r="H229" s="19" cm="1">
        <f t="array" ref="H229">_xlfn.XLOOKUP(MONTH(G229) &amp; YEAR(G229),MONTH($B$6:$B$38) &amp; YEAR($B$6:$B$38),$C$6:$C$38)</f>
        <v>-0.09</v>
      </c>
    </row>
    <row r="230" spans="6:8" x14ac:dyDescent="0.3">
      <c r="F230" s="19">
        <v>225</v>
      </c>
      <c r="G230" s="22">
        <v>45706</v>
      </c>
      <c r="H230" s="19" cm="1">
        <f t="array" ref="H230">_xlfn.XLOOKUP(MONTH(G230) &amp; YEAR(G230),MONTH($B$6:$B$38) &amp; YEAR($B$6:$B$38),$C$6:$C$38)</f>
        <v>-0.09</v>
      </c>
    </row>
    <row r="231" spans="6:8" x14ac:dyDescent="0.3">
      <c r="F231" s="19">
        <v>226</v>
      </c>
      <c r="G231" s="22">
        <v>45705</v>
      </c>
      <c r="H231" s="19" cm="1">
        <f t="array" ref="H231">_xlfn.XLOOKUP(MONTH(G231) &amp; YEAR(G231),MONTH($B$6:$B$38) &amp; YEAR($B$6:$B$38),$C$6:$C$38)</f>
        <v>-0.09</v>
      </c>
    </row>
    <row r="232" spans="6:8" x14ac:dyDescent="0.3">
      <c r="F232" s="19">
        <v>227</v>
      </c>
      <c r="G232" s="22">
        <v>45704</v>
      </c>
      <c r="H232" s="19" cm="1">
        <f t="array" ref="H232">_xlfn.XLOOKUP(MONTH(G232) &amp; YEAR(G232),MONTH($B$6:$B$38) &amp; YEAR($B$6:$B$38),$C$6:$C$38)</f>
        <v>-0.09</v>
      </c>
    </row>
    <row r="233" spans="6:8" x14ac:dyDescent="0.3">
      <c r="F233" s="19">
        <v>228</v>
      </c>
      <c r="G233" s="22">
        <v>45703</v>
      </c>
      <c r="H233" s="19" cm="1">
        <f t="array" ref="H233">_xlfn.XLOOKUP(MONTH(G233) &amp; YEAR(G233),MONTH($B$6:$B$38) &amp; YEAR($B$6:$B$38),$C$6:$C$38)</f>
        <v>-0.09</v>
      </c>
    </row>
    <row r="234" spans="6:8" x14ac:dyDescent="0.3">
      <c r="F234" s="19">
        <v>229</v>
      </c>
      <c r="G234" s="22">
        <v>45702</v>
      </c>
      <c r="H234" s="19" cm="1">
        <f t="array" ref="H234">_xlfn.XLOOKUP(MONTH(G234) &amp; YEAR(G234),MONTH($B$6:$B$38) &amp; YEAR($B$6:$B$38),$C$6:$C$38)</f>
        <v>-0.09</v>
      </c>
    </row>
    <row r="235" spans="6:8" x14ac:dyDescent="0.3">
      <c r="F235" s="19">
        <v>230</v>
      </c>
      <c r="G235" s="22">
        <v>45701</v>
      </c>
      <c r="H235" s="19" cm="1">
        <f t="array" ref="H235">_xlfn.XLOOKUP(MONTH(G235) &amp; YEAR(G235),MONTH($B$6:$B$38) &amp; YEAR($B$6:$B$38),$C$6:$C$38)</f>
        <v>-0.09</v>
      </c>
    </row>
    <row r="236" spans="6:8" x14ac:dyDescent="0.3">
      <c r="F236" s="19">
        <v>231</v>
      </c>
      <c r="G236" s="22">
        <v>45700</v>
      </c>
      <c r="H236" s="19" cm="1">
        <f t="array" ref="H236">_xlfn.XLOOKUP(MONTH(G236) &amp; YEAR(G236),MONTH($B$6:$B$38) &amp; YEAR($B$6:$B$38),$C$6:$C$38)</f>
        <v>-0.09</v>
      </c>
    </row>
    <row r="237" spans="6:8" x14ac:dyDescent="0.3">
      <c r="F237" s="19">
        <v>232</v>
      </c>
      <c r="G237" s="22">
        <v>45699</v>
      </c>
      <c r="H237" s="19" cm="1">
        <f t="array" ref="H237">_xlfn.XLOOKUP(MONTH(G237) &amp; YEAR(G237),MONTH($B$6:$B$38) &amp; YEAR($B$6:$B$38),$C$6:$C$38)</f>
        <v>-0.09</v>
      </c>
    </row>
    <row r="238" spans="6:8" x14ac:dyDescent="0.3">
      <c r="F238" s="19">
        <v>233</v>
      </c>
      <c r="G238" s="22">
        <v>45698</v>
      </c>
      <c r="H238" s="19" cm="1">
        <f t="array" ref="H238">_xlfn.XLOOKUP(MONTH(G238) &amp; YEAR(G238),MONTH($B$6:$B$38) &amp; YEAR($B$6:$B$38),$C$6:$C$38)</f>
        <v>-0.09</v>
      </c>
    </row>
    <row r="239" spans="6:8" x14ac:dyDescent="0.3">
      <c r="F239" s="19">
        <v>234</v>
      </c>
      <c r="G239" s="22">
        <v>45697</v>
      </c>
      <c r="H239" s="19" cm="1">
        <f t="array" ref="H239">_xlfn.XLOOKUP(MONTH(G239) &amp; YEAR(G239),MONTH($B$6:$B$38) &amp; YEAR($B$6:$B$38),$C$6:$C$38)</f>
        <v>-0.09</v>
      </c>
    </row>
    <row r="240" spans="6:8" x14ac:dyDescent="0.3">
      <c r="F240" s="19">
        <v>235</v>
      </c>
      <c r="G240" s="22">
        <v>45696</v>
      </c>
      <c r="H240" s="19" cm="1">
        <f t="array" ref="H240">_xlfn.XLOOKUP(MONTH(G240) &amp; YEAR(G240),MONTH($B$6:$B$38) &amp; YEAR($B$6:$B$38),$C$6:$C$38)</f>
        <v>-0.09</v>
      </c>
    </row>
    <row r="241" spans="6:8" x14ac:dyDescent="0.3">
      <c r="F241" s="19">
        <v>236</v>
      </c>
      <c r="G241" s="22">
        <v>45695</v>
      </c>
      <c r="H241" s="19" cm="1">
        <f t="array" ref="H241">_xlfn.XLOOKUP(MONTH(G241) &amp; YEAR(G241),MONTH($B$6:$B$38) &amp; YEAR($B$6:$B$38),$C$6:$C$38)</f>
        <v>-0.09</v>
      </c>
    </row>
    <row r="242" spans="6:8" x14ac:dyDescent="0.3">
      <c r="F242" s="19">
        <v>237</v>
      </c>
      <c r="G242" s="22">
        <v>45694</v>
      </c>
      <c r="H242" s="19" cm="1">
        <f t="array" ref="H242">_xlfn.XLOOKUP(MONTH(G242) &amp; YEAR(G242),MONTH($B$6:$B$38) &amp; YEAR($B$6:$B$38),$C$6:$C$38)</f>
        <v>-0.09</v>
      </c>
    </row>
    <row r="243" spans="6:8" x14ac:dyDescent="0.3">
      <c r="F243" s="19">
        <v>238</v>
      </c>
      <c r="G243" s="22">
        <v>45693</v>
      </c>
      <c r="H243" s="19" cm="1">
        <f t="array" ref="H243">_xlfn.XLOOKUP(MONTH(G243) &amp; YEAR(G243),MONTH($B$6:$B$38) &amp; YEAR($B$6:$B$38),$C$6:$C$38)</f>
        <v>-0.09</v>
      </c>
    </row>
    <row r="244" spans="6:8" x14ac:dyDescent="0.3">
      <c r="F244" s="19">
        <v>239</v>
      </c>
      <c r="G244" s="22">
        <v>45692</v>
      </c>
      <c r="H244" s="19" cm="1">
        <f t="array" ref="H244">_xlfn.XLOOKUP(MONTH(G244) &amp; YEAR(G244),MONTH($B$6:$B$38) &amp; YEAR($B$6:$B$38),$C$6:$C$38)</f>
        <v>-0.09</v>
      </c>
    </row>
    <row r="245" spans="6:8" x14ac:dyDescent="0.3">
      <c r="F245" s="19">
        <v>240</v>
      </c>
      <c r="G245" s="22">
        <v>45691</v>
      </c>
      <c r="H245" s="19" cm="1">
        <f t="array" ref="H245">_xlfn.XLOOKUP(MONTH(G245) &amp; YEAR(G245),MONTH($B$6:$B$38) &amp; YEAR($B$6:$B$38),$C$6:$C$38)</f>
        <v>-0.09</v>
      </c>
    </row>
    <row r="246" spans="6:8" x14ac:dyDescent="0.3">
      <c r="F246" s="19">
        <v>241</v>
      </c>
      <c r="G246" s="22">
        <v>45690</v>
      </c>
      <c r="H246" s="19" cm="1">
        <f t="array" ref="H246">_xlfn.XLOOKUP(MONTH(G246) &amp; YEAR(G246),MONTH($B$6:$B$38) &amp; YEAR($B$6:$B$38),$C$6:$C$38)</f>
        <v>-0.09</v>
      </c>
    </row>
    <row r="247" spans="6:8" x14ac:dyDescent="0.3">
      <c r="F247" s="19">
        <v>242</v>
      </c>
      <c r="G247" s="22">
        <v>45689</v>
      </c>
      <c r="H247" s="19" cm="1">
        <f t="array" ref="H247">_xlfn.XLOOKUP(MONTH(G247) &amp; YEAR(G247),MONTH($B$6:$B$38) &amp; YEAR($B$6:$B$38),$C$6:$C$38)</f>
        <v>-0.09</v>
      </c>
    </row>
    <row r="248" spans="6:8" x14ac:dyDescent="0.3">
      <c r="F248" s="19">
        <v>243</v>
      </c>
      <c r="G248" s="22">
        <v>45688</v>
      </c>
      <c r="H248" s="19" cm="1">
        <f t="array" ref="H248">_xlfn.XLOOKUP(MONTH(G248) &amp; YEAR(G248),MONTH($B$6:$B$38) &amp; YEAR($B$6:$B$38),$C$6:$C$38)</f>
        <v>0.76</v>
      </c>
    </row>
    <row r="249" spans="6:8" x14ac:dyDescent="0.3">
      <c r="F249" s="19">
        <v>244</v>
      </c>
      <c r="G249" s="22">
        <v>45687</v>
      </c>
      <c r="H249" s="19" cm="1">
        <f t="array" ref="H249">_xlfn.XLOOKUP(MONTH(G249) &amp; YEAR(G249),MONTH($B$6:$B$38) &amp; YEAR($B$6:$B$38),$C$6:$C$38)</f>
        <v>0.76</v>
      </c>
    </row>
    <row r="250" spans="6:8" x14ac:dyDescent="0.3">
      <c r="F250" s="19">
        <v>245</v>
      </c>
      <c r="G250" s="22">
        <v>45686</v>
      </c>
      <c r="H250" s="19" cm="1">
        <f t="array" ref="H250">_xlfn.XLOOKUP(MONTH(G250) &amp; YEAR(G250),MONTH($B$6:$B$38) &amp; YEAR($B$6:$B$38),$C$6:$C$38)</f>
        <v>0.76</v>
      </c>
    </row>
    <row r="251" spans="6:8" x14ac:dyDescent="0.3">
      <c r="F251" s="19">
        <v>246</v>
      </c>
      <c r="G251" s="22">
        <v>45685</v>
      </c>
      <c r="H251" s="19" cm="1">
        <f t="array" ref="H251">_xlfn.XLOOKUP(MONTH(G251) &amp; YEAR(G251),MONTH($B$6:$B$38) &amp; YEAR($B$6:$B$38),$C$6:$C$38)</f>
        <v>0.76</v>
      </c>
    </row>
    <row r="252" spans="6:8" x14ac:dyDescent="0.3">
      <c r="F252" s="19">
        <v>247</v>
      </c>
      <c r="G252" s="22">
        <v>45684</v>
      </c>
      <c r="H252" s="19" cm="1">
        <f t="array" ref="H252">_xlfn.XLOOKUP(MONTH(G252) &amp; YEAR(G252),MONTH($B$6:$B$38) &amp; YEAR($B$6:$B$38),$C$6:$C$38)</f>
        <v>0.76</v>
      </c>
    </row>
    <row r="253" spans="6:8" x14ac:dyDescent="0.3">
      <c r="F253" s="19">
        <v>248</v>
      </c>
      <c r="G253" s="22">
        <v>45683</v>
      </c>
      <c r="H253" s="19" cm="1">
        <f t="array" ref="H253">_xlfn.XLOOKUP(MONTH(G253) &amp; YEAR(G253),MONTH($B$6:$B$38) &amp; YEAR($B$6:$B$38),$C$6:$C$38)</f>
        <v>0.76</v>
      </c>
    </row>
    <row r="254" spans="6:8" x14ac:dyDescent="0.3">
      <c r="F254" s="19">
        <v>249</v>
      </c>
      <c r="G254" s="22">
        <v>45682</v>
      </c>
      <c r="H254" s="19" cm="1">
        <f t="array" ref="H254">_xlfn.XLOOKUP(MONTH(G254) &amp; YEAR(G254),MONTH($B$6:$B$38) &amp; YEAR($B$6:$B$38),$C$6:$C$38)</f>
        <v>0.76</v>
      </c>
    </row>
    <row r="255" spans="6:8" x14ac:dyDescent="0.3">
      <c r="F255" s="19">
        <v>250</v>
      </c>
      <c r="G255" s="22">
        <v>45681</v>
      </c>
      <c r="H255" s="19" cm="1">
        <f t="array" ref="H255">_xlfn.XLOOKUP(MONTH(G255) &amp; YEAR(G255),MONTH($B$6:$B$38) &amp; YEAR($B$6:$B$38),$C$6:$C$38)</f>
        <v>0.76</v>
      </c>
    </row>
    <row r="256" spans="6:8" x14ac:dyDescent="0.3">
      <c r="F256" s="19">
        <v>251</v>
      </c>
      <c r="G256" s="22">
        <v>45680</v>
      </c>
      <c r="H256" s="19" cm="1">
        <f t="array" ref="H256">_xlfn.XLOOKUP(MONTH(G256) &amp; YEAR(G256),MONTH($B$6:$B$38) &amp; YEAR($B$6:$B$38),$C$6:$C$38)</f>
        <v>0.76</v>
      </c>
    </row>
    <row r="257" spans="6:8" x14ac:dyDescent="0.3">
      <c r="F257" s="19">
        <v>252</v>
      </c>
      <c r="G257" s="22">
        <v>45679</v>
      </c>
      <c r="H257" s="19" cm="1">
        <f t="array" ref="H257">_xlfn.XLOOKUP(MONTH(G257) &amp; YEAR(G257),MONTH($B$6:$B$38) &amp; YEAR($B$6:$B$38),$C$6:$C$38)</f>
        <v>0.76</v>
      </c>
    </row>
    <row r="258" spans="6:8" x14ac:dyDescent="0.3">
      <c r="F258" s="19">
        <v>253</v>
      </c>
      <c r="G258" s="22">
        <v>45678</v>
      </c>
      <c r="H258" s="19" cm="1">
        <f t="array" ref="H258">_xlfn.XLOOKUP(MONTH(G258) &amp; YEAR(G258),MONTH($B$6:$B$38) &amp; YEAR($B$6:$B$38),$C$6:$C$38)</f>
        <v>0.76</v>
      </c>
    </row>
    <row r="259" spans="6:8" x14ac:dyDescent="0.3">
      <c r="F259" s="19">
        <v>254</v>
      </c>
      <c r="G259" s="22">
        <v>45677</v>
      </c>
      <c r="H259" s="19" cm="1">
        <f t="array" ref="H259">_xlfn.XLOOKUP(MONTH(G259) &amp; YEAR(G259),MONTH($B$6:$B$38) &amp; YEAR($B$6:$B$38),$C$6:$C$38)</f>
        <v>0.76</v>
      </c>
    </row>
    <row r="260" spans="6:8" x14ac:dyDescent="0.3">
      <c r="F260" s="19">
        <v>255</v>
      </c>
      <c r="G260" s="22">
        <v>45676</v>
      </c>
      <c r="H260" s="19" cm="1">
        <f t="array" ref="H260">_xlfn.XLOOKUP(MONTH(G260) &amp; YEAR(G260),MONTH($B$6:$B$38) &amp; YEAR($B$6:$B$38),$C$6:$C$38)</f>
        <v>0.76</v>
      </c>
    </row>
    <row r="261" spans="6:8" x14ac:dyDescent="0.3">
      <c r="F261" s="19">
        <v>256</v>
      </c>
      <c r="G261" s="22">
        <v>45675</v>
      </c>
      <c r="H261" s="19" cm="1">
        <f t="array" ref="H261">_xlfn.XLOOKUP(MONTH(G261) &amp; YEAR(G261),MONTH($B$6:$B$38) &amp; YEAR($B$6:$B$38),$C$6:$C$38)</f>
        <v>0.76</v>
      </c>
    </row>
    <row r="262" spans="6:8" x14ac:dyDescent="0.3">
      <c r="F262" s="19">
        <v>257</v>
      </c>
      <c r="G262" s="22">
        <v>45674</v>
      </c>
      <c r="H262" s="19" cm="1">
        <f t="array" ref="H262">_xlfn.XLOOKUP(MONTH(G262) &amp; YEAR(G262),MONTH($B$6:$B$38) &amp; YEAR($B$6:$B$38),$C$6:$C$38)</f>
        <v>0.76</v>
      </c>
    </row>
    <row r="263" spans="6:8" x14ac:dyDescent="0.3">
      <c r="F263" s="19">
        <v>258</v>
      </c>
      <c r="G263" s="22">
        <v>45673</v>
      </c>
      <c r="H263" s="19" cm="1">
        <f t="array" ref="H263">_xlfn.XLOOKUP(MONTH(G263) &amp; YEAR(G263),MONTH($B$6:$B$38) &amp; YEAR($B$6:$B$38),$C$6:$C$38)</f>
        <v>0.76</v>
      </c>
    </row>
    <row r="264" spans="6:8" x14ac:dyDescent="0.3">
      <c r="F264" s="19">
        <v>259</v>
      </c>
      <c r="G264" s="22">
        <v>45672</v>
      </c>
      <c r="H264" s="19" cm="1">
        <f t="array" ref="H264">_xlfn.XLOOKUP(MONTH(G264) &amp; YEAR(G264),MONTH($B$6:$B$38) &amp; YEAR($B$6:$B$38),$C$6:$C$38)</f>
        <v>0.76</v>
      </c>
    </row>
    <row r="265" spans="6:8" x14ac:dyDescent="0.3">
      <c r="F265" s="19">
        <v>260</v>
      </c>
      <c r="G265" s="22">
        <v>45671</v>
      </c>
      <c r="H265" s="19" cm="1">
        <f t="array" ref="H265">_xlfn.XLOOKUP(MONTH(G265) &amp; YEAR(G265),MONTH($B$6:$B$38) &amp; YEAR($B$6:$B$38),$C$6:$C$38)</f>
        <v>0.76</v>
      </c>
    </row>
    <row r="266" spans="6:8" x14ac:dyDescent="0.3">
      <c r="F266" s="19">
        <v>261</v>
      </c>
      <c r="G266" s="22">
        <v>45670</v>
      </c>
      <c r="H266" s="19" cm="1">
        <f t="array" ref="H266">_xlfn.XLOOKUP(MONTH(G266) &amp; YEAR(G266),MONTH($B$6:$B$38) &amp; YEAR($B$6:$B$38),$C$6:$C$38)</f>
        <v>0.76</v>
      </c>
    </row>
    <row r="267" spans="6:8" x14ac:dyDescent="0.3">
      <c r="F267" s="19">
        <v>262</v>
      </c>
      <c r="G267" s="22">
        <v>45669</v>
      </c>
      <c r="H267" s="19" cm="1">
        <f t="array" ref="H267">_xlfn.XLOOKUP(MONTH(G267) &amp; YEAR(G267),MONTH($B$6:$B$38) &amp; YEAR($B$6:$B$38),$C$6:$C$38)</f>
        <v>0.76</v>
      </c>
    </row>
    <row r="268" spans="6:8" x14ac:dyDescent="0.3">
      <c r="F268" s="19">
        <v>263</v>
      </c>
      <c r="G268" s="22">
        <v>45668</v>
      </c>
      <c r="H268" s="19" cm="1">
        <f t="array" ref="H268">_xlfn.XLOOKUP(MONTH(G268) &amp; YEAR(G268),MONTH($B$6:$B$38) &amp; YEAR($B$6:$B$38),$C$6:$C$38)</f>
        <v>0.76</v>
      </c>
    </row>
    <row r="269" spans="6:8" x14ac:dyDescent="0.3">
      <c r="F269" s="19">
        <v>264</v>
      </c>
      <c r="G269" s="22">
        <v>45667</v>
      </c>
      <c r="H269" s="19" cm="1">
        <f t="array" ref="H269">_xlfn.XLOOKUP(MONTH(G269) &amp; YEAR(G269),MONTH($B$6:$B$38) &amp; YEAR($B$6:$B$38),$C$6:$C$38)</f>
        <v>0.76</v>
      </c>
    </row>
    <row r="270" spans="6:8" x14ac:dyDescent="0.3">
      <c r="F270" s="19">
        <v>265</v>
      </c>
      <c r="G270" s="22">
        <v>45666</v>
      </c>
      <c r="H270" s="19" cm="1">
        <f t="array" ref="H270">_xlfn.XLOOKUP(MONTH(G270) &amp; YEAR(G270),MONTH($B$6:$B$38) &amp; YEAR($B$6:$B$38),$C$6:$C$38)</f>
        <v>0.76</v>
      </c>
    </row>
    <row r="271" spans="6:8" x14ac:dyDescent="0.3">
      <c r="F271" s="19">
        <v>266</v>
      </c>
      <c r="G271" s="22">
        <v>45665</v>
      </c>
      <c r="H271" s="19" cm="1">
        <f t="array" ref="H271">_xlfn.XLOOKUP(MONTH(G271) &amp; YEAR(G271),MONTH($B$6:$B$38) &amp; YEAR($B$6:$B$38),$C$6:$C$38)</f>
        <v>0.76</v>
      </c>
    </row>
    <row r="272" spans="6:8" x14ac:dyDescent="0.3">
      <c r="F272" s="19">
        <v>267</v>
      </c>
      <c r="G272" s="22">
        <v>45664</v>
      </c>
      <c r="H272" s="19" cm="1">
        <f t="array" ref="H272">_xlfn.XLOOKUP(MONTH(G272) &amp; YEAR(G272),MONTH($B$6:$B$38) &amp; YEAR($B$6:$B$38),$C$6:$C$38)</f>
        <v>0.76</v>
      </c>
    </row>
    <row r="273" spans="6:8" x14ac:dyDescent="0.3">
      <c r="F273" s="19">
        <v>268</v>
      </c>
      <c r="G273" s="22">
        <v>45663</v>
      </c>
      <c r="H273" s="19" cm="1">
        <f t="array" ref="H273">_xlfn.XLOOKUP(MONTH(G273) &amp; YEAR(G273),MONTH($B$6:$B$38) &amp; YEAR($B$6:$B$38),$C$6:$C$38)</f>
        <v>0.76</v>
      </c>
    </row>
    <row r="274" spans="6:8" x14ac:dyDescent="0.3">
      <c r="F274" s="19">
        <v>269</v>
      </c>
      <c r="G274" s="22">
        <v>45662</v>
      </c>
      <c r="H274" s="19" cm="1">
        <f t="array" ref="H274">_xlfn.XLOOKUP(MONTH(G274) &amp; YEAR(G274),MONTH($B$6:$B$38) &amp; YEAR($B$6:$B$38),$C$6:$C$38)</f>
        <v>0.76</v>
      </c>
    </row>
    <row r="275" spans="6:8" x14ac:dyDescent="0.3">
      <c r="F275" s="19">
        <v>270</v>
      </c>
      <c r="G275" s="22">
        <v>45661</v>
      </c>
      <c r="H275" s="19" cm="1">
        <f t="array" ref="H275">_xlfn.XLOOKUP(MONTH(G275) &amp; YEAR(G275),MONTH($B$6:$B$38) &amp; YEAR($B$6:$B$38),$C$6:$C$38)</f>
        <v>0.76</v>
      </c>
    </row>
    <row r="276" spans="6:8" x14ac:dyDescent="0.3">
      <c r="F276" s="19">
        <v>271</v>
      </c>
      <c r="G276" s="22">
        <v>45660</v>
      </c>
      <c r="H276" s="19" cm="1">
        <f t="array" ref="H276">_xlfn.XLOOKUP(MONTH(G276) &amp; YEAR(G276),MONTH($B$6:$B$38) &amp; YEAR($B$6:$B$38),$C$6:$C$38)</f>
        <v>0.76</v>
      </c>
    </row>
    <row r="277" spans="6:8" x14ac:dyDescent="0.3">
      <c r="F277" s="19">
        <v>272</v>
      </c>
      <c r="G277" s="22">
        <v>45659</v>
      </c>
      <c r="H277" s="19" cm="1">
        <f t="array" ref="H277">_xlfn.XLOOKUP(MONTH(G277) &amp; YEAR(G277),MONTH($B$6:$B$38) &amp; YEAR($B$6:$B$38),$C$6:$C$38)</f>
        <v>0.76</v>
      </c>
    </row>
    <row r="278" spans="6:8" x14ac:dyDescent="0.3">
      <c r="F278" s="19">
        <v>273</v>
      </c>
      <c r="G278" s="22">
        <v>45658</v>
      </c>
      <c r="H278" s="19" cm="1">
        <f t="array" ref="H278">_xlfn.XLOOKUP(MONTH(G278) &amp; YEAR(G278),MONTH($B$6:$B$38) &amp; YEAR($B$6:$B$38),$C$6:$C$38)</f>
        <v>0.76</v>
      </c>
    </row>
    <row r="279" spans="6:8" x14ac:dyDescent="0.3">
      <c r="F279" s="19">
        <v>274</v>
      </c>
      <c r="G279" s="22">
        <v>45657</v>
      </c>
      <c r="H279" s="19" cm="1">
        <f t="array" ref="H279">_xlfn.XLOOKUP(MONTH(G279) &amp; YEAR(G279),MONTH($B$6:$B$38) &amp; YEAR($B$6:$B$38),$C$6:$C$38)</f>
        <v>1.57</v>
      </c>
    </row>
    <row r="280" spans="6:8" x14ac:dyDescent="0.3">
      <c r="F280" s="19">
        <v>275</v>
      </c>
      <c r="G280" s="22">
        <v>45656</v>
      </c>
      <c r="H280" s="19" cm="1">
        <f t="array" ref="H280">_xlfn.XLOOKUP(MONTH(G280) &amp; YEAR(G280),MONTH($B$6:$B$38) &amp; YEAR($B$6:$B$38),$C$6:$C$38)</f>
        <v>1.57</v>
      </c>
    </row>
    <row r="281" spans="6:8" x14ac:dyDescent="0.3">
      <c r="F281" s="19">
        <v>276</v>
      </c>
      <c r="G281" s="22">
        <v>45655</v>
      </c>
      <c r="H281" s="19" cm="1">
        <f t="array" ref="H281">_xlfn.XLOOKUP(MONTH(G281) &amp; YEAR(G281),MONTH($B$6:$B$38) &amp; YEAR($B$6:$B$38),$C$6:$C$38)</f>
        <v>1.57</v>
      </c>
    </row>
    <row r="282" spans="6:8" x14ac:dyDescent="0.3">
      <c r="F282" s="19">
        <v>277</v>
      </c>
      <c r="G282" s="22">
        <v>45654</v>
      </c>
      <c r="H282" s="19" cm="1">
        <f t="array" ref="H282">_xlfn.XLOOKUP(MONTH(G282) &amp; YEAR(G282),MONTH($B$6:$B$38) &amp; YEAR($B$6:$B$38),$C$6:$C$38)</f>
        <v>1.57</v>
      </c>
    </row>
    <row r="283" spans="6:8" x14ac:dyDescent="0.3">
      <c r="F283" s="19">
        <v>278</v>
      </c>
      <c r="G283" s="22">
        <v>45653</v>
      </c>
      <c r="H283" s="19" cm="1">
        <f t="array" ref="H283">_xlfn.XLOOKUP(MONTH(G283) &amp; YEAR(G283),MONTH($B$6:$B$38) &amp; YEAR($B$6:$B$38),$C$6:$C$38)</f>
        <v>1.57</v>
      </c>
    </row>
    <row r="284" spans="6:8" x14ac:dyDescent="0.3">
      <c r="F284" s="19">
        <v>279</v>
      </c>
      <c r="G284" s="22">
        <v>45652</v>
      </c>
      <c r="H284" s="19" cm="1">
        <f t="array" ref="H284">_xlfn.XLOOKUP(MONTH(G284) &amp; YEAR(G284),MONTH($B$6:$B$38) &amp; YEAR($B$6:$B$38),$C$6:$C$38)</f>
        <v>1.57</v>
      </c>
    </row>
    <row r="285" spans="6:8" x14ac:dyDescent="0.3">
      <c r="F285" s="19">
        <v>280</v>
      </c>
      <c r="G285" s="22">
        <v>45651</v>
      </c>
      <c r="H285" s="19" cm="1">
        <f t="array" ref="H285">_xlfn.XLOOKUP(MONTH(G285) &amp; YEAR(G285),MONTH($B$6:$B$38) &amp; YEAR($B$6:$B$38),$C$6:$C$38)</f>
        <v>1.57</v>
      </c>
    </row>
    <row r="286" spans="6:8" x14ac:dyDescent="0.3">
      <c r="F286" s="19">
        <v>281</v>
      </c>
      <c r="G286" s="22">
        <v>45650</v>
      </c>
      <c r="H286" s="19" cm="1">
        <f t="array" ref="H286">_xlfn.XLOOKUP(MONTH(G286) &amp; YEAR(G286),MONTH($B$6:$B$38) &amp; YEAR($B$6:$B$38),$C$6:$C$38)</f>
        <v>1.57</v>
      </c>
    </row>
    <row r="287" spans="6:8" x14ac:dyDescent="0.3">
      <c r="F287" s="19">
        <v>282</v>
      </c>
      <c r="G287" s="22">
        <v>45649</v>
      </c>
      <c r="H287" s="19" cm="1">
        <f t="array" ref="H287">_xlfn.XLOOKUP(MONTH(G287) &amp; YEAR(G287),MONTH($B$6:$B$38) &amp; YEAR($B$6:$B$38),$C$6:$C$38)</f>
        <v>1.57</v>
      </c>
    </row>
    <row r="288" spans="6:8" x14ac:dyDescent="0.3">
      <c r="F288" s="19">
        <v>283</v>
      </c>
      <c r="G288" s="22">
        <v>45648</v>
      </c>
      <c r="H288" s="19" cm="1">
        <f t="array" ref="H288">_xlfn.XLOOKUP(MONTH(G288) &amp; YEAR(G288),MONTH($B$6:$B$38) &amp; YEAR($B$6:$B$38),$C$6:$C$38)</f>
        <v>1.57</v>
      </c>
    </row>
    <row r="289" spans="6:8" x14ac:dyDescent="0.3">
      <c r="F289" s="19">
        <v>284</v>
      </c>
      <c r="G289" s="22">
        <v>45647</v>
      </c>
      <c r="H289" s="19" cm="1">
        <f t="array" ref="H289">_xlfn.XLOOKUP(MONTH(G289) &amp; YEAR(G289),MONTH($B$6:$B$38) &amp; YEAR($B$6:$B$38),$C$6:$C$38)</f>
        <v>1.57</v>
      </c>
    </row>
    <row r="290" spans="6:8" x14ac:dyDescent="0.3">
      <c r="F290" s="19">
        <v>285</v>
      </c>
      <c r="G290" s="22">
        <v>45646</v>
      </c>
      <c r="H290" s="19" cm="1">
        <f t="array" ref="H290">_xlfn.XLOOKUP(MONTH(G290) &amp; YEAR(G290),MONTH($B$6:$B$38) &amp; YEAR($B$6:$B$38),$C$6:$C$38)</f>
        <v>1.57</v>
      </c>
    </row>
    <row r="291" spans="6:8" x14ac:dyDescent="0.3">
      <c r="F291" s="19">
        <v>286</v>
      </c>
      <c r="G291" s="22">
        <v>45645</v>
      </c>
      <c r="H291" s="19" cm="1">
        <f t="array" ref="H291">_xlfn.XLOOKUP(MONTH(G291) &amp; YEAR(G291),MONTH($B$6:$B$38) &amp; YEAR($B$6:$B$38),$C$6:$C$38)</f>
        <v>1.57</v>
      </c>
    </row>
    <row r="292" spans="6:8" x14ac:dyDescent="0.3">
      <c r="F292" s="19">
        <v>287</v>
      </c>
      <c r="G292" s="22">
        <v>45644</v>
      </c>
      <c r="H292" s="19" cm="1">
        <f t="array" ref="H292">_xlfn.XLOOKUP(MONTH(G292) &amp; YEAR(G292),MONTH($B$6:$B$38) &amp; YEAR($B$6:$B$38),$C$6:$C$38)</f>
        <v>1.57</v>
      </c>
    </row>
    <row r="293" spans="6:8" x14ac:dyDescent="0.3">
      <c r="F293" s="19">
        <v>288</v>
      </c>
      <c r="G293" s="22">
        <v>45643</v>
      </c>
      <c r="H293" s="19" cm="1">
        <f t="array" ref="H293">_xlfn.XLOOKUP(MONTH(G293) &amp; YEAR(G293),MONTH($B$6:$B$38) &amp; YEAR($B$6:$B$38),$C$6:$C$38)</f>
        <v>1.57</v>
      </c>
    </row>
    <row r="294" spans="6:8" x14ac:dyDescent="0.3">
      <c r="F294" s="19">
        <v>289</v>
      </c>
      <c r="G294" s="22">
        <v>45642</v>
      </c>
      <c r="H294" s="19" cm="1">
        <f t="array" ref="H294">_xlfn.XLOOKUP(MONTH(G294) &amp; YEAR(G294),MONTH($B$6:$B$38) &amp; YEAR($B$6:$B$38),$C$6:$C$38)</f>
        <v>1.57</v>
      </c>
    </row>
    <row r="295" spans="6:8" x14ac:dyDescent="0.3">
      <c r="F295" s="19">
        <v>290</v>
      </c>
      <c r="G295" s="22">
        <v>45641</v>
      </c>
      <c r="H295" s="19" cm="1">
        <f t="array" ref="H295">_xlfn.XLOOKUP(MONTH(G295) &amp; YEAR(G295),MONTH($B$6:$B$38) &amp; YEAR($B$6:$B$38),$C$6:$C$38)</f>
        <v>1.57</v>
      </c>
    </row>
    <row r="296" spans="6:8" x14ac:dyDescent="0.3">
      <c r="F296" s="19">
        <v>291</v>
      </c>
      <c r="G296" s="22">
        <v>45640</v>
      </c>
      <c r="H296" s="19" cm="1">
        <f t="array" ref="H296">_xlfn.XLOOKUP(MONTH(G296) &amp; YEAR(G296),MONTH($B$6:$B$38) &amp; YEAR($B$6:$B$38),$C$6:$C$38)</f>
        <v>1.57</v>
      </c>
    </row>
    <row r="297" spans="6:8" x14ac:dyDescent="0.3">
      <c r="F297" s="19">
        <v>292</v>
      </c>
      <c r="G297" s="22">
        <v>45639</v>
      </c>
      <c r="H297" s="19" cm="1">
        <f t="array" ref="H297">_xlfn.XLOOKUP(MONTH(G297) &amp; YEAR(G297),MONTH($B$6:$B$38) &amp; YEAR($B$6:$B$38),$C$6:$C$38)</f>
        <v>1.57</v>
      </c>
    </row>
    <row r="298" spans="6:8" x14ac:dyDescent="0.3">
      <c r="F298" s="19">
        <v>293</v>
      </c>
      <c r="G298" s="22">
        <v>45638</v>
      </c>
      <c r="H298" s="19" cm="1">
        <f t="array" ref="H298">_xlfn.XLOOKUP(MONTH(G298) &amp; YEAR(G298),MONTH($B$6:$B$38) &amp; YEAR($B$6:$B$38),$C$6:$C$38)</f>
        <v>1.57</v>
      </c>
    </row>
    <row r="299" spans="6:8" x14ac:dyDescent="0.3">
      <c r="F299" s="19">
        <v>294</v>
      </c>
      <c r="G299" s="22">
        <v>45637</v>
      </c>
      <c r="H299" s="19" cm="1">
        <f t="array" ref="H299">_xlfn.XLOOKUP(MONTH(G299) &amp; YEAR(G299),MONTH($B$6:$B$38) &amp; YEAR($B$6:$B$38),$C$6:$C$38)</f>
        <v>1.57</v>
      </c>
    </row>
    <row r="300" spans="6:8" x14ac:dyDescent="0.3">
      <c r="F300" s="19">
        <v>295</v>
      </c>
      <c r="G300" s="22">
        <v>45636</v>
      </c>
      <c r="H300" s="19" cm="1">
        <f t="array" ref="H300">_xlfn.XLOOKUP(MONTH(G300) &amp; YEAR(G300),MONTH($B$6:$B$38) &amp; YEAR($B$6:$B$38),$C$6:$C$38)</f>
        <v>1.57</v>
      </c>
    </row>
    <row r="301" spans="6:8" x14ac:dyDescent="0.3">
      <c r="F301" s="19">
        <v>296</v>
      </c>
      <c r="G301" s="22">
        <v>45635</v>
      </c>
      <c r="H301" s="19" cm="1">
        <f t="array" ref="H301">_xlfn.XLOOKUP(MONTH(G301) &amp; YEAR(G301),MONTH($B$6:$B$38) &amp; YEAR($B$6:$B$38),$C$6:$C$38)</f>
        <v>1.57</v>
      </c>
    </row>
    <row r="302" spans="6:8" x14ac:dyDescent="0.3">
      <c r="F302" s="19">
        <v>297</v>
      </c>
      <c r="G302" s="22">
        <v>45634</v>
      </c>
      <c r="H302" s="19" cm="1">
        <f t="array" ref="H302">_xlfn.XLOOKUP(MONTH(G302) &amp; YEAR(G302),MONTH($B$6:$B$38) &amp; YEAR($B$6:$B$38),$C$6:$C$38)</f>
        <v>1.57</v>
      </c>
    </row>
    <row r="303" spans="6:8" x14ac:dyDescent="0.3">
      <c r="F303" s="19">
        <v>298</v>
      </c>
      <c r="G303" s="22">
        <v>45633</v>
      </c>
      <c r="H303" s="19" cm="1">
        <f t="array" ref="H303">_xlfn.XLOOKUP(MONTH(G303) &amp; YEAR(G303),MONTH($B$6:$B$38) &amp; YEAR($B$6:$B$38),$C$6:$C$38)</f>
        <v>1.57</v>
      </c>
    </row>
    <row r="304" spans="6:8" x14ac:dyDescent="0.3">
      <c r="F304" s="19">
        <v>299</v>
      </c>
      <c r="G304" s="22">
        <v>45632</v>
      </c>
      <c r="H304" s="19" cm="1">
        <f t="array" ref="H304">_xlfn.XLOOKUP(MONTH(G304) &amp; YEAR(G304),MONTH($B$6:$B$38) &amp; YEAR($B$6:$B$38),$C$6:$C$38)</f>
        <v>1.57</v>
      </c>
    </row>
    <row r="305" spans="6:8" x14ac:dyDescent="0.3">
      <c r="F305" s="19">
        <v>300</v>
      </c>
      <c r="G305" s="22">
        <v>45631</v>
      </c>
      <c r="H305" s="19" cm="1">
        <f t="array" ref="H305">_xlfn.XLOOKUP(MONTH(G305) &amp; YEAR(G305),MONTH($B$6:$B$38) &amp; YEAR($B$6:$B$38),$C$6:$C$38)</f>
        <v>1.57</v>
      </c>
    </row>
    <row r="306" spans="6:8" x14ac:dyDescent="0.3">
      <c r="F306" s="19">
        <v>301</v>
      </c>
      <c r="G306" s="22">
        <v>45630</v>
      </c>
      <c r="H306" s="19" cm="1">
        <f t="array" ref="H306">_xlfn.XLOOKUP(MONTH(G306) &amp; YEAR(G306),MONTH($B$6:$B$38) &amp; YEAR($B$6:$B$38),$C$6:$C$38)</f>
        <v>1.57</v>
      </c>
    </row>
    <row r="307" spans="6:8" x14ac:dyDescent="0.3">
      <c r="F307" s="19">
        <v>302</v>
      </c>
      <c r="G307" s="22">
        <v>45629</v>
      </c>
      <c r="H307" s="19" cm="1">
        <f t="array" ref="H307">_xlfn.XLOOKUP(MONTH(G307) &amp; YEAR(G307),MONTH($B$6:$B$38) &amp; YEAR($B$6:$B$38),$C$6:$C$38)</f>
        <v>1.57</v>
      </c>
    </row>
    <row r="308" spans="6:8" x14ac:dyDescent="0.3">
      <c r="F308" s="19">
        <v>303</v>
      </c>
      <c r="G308" s="22">
        <v>45628</v>
      </c>
      <c r="H308" s="19" cm="1">
        <f t="array" ref="H308">_xlfn.XLOOKUP(MONTH(G308) &amp; YEAR(G308),MONTH($B$6:$B$38) &amp; YEAR($B$6:$B$38),$C$6:$C$38)</f>
        <v>1.57</v>
      </c>
    </row>
    <row r="309" spans="6:8" x14ac:dyDescent="0.3">
      <c r="F309" s="19">
        <v>304</v>
      </c>
      <c r="G309" s="22">
        <v>45627</v>
      </c>
      <c r="H309" s="19" cm="1">
        <f t="array" ref="H309">_xlfn.XLOOKUP(MONTH(G309) &amp; YEAR(G309),MONTH($B$6:$B$38) &amp; YEAR($B$6:$B$38),$C$6:$C$38)</f>
        <v>1.57</v>
      </c>
    </row>
    <row r="310" spans="6:8" x14ac:dyDescent="0.3">
      <c r="F310" s="19">
        <v>305</v>
      </c>
      <c r="G310" s="22">
        <v>45626</v>
      </c>
      <c r="H310" s="19" cm="1">
        <f t="array" ref="H310">_xlfn.XLOOKUP(MONTH(G310) &amp; YEAR(G310),MONTH($B$6:$B$38) &amp; YEAR($B$6:$B$38),$C$6:$C$38)</f>
        <v>1.55</v>
      </c>
    </row>
    <row r="311" spans="6:8" x14ac:dyDescent="0.3">
      <c r="F311" s="19">
        <v>306</v>
      </c>
      <c r="G311" s="22">
        <v>45625</v>
      </c>
      <c r="H311" s="19" cm="1">
        <f t="array" ref="H311">_xlfn.XLOOKUP(MONTH(G311) &amp; YEAR(G311),MONTH($B$6:$B$38) &amp; YEAR($B$6:$B$38),$C$6:$C$38)</f>
        <v>1.55</v>
      </c>
    </row>
    <row r="312" spans="6:8" x14ac:dyDescent="0.3">
      <c r="F312" s="19">
        <v>307</v>
      </c>
      <c r="G312" s="22">
        <v>45624</v>
      </c>
      <c r="H312" s="19" cm="1">
        <f t="array" ref="H312">_xlfn.XLOOKUP(MONTH(G312) &amp; YEAR(G312),MONTH($B$6:$B$38) &amp; YEAR($B$6:$B$38),$C$6:$C$38)</f>
        <v>1.55</v>
      </c>
    </row>
    <row r="313" spans="6:8" x14ac:dyDescent="0.3">
      <c r="F313" s="19">
        <v>308</v>
      </c>
      <c r="G313" s="22">
        <v>45623</v>
      </c>
      <c r="H313" s="19" cm="1">
        <f t="array" ref="H313">_xlfn.XLOOKUP(MONTH(G313) &amp; YEAR(G313),MONTH($B$6:$B$38) &amp; YEAR($B$6:$B$38),$C$6:$C$38)</f>
        <v>1.55</v>
      </c>
    </row>
    <row r="314" spans="6:8" x14ac:dyDescent="0.3">
      <c r="F314" s="19">
        <v>309</v>
      </c>
      <c r="G314" s="22">
        <v>45622</v>
      </c>
      <c r="H314" s="19" cm="1">
        <f t="array" ref="H314">_xlfn.XLOOKUP(MONTH(G314) &amp; YEAR(G314),MONTH($B$6:$B$38) &amp; YEAR($B$6:$B$38),$C$6:$C$38)</f>
        <v>1.55</v>
      </c>
    </row>
    <row r="315" spans="6:8" x14ac:dyDescent="0.3">
      <c r="F315" s="19">
        <v>310</v>
      </c>
      <c r="G315" s="22">
        <v>45621</v>
      </c>
      <c r="H315" s="19" cm="1">
        <f t="array" ref="H315">_xlfn.XLOOKUP(MONTH(G315) &amp; YEAR(G315),MONTH($B$6:$B$38) &amp; YEAR($B$6:$B$38),$C$6:$C$38)</f>
        <v>1.55</v>
      </c>
    </row>
    <row r="316" spans="6:8" x14ac:dyDescent="0.3">
      <c r="F316" s="19">
        <v>311</v>
      </c>
      <c r="G316" s="22">
        <v>45620</v>
      </c>
      <c r="H316" s="19" cm="1">
        <f t="array" ref="H316">_xlfn.XLOOKUP(MONTH(G316) &amp; YEAR(G316),MONTH($B$6:$B$38) &amp; YEAR($B$6:$B$38),$C$6:$C$38)</f>
        <v>1.55</v>
      </c>
    </row>
    <row r="317" spans="6:8" x14ac:dyDescent="0.3">
      <c r="F317" s="19">
        <v>312</v>
      </c>
      <c r="G317" s="22">
        <v>45619</v>
      </c>
      <c r="H317" s="19" cm="1">
        <f t="array" ref="H317">_xlfn.XLOOKUP(MONTH(G317) &amp; YEAR(G317),MONTH($B$6:$B$38) &amp; YEAR($B$6:$B$38),$C$6:$C$38)</f>
        <v>1.55</v>
      </c>
    </row>
    <row r="318" spans="6:8" x14ac:dyDescent="0.3">
      <c r="F318" s="19">
        <v>313</v>
      </c>
      <c r="G318" s="22">
        <v>45618</v>
      </c>
      <c r="H318" s="19" cm="1">
        <f t="array" ref="H318">_xlfn.XLOOKUP(MONTH(G318) &amp; YEAR(G318),MONTH($B$6:$B$38) &amp; YEAR($B$6:$B$38),$C$6:$C$38)</f>
        <v>1.55</v>
      </c>
    </row>
    <row r="319" spans="6:8" x14ac:dyDescent="0.3">
      <c r="F319" s="19">
        <v>314</v>
      </c>
      <c r="G319" s="22">
        <v>45617</v>
      </c>
      <c r="H319" s="19" cm="1">
        <f t="array" ref="H319">_xlfn.XLOOKUP(MONTH(G319) &amp; YEAR(G319),MONTH($B$6:$B$38) &amp; YEAR($B$6:$B$38),$C$6:$C$38)</f>
        <v>1.55</v>
      </c>
    </row>
    <row r="320" spans="6:8" x14ac:dyDescent="0.3">
      <c r="F320" s="19">
        <v>315</v>
      </c>
      <c r="G320" s="22">
        <v>45616</v>
      </c>
      <c r="H320" s="19" cm="1">
        <f t="array" ref="H320">_xlfn.XLOOKUP(MONTH(G320) &amp; YEAR(G320),MONTH($B$6:$B$38) &amp; YEAR($B$6:$B$38),$C$6:$C$38)</f>
        <v>1.55</v>
      </c>
    </row>
    <row r="321" spans="6:8" x14ac:dyDescent="0.3">
      <c r="F321" s="19">
        <v>316</v>
      </c>
      <c r="G321" s="22">
        <v>45615</v>
      </c>
      <c r="H321" s="19" cm="1">
        <f t="array" ref="H321">_xlfn.XLOOKUP(MONTH(G321) &amp; YEAR(G321),MONTH($B$6:$B$38) &amp; YEAR($B$6:$B$38),$C$6:$C$38)</f>
        <v>1.55</v>
      </c>
    </row>
    <row r="322" spans="6:8" x14ac:dyDescent="0.3">
      <c r="F322" s="19">
        <v>317</v>
      </c>
      <c r="G322" s="22">
        <v>45614</v>
      </c>
      <c r="H322" s="19" cm="1">
        <f t="array" ref="H322">_xlfn.XLOOKUP(MONTH(G322) &amp; YEAR(G322),MONTH($B$6:$B$38) &amp; YEAR($B$6:$B$38),$C$6:$C$38)</f>
        <v>1.55</v>
      </c>
    </row>
    <row r="323" spans="6:8" x14ac:dyDescent="0.3">
      <c r="F323" s="19">
        <v>318</v>
      </c>
      <c r="G323" s="22">
        <v>45613</v>
      </c>
      <c r="H323" s="19" cm="1">
        <f t="array" ref="H323">_xlfn.XLOOKUP(MONTH(G323) &amp; YEAR(G323),MONTH($B$6:$B$38) &amp; YEAR($B$6:$B$38),$C$6:$C$38)</f>
        <v>1.55</v>
      </c>
    </row>
    <row r="324" spans="6:8" x14ac:dyDescent="0.3">
      <c r="F324" s="19">
        <v>319</v>
      </c>
      <c r="G324" s="22">
        <v>45612</v>
      </c>
      <c r="H324" s="19" cm="1">
        <f t="array" ref="H324">_xlfn.XLOOKUP(MONTH(G324) &amp; YEAR(G324),MONTH($B$6:$B$38) &amp; YEAR($B$6:$B$38),$C$6:$C$38)</f>
        <v>1.55</v>
      </c>
    </row>
    <row r="325" spans="6:8" x14ac:dyDescent="0.3">
      <c r="F325" s="19">
        <v>320</v>
      </c>
      <c r="G325" s="22">
        <v>45611</v>
      </c>
      <c r="H325" s="19" cm="1">
        <f t="array" ref="H325">_xlfn.XLOOKUP(MONTH(G325) &amp; YEAR(G325),MONTH($B$6:$B$38) &amp; YEAR($B$6:$B$38),$C$6:$C$38)</f>
        <v>1.55</v>
      </c>
    </row>
    <row r="326" spans="6:8" x14ac:dyDescent="0.3">
      <c r="F326" s="19">
        <v>321</v>
      </c>
      <c r="G326" s="22">
        <v>45610</v>
      </c>
      <c r="H326" s="19" cm="1">
        <f t="array" ref="H326">_xlfn.XLOOKUP(MONTH(G326) &amp; YEAR(G326),MONTH($B$6:$B$38) &amp; YEAR($B$6:$B$38),$C$6:$C$38)</f>
        <v>1.55</v>
      </c>
    </row>
    <row r="327" spans="6:8" x14ac:dyDescent="0.3">
      <c r="F327" s="19">
        <v>322</v>
      </c>
      <c r="G327" s="22">
        <v>45609</v>
      </c>
      <c r="H327" s="19" cm="1">
        <f t="array" ref="H327">_xlfn.XLOOKUP(MONTH(G327) &amp; YEAR(G327),MONTH($B$6:$B$38) &amp; YEAR($B$6:$B$38),$C$6:$C$38)</f>
        <v>1.55</v>
      </c>
    </row>
    <row r="328" spans="6:8" x14ac:dyDescent="0.3">
      <c r="F328" s="19">
        <v>323</v>
      </c>
      <c r="G328" s="22">
        <v>45608</v>
      </c>
      <c r="H328" s="19" cm="1">
        <f t="array" ref="H328">_xlfn.XLOOKUP(MONTH(G328) &amp; YEAR(G328),MONTH($B$6:$B$38) &amp; YEAR($B$6:$B$38),$C$6:$C$38)</f>
        <v>1.55</v>
      </c>
    </row>
    <row r="329" spans="6:8" x14ac:dyDescent="0.3">
      <c r="F329" s="19">
        <v>324</v>
      </c>
      <c r="G329" s="22">
        <v>45607</v>
      </c>
      <c r="H329" s="19" cm="1">
        <f t="array" ref="H329">_xlfn.XLOOKUP(MONTH(G329) &amp; YEAR(G329),MONTH($B$6:$B$38) &amp; YEAR($B$6:$B$38),$C$6:$C$38)</f>
        <v>1.55</v>
      </c>
    </row>
    <row r="330" spans="6:8" x14ac:dyDescent="0.3">
      <c r="F330" s="19">
        <v>325</v>
      </c>
      <c r="G330" s="22">
        <v>45606</v>
      </c>
      <c r="H330" s="19" cm="1">
        <f t="array" ref="H330">_xlfn.XLOOKUP(MONTH(G330) &amp; YEAR(G330),MONTH($B$6:$B$38) &amp; YEAR($B$6:$B$38),$C$6:$C$38)</f>
        <v>1.55</v>
      </c>
    </row>
    <row r="331" spans="6:8" x14ac:dyDescent="0.3">
      <c r="F331" s="19">
        <v>326</v>
      </c>
      <c r="G331" s="22">
        <v>45605</v>
      </c>
      <c r="H331" s="19" cm="1">
        <f t="array" ref="H331">_xlfn.XLOOKUP(MONTH(G331) &amp; YEAR(G331),MONTH($B$6:$B$38) &amp; YEAR($B$6:$B$38),$C$6:$C$38)</f>
        <v>1.55</v>
      </c>
    </row>
    <row r="332" spans="6:8" x14ac:dyDescent="0.3">
      <c r="F332" s="19">
        <v>327</v>
      </c>
      <c r="G332" s="22">
        <v>45604</v>
      </c>
      <c r="H332" s="19" cm="1">
        <f t="array" ref="H332">_xlfn.XLOOKUP(MONTH(G332) &amp; YEAR(G332),MONTH($B$6:$B$38) &amp; YEAR($B$6:$B$38),$C$6:$C$38)</f>
        <v>1.55</v>
      </c>
    </row>
    <row r="333" spans="6:8" x14ac:dyDescent="0.3">
      <c r="F333" s="19">
        <v>328</v>
      </c>
      <c r="G333" s="22">
        <v>45603</v>
      </c>
      <c r="H333" s="19" cm="1">
        <f t="array" ref="H333">_xlfn.XLOOKUP(MONTH(G333) &amp; YEAR(G333),MONTH($B$6:$B$38) &amp; YEAR($B$6:$B$38),$C$6:$C$38)</f>
        <v>1.55</v>
      </c>
    </row>
    <row r="334" spans="6:8" x14ac:dyDescent="0.3">
      <c r="F334" s="19">
        <v>329</v>
      </c>
      <c r="G334" s="22">
        <v>45602</v>
      </c>
      <c r="H334" s="19" cm="1">
        <f t="array" ref="H334">_xlfn.XLOOKUP(MONTH(G334) &amp; YEAR(G334),MONTH($B$6:$B$38) &amp; YEAR($B$6:$B$38),$C$6:$C$38)</f>
        <v>1.55</v>
      </c>
    </row>
    <row r="335" spans="6:8" x14ac:dyDescent="0.3">
      <c r="F335" s="19">
        <v>330</v>
      </c>
      <c r="G335" s="22">
        <v>45601</v>
      </c>
      <c r="H335" s="19" cm="1">
        <f t="array" ref="H335">_xlfn.XLOOKUP(MONTH(G335) &amp; YEAR(G335),MONTH($B$6:$B$38) &amp; YEAR($B$6:$B$38),$C$6:$C$38)</f>
        <v>1.55</v>
      </c>
    </row>
    <row r="336" spans="6:8" x14ac:dyDescent="0.3">
      <c r="F336" s="19">
        <v>331</v>
      </c>
      <c r="G336" s="22">
        <v>45600</v>
      </c>
      <c r="H336" s="19" cm="1">
        <f t="array" ref="H336">_xlfn.XLOOKUP(MONTH(G336) &amp; YEAR(G336),MONTH($B$6:$B$38) &amp; YEAR($B$6:$B$38),$C$6:$C$38)</f>
        <v>1.55</v>
      </c>
    </row>
    <row r="337" spans="6:8" x14ac:dyDescent="0.3">
      <c r="F337" s="19">
        <v>332</v>
      </c>
      <c r="G337" s="22">
        <v>45599</v>
      </c>
      <c r="H337" s="19" cm="1">
        <f t="array" ref="H337">_xlfn.XLOOKUP(MONTH(G337) &amp; YEAR(G337),MONTH($B$6:$B$38) &amp; YEAR($B$6:$B$38),$C$6:$C$38)</f>
        <v>1.55</v>
      </c>
    </row>
    <row r="338" spans="6:8" x14ac:dyDescent="0.3">
      <c r="F338" s="19">
        <v>333</v>
      </c>
      <c r="G338" s="22">
        <v>45598</v>
      </c>
      <c r="H338" s="19" cm="1">
        <f t="array" ref="H338">_xlfn.XLOOKUP(MONTH(G338) &amp; YEAR(G338),MONTH($B$6:$B$38) &amp; YEAR($B$6:$B$38),$C$6:$C$38)</f>
        <v>1.55</v>
      </c>
    </row>
    <row r="339" spans="6:8" x14ac:dyDescent="0.3">
      <c r="F339" s="19">
        <v>334</v>
      </c>
      <c r="G339" s="22">
        <v>45597</v>
      </c>
      <c r="H339" s="19" cm="1">
        <f t="array" ref="H339">_xlfn.XLOOKUP(MONTH(G339) &amp; YEAR(G339),MONTH($B$6:$B$38) &amp; YEAR($B$6:$B$38),$C$6:$C$38)</f>
        <v>1.55</v>
      </c>
    </row>
    <row r="340" spans="6:8" x14ac:dyDescent="0.3">
      <c r="F340" s="19">
        <v>335</v>
      </c>
      <c r="G340" s="22">
        <v>45596</v>
      </c>
      <c r="H340" s="19" cm="1">
        <f t="array" ref="H340">_xlfn.XLOOKUP(MONTH(G340) &amp; YEAR(G340),MONTH($B$6:$B$38) &amp; YEAR($B$6:$B$38),$C$6:$C$38)</f>
        <v>1.71</v>
      </c>
    </row>
    <row r="341" spans="6:8" x14ac:dyDescent="0.3">
      <c r="F341" s="19">
        <v>336</v>
      </c>
      <c r="G341" s="22">
        <v>45595</v>
      </c>
      <c r="H341" s="19" cm="1">
        <f t="array" ref="H341">_xlfn.XLOOKUP(MONTH(G341) &amp; YEAR(G341),MONTH($B$6:$B$38) &amp; YEAR($B$6:$B$38),$C$6:$C$38)</f>
        <v>1.71</v>
      </c>
    </row>
    <row r="342" spans="6:8" x14ac:dyDescent="0.3">
      <c r="F342" s="19">
        <v>337</v>
      </c>
      <c r="G342" s="22">
        <v>45594</v>
      </c>
      <c r="H342" s="19" cm="1">
        <f t="array" ref="H342">_xlfn.XLOOKUP(MONTH(G342) &amp; YEAR(G342),MONTH($B$6:$B$38) &amp; YEAR($B$6:$B$38),$C$6:$C$38)</f>
        <v>1.71</v>
      </c>
    </row>
    <row r="343" spans="6:8" x14ac:dyDescent="0.3">
      <c r="F343" s="19">
        <v>338</v>
      </c>
      <c r="G343" s="22">
        <v>45593</v>
      </c>
      <c r="H343" s="19" cm="1">
        <f t="array" ref="H343">_xlfn.XLOOKUP(MONTH(G343) &amp; YEAR(G343),MONTH($B$6:$B$38) &amp; YEAR($B$6:$B$38),$C$6:$C$38)</f>
        <v>1.71</v>
      </c>
    </row>
    <row r="344" spans="6:8" x14ac:dyDescent="0.3">
      <c r="F344" s="19">
        <v>339</v>
      </c>
      <c r="G344" s="22">
        <v>45592</v>
      </c>
      <c r="H344" s="19" cm="1">
        <f t="array" ref="H344">_xlfn.XLOOKUP(MONTH(G344) &amp; YEAR(G344),MONTH($B$6:$B$38) &amp; YEAR($B$6:$B$38),$C$6:$C$38)</f>
        <v>1.71</v>
      </c>
    </row>
    <row r="345" spans="6:8" x14ac:dyDescent="0.3">
      <c r="F345" s="19">
        <v>340</v>
      </c>
      <c r="G345" s="22">
        <v>45591</v>
      </c>
      <c r="H345" s="19" cm="1">
        <f t="array" ref="H345">_xlfn.XLOOKUP(MONTH(G345) &amp; YEAR(G345),MONTH($B$6:$B$38) &amp; YEAR($B$6:$B$38),$C$6:$C$38)</f>
        <v>1.71</v>
      </c>
    </row>
    <row r="346" spans="6:8" x14ac:dyDescent="0.3">
      <c r="F346" s="19">
        <v>341</v>
      </c>
      <c r="G346" s="22">
        <v>45590</v>
      </c>
      <c r="H346" s="19" cm="1">
        <f t="array" ref="H346">_xlfn.XLOOKUP(MONTH(G346) &amp; YEAR(G346),MONTH($B$6:$B$38) &amp; YEAR($B$6:$B$38),$C$6:$C$38)</f>
        <v>1.71</v>
      </c>
    </row>
    <row r="347" spans="6:8" x14ac:dyDescent="0.3">
      <c r="F347" s="19">
        <v>342</v>
      </c>
      <c r="G347" s="22">
        <v>45589</v>
      </c>
      <c r="H347" s="19" cm="1">
        <f t="array" ref="H347">_xlfn.XLOOKUP(MONTH(G347) &amp; YEAR(G347),MONTH($B$6:$B$38) &amp; YEAR($B$6:$B$38),$C$6:$C$38)</f>
        <v>1.71</v>
      </c>
    </row>
    <row r="348" spans="6:8" x14ac:dyDescent="0.3">
      <c r="F348" s="19">
        <v>343</v>
      </c>
      <c r="G348" s="22">
        <v>45588</v>
      </c>
      <c r="H348" s="19" cm="1">
        <f t="array" ref="H348">_xlfn.XLOOKUP(MONTH(G348) &amp; YEAR(G348),MONTH($B$6:$B$38) &amp; YEAR($B$6:$B$38),$C$6:$C$38)</f>
        <v>1.71</v>
      </c>
    </row>
    <row r="349" spans="6:8" x14ac:dyDescent="0.3">
      <c r="F349" s="19">
        <v>344</v>
      </c>
      <c r="G349" s="22">
        <v>45587</v>
      </c>
      <c r="H349" s="19" cm="1">
        <f t="array" ref="H349">_xlfn.XLOOKUP(MONTH(G349) &amp; YEAR(G349),MONTH($B$6:$B$38) &amp; YEAR($B$6:$B$38),$C$6:$C$38)</f>
        <v>1.71</v>
      </c>
    </row>
    <row r="350" spans="6:8" x14ac:dyDescent="0.3">
      <c r="F350" s="19">
        <v>345</v>
      </c>
      <c r="G350" s="22">
        <v>45586</v>
      </c>
      <c r="H350" s="19" cm="1">
        <f t="array" ref="H350">_xlfn.XLOOKUP(MONTH(G350) &amp; YEAR(G350),MONTH($B$6:$B$38) &amp; YEAR($B$6:$B$38),$C$6:$C$38)</f>
        <v>1.71</v>
      </c>
    </row>
    <row r="351" spans="6:8" x14ac:dyDescent="0.3">
      <c r="F351" s="19">
        <v>346</v>
      </c>
      <c r="G351" s="22">
        <v>45585</v>
      </c>
      <c r="H351" s="19" cm="1">
        <f t="array" ref="H351">_xlfn.XLOOKUP(MONTH(G351) &amp; YEAR(G351),MONTH($B$6:$B$38) &amp; YEAR($B$6:$B$38),$C$6:$C$38)</f>
        <v>1.71</v>
      </c>
    </row>
    <row r="352" spans="6:8" x14ac:dyDescent="0.3">
      <c r="F352" s="19">
        <v>347</v>
      </c>
      <c r="G352" s="22">
        <v>45584</v>
      </c>
      <c r="H352" s="19" cm="1">
        <f t="array" ref="H352">_xlfn.XLOOKUP(MONTH(G352) &amp; YEAR(G352),MONTH($B$6:$B$38) &amp; YEAR($B$6:$B$38),$C$6:$C$38)</f>
        <v>1.71</v>
      </c>
    </row>
    <row r="353" spans="6:8" x14ac:dyDescent="0.3">
      <c r="F353" s="19">
        <v>348</v>
      </c>
      <c r="G353" s="22">
        <v>45583</v>
      </c>
      <c r="H353" s="19" cm="1">
        <f t="array" ref="H353">_xlfn.XLOOKUP(MONTH(G353) &amp; YEAR(G353),MONTH($B$6:$B$38) &amp; YEAR($B$6:$B$38),$C$6:$C$38)</f>
        <v>1.71</v>
      </c>
    </row>
    <row r="354" spans="6:8" x14ac:dyDescent="0.3">
      <c r="F354" s="19">
        <v>349</v>
      </c>
      <c r="G354" s="22">
        <v>45582</v>
      </c>
      <c r="H354" s="19" cm="1">
        <f t="array" ref="H354">_xlfn.XLOOKUP(MONTH(G354) &amp; YEAR(G354),MONTH($B$6:$B$38) &amp; YEAR($B$6:$B$38),$C$6:$C$38)</f>
        <v>1.71</v>
      </c>
    </row>
    <row r="355" spans="6:8" x14ac:dyDescent="0.3">
      <c r="F355" s="19">
        <v>350</v>
      </c>
      <c r="G355" s="22">
        <v>45581</v>
      </c>
      <c r="H355" s="19" cm="1">
        <f t="array" ref="H355">_xlfn.XLOOKUP(MONTH(G355) &amp; YEAR(G355),MONTH($B$6:$B$38) &amp; YEAR($B$6:$B$38),$C$6:$C$38)</f>
        <v>1.71</v>
      </c>
    </row>
    <row r="356" spans="6:8" x14ac:dyDescent="0.3">
      <c r="F356" s="19">
        <v>351</v>
      </c>
      <c r="G356" s="22">
        <v>45580</v>
      </c>
      <c r="H356" s="19" cm="1">
        <f t="array" ref="H356">_xlfn.XLOOKUP(MONTH(G356) &amp; YEAR(G356),MONTH($B$6:$B$38) &amp; YEAR($B$6:$B$38),$C$6:$C$38)</f>
        <v>1.71</v>
      </c>
    </row>
    <row r="357" spans="6:8" x14ac:dyDescent="0.3">
      <c r="F357" s="19">
        <v>352</v>
      </c>
      <c r="G357" s="22">
        <v>45579</v>
      </c>
      <c r="H357" s="19" cm="1">
        <f t="array" ref="H357">_xlfn.XLOOKUP(MONTH(G357) &amp; YEAR(G357),MONTH($B$6:$B$38) &amp; YEAR($B$6:$B$38),$C$6:$C$38)</f>
        <v>1.71</v>
      </c>
    </row>
    <row r="358" spans="6:8" x14ac:dyDescent="0.3">
      <c r="F358" s="19">
        <v>353</v>
      </c>
      <c r="G358" s="22">
        <v>45578</v>
      </c>
      <c r="H358" s="19" cm="1">
        <f t="array" ref="H358">_xlfn.XLOOKUP(MONTH(G358) &amp; YEAR(G358),MONTH($B$6:$B$38) &amp; YEAR($B$6:$B$38),$C$6:$C$38)</f>
        <v>1.71</v>
      </c>
    </row>
    <row r="359" spans="6:8" x14ac:dyDescent="0.3">
      <c r="F359" s="19">
        <v>354</v>
      </c>
      <c r="G359" s="22">
        <v>45577</v>
      </c>
      <c r="H359" s="19" cm="1">
        <f t="array" ref="H359">_xlfn.XLOOKUP(MONTH(G359) &amp; YEAR(G359),MONTH($B$6:$B$38) &amp; YEAR($B$6:$B$38),$C$6:$C$38)</f>
        <v>1.71</v>
      </c>
    </row>
    <row r="360" spans="6:8" x14ac:dyDescent="0.3">
      <c r="F360" s="19">
        <v>355</v>
      </c>
      <c r="G360" s="22">
        <v>45576</v>
      </c>
      <c r="H360" s="19" cm="1">
        <f t="array" ref="H360">_xlfn.XLOOKUP(MONTH(G360) &amp; YEAR(G360),MONTH($B$6:$B$38) &amp; YEAR($B$6:$B$38),$C$6:$C$38)</f>
        <v>1.71</v>
      </c>
    </row>
    <row r="361" spans="6:8" x14ac:dyDescent="0.3">
      <c r="F361" s="19">
        <v>356</v>
      </c>
      <c r="G361" s="22">
        <v>45575</v>
      </c>
      <c r="H361" s="19" cm="1">
        <f t="array" ref="H361">_xlfn.XLOOKUP(MONTH(G361) &amp; YEAR(G361),MONTH($B$6:$B$38) &amp; YEAR($B$6:$B$38),$C$6:$C$38)</f>
        <v>1.71</v>
      </c>
    </row>
    <row r="362" spans="6:8" x14ac:dyDescent="0.3">
      <c r="F362" s="19">
        <v>357</v>
      </c>
      <c r="G362" s="22">
        <v>45574</v>
      </c>
      <c r="H362" s="19" cm="1">
        <f t="array" ref="H362">_xlfn.XLOOKUP(MONTH(G362) &amp; YEAR(G362),MONTH($B$6:$B$38) &amp; YEAR($B$6:$B$38),$C$6:$C$38)</f>
        <v>1.71</v>
      </c>
    </row>
    <row r="363" spans="6:8" x14ac:dyDescent="0.3">
      <c r="F363" s="19">
        <v>358</v>
      </c>
      <c r="G363" s="22">
        <v>45573</v>
      </c>
      <c r="H363" s="19" cm="1">
        <f t="array" ref="H363">_xlfn.XLOOKUP(MONTH(G363) &amp; YEAR(G363),MONTH($B$6:$B$38) &amp; YEAR($B$6:$B$38),$C$6:$C$38)</f>
        <v>1.71</v>
      </c>
    </row>
    <row r="364" spans="6:8" x14ac:dyDescent="0.3">
      <c r="F364" s="19">
        <v>359</v>
      </c>
      <c r="G364" s="22">
        <v>45572</v>
      </c>
      <c r="H364" s="19" cm="1">
        <f t="array" ref="H364">_xlfn.XLOOKUP(MONTH(G364) &amp; YEAR(G364),MONTH($B$6:$B$38) &amp; YEAR($B$6:$B$38),$C$6:$C$38)</f>
        <v>1.71</v>
      </c>
    </row>
    <row r="365" spans="6:8" x14ac:dyDescent="0.3">
      <c r="F365" s="19">
        <v>360</v>
      </c>
      <c r="G365" s="22">
        <v>45571</v>
      </c>
      <c r="H365" s="19" cm="1">
        <f t="array" ref="H365">_xlfn.XLOOKUP(MONTH(G365) &amp; YEAR(G365),MONTH($B$6:$B$38) &amp; YEAR($B$6:$B$38),$C$6:$C$38)</f>
        <v>1.71</v>
      </c>
    </row>
    <row r="366" spans="6:8" x14ac:dyDescent="0.3">
      <c r="F366" s="19">
        <v>361</v>
      </c>
      <c r="G366" s="22">
        <v>45570</v>
      </c>
      <c r="H366" s="19" cm="1">
        <f t="array" ref="H366">_xlfn.XLOOKUP(MONTH(G366) &amp; YEAR(G366),MONTH($B$6:$B$38) &amp; YEAR($B$6:$B$38),$C$6:$C$38)</f>
        <v>1.71</v>
      </c>
    </row>
    <row r="367" spans="6:8" x14ac:dyDescent="0.3">
      <c r="F367" s="19">
        <v>362</v>
      </c>
      <c r="G367" s="22">
        <v>45569</v>
      </c>
      <c r="H367" s="19" cm="1">
        <f t="array" ref="H367">_xlfn.XLOOKUP(MONTH(G367) &amp; YEAR(G367),MONTH($B$6:$B$38) &amp; YEAR($B$6:$B$38),$C$6:$C$38)</f>
        <v>1.71</v>
      </c>
    </row>
    <row r="368" spans="6:8" x14ac:dyDescent="0.3">
      <c r="F368" s="19">
        <v>363</v>
      </c>
      <c r="G368" s="22">
        <v>45568</v>
      </c>
      <c r="H368" s="19" cm="1">
        <f t="array" ref="H368">_xlfn.XLOOKUP(MONTH(G368) &amp; YEAR(G368),MONTH($B$6:$B$38) &amp; YEAR($B$6:$B$38),$C$6:$C$38)</f>
        <v>1.71</v>
      </c>
    </row>
    <row r="369" spans="6:8" x14ac:dyDescent="0.3">
      <c r="F369" s="19">
        <v>364</v>
      </c>
      <c r="G369" s="22">
        <v>45567</v>
      </c>
      <c r="H369" s="19" cm="1">
        <f t="array" ref="H369">_xlfn.XLOOKUP(MONTH(G369) &amp; YEAR(G369),MONTH($B$6:$B$38) &amp; YEAR($B$6:$B$38),$C$6:$C$38)</f>
        <v>1.71</v>
      </c>
    </row>
    <row r="370" spans="6:8" x14ac:dyDescent="0.3">
      <c r="F370" s="19">
        <v>365</v>
      </c>
      <c r="G370" s="22">
        <v>45566</v>
      </c>
      <c r="H370" s="19" cm="1">
        <f t="array" ref="H370">_xlfn.XLOOKUP(MONTH(G370) &amp; YEAR(G370),MONTH($B$6:$B$38) &amp; YEAR($B$6:$B$38),$C$6:$C$38)</f>
        <v>1.71</v>
      </c>
    </row>
    <row r="371" spans="6:8" x14ac:dyDescent="0.3">
      <c r="F371" s="19">
        <v>366</v>
      </c>
      <c r="G371" s="22">
        <v>45565</v>
      </c>
      <c r="H371" s="19" cm="1">
        <f t="array" ref="H371">_xlfn.XLOOKUP(MONTH(G371) &amp; YEAR(G371),MONTH($B$6:$B$38) &amp; YEAR($B$6:$B$38),$C$6:$C$38)</f>
        <v>1.84</v>
      </c>
    </row>
    <row r="372" spans="6:8" x14ac:dyDescent="0.3">
      <c r="F372" s="19">
        <v>367</v>
      </c>
      <c r="G372" s="22">
        <v>45564</v>
      </c>
      <c r="H372" s="19" cm="1">
        <f t="array" ref="H372">_xlfn.XLOOKUP(MONTH(G372) &amp; YEAR(G372),MONTH($B$6:$B$38) &amp; YEAR($B$6:$B$38),$C$6:$C$38)</f>
        <v>1.84</v>
      </c>
    </row>
    <row r="373" spans="6:8" x14ac:dyDescent="0.3">
      <c r="F373" s="19">
        <v>368</v>
      </c>
      <c r="G373" s="22">
        <v>45563</v>
      </c>
      <c r="H373" s="19" cm="1">
        <f t="array" ref="H373">_xlfn.XLOOKUP(MONTH(G373) &amp; YEAR(G373),MONTH($B$6:$B$38) &amp; YEAR($B$6:$B$38),$C$6:$C$38)</f>
        <v>1.84</v>
      </c>
    </row>
    <row r="374" spans="6:8" x14ac:dyDescent="0.3">
      <c r="F374" s="19">
        <v>369</v>
      </c>
      <c r="G374" s="22">
        <v>45562</v>
      </c>
      <c r="H374" s="19" cm="1">
        <f t="array" ref="H374">_xlfn.XLOOKUP(MONTH(G374) &amp; YEAR(G374),MONTH($B$6:$B$38) &amp; YEAR($B$6:$B$38),$C$6:$C$38)</f>
        <v>1.84</v>
      </c>
    </row>
    <row r="375" spans="6:8" x14ac:dyDescent="0.3">
      <c r="F375" s="19">
        <v>370</v>
      </c>
      <c r="G375" s="22">
        <v>45561</v>
      </c>
      <c r="H375" s="19" cm="1">
        <f t="array" ref="H375">_xlfn.XLOOKUP(MONTH(G375) &amp; YEAR(G375),MONTH($B$6:$B$38) &amp; YEAR($B$6:$B$38),$C$6:$C$38)</f>
        <v>1.84</v>
      </c>
    </row>
    <row r="376" spans="6:8" x14ac:dyDescent="0.3">
      <c r="F376" s="19">
        <v>371</v>
      </c>
      <c r="G376" s="22">
        <v>45560</v>
      </c>
      <c r="H376" s="19" cm="1">
        <f t="array" ref="H376">_xlfn.XLOOKUP(MONTH(G376) &amp; YEAR(G376),MONTH($B$6:$B$38) &amp; YEAR($B$6:$B$38),$C$6:$C$38)</f>
        <v>1.84</v>
      </c>
    </row>
    <row r="377" spans="6:8" x14ac:dyDescent="0.3">
      <c r="F377" s="19">
        <v>372</v>
      </c>
      <c r="G377" s="22">
        <v>45559</v>
      </c>
      <c r="H377" s="19" cm="1">
        <f t="array" ref="H377">_xlfn.XLOOKUP(MONTH(G377) &amp; YEAR(G377),MONTH($B$6:$B$38) &amp; YEAR($B$6:$B$38),$C$6:$C$38)</f>
        <v>1.84</v>
      </c>
    </row>
    <row r="378" spans="6:8" x14ac:dyDescent="0.3">
      <c r="F378" s="19">
        <v>373</v>
      </c>
      <c r="G378" s="22">
        <v>45558</v>
      </c>
      <c r="H378" s="19" cm="1">
        <f t="array" ref="H378">_xlfn.XLOOKUP(MONTH(G378) &amp; YEAR(G378),MONTH($B$6:$B$38) &amp; YEAR($B$6:$B$38),$C$6:$C$38)</f>
        <v>1.84</v>
      </c>
    </row>
    <row r="379" spans="6:8" x14ac:dyDescent="0.3">
      <c r="F379" s="19">
        <v>374</v>
      </c>
      <c r="G379" s="22">
        <v>45557</v>
      </c>
      <c r="H379" s="19" cm="1">
        <f t="array" ref="H379">_xlfn.XLOOKUP(MONTH(G379) &amp; YEAR(G379),MONTH($B$6:$B$38) &amp; YEAR($B$6:$B$38),$C$6:$C$38)</f>
        <v>1.84</v>
      </c>
    </row>
    <row r="380" spans="6:8" x14ac:dyDescent="0.3">
      <c r="F380" s="19">
        <v>375</v>
      </c>
      <c r="G380" s="22">
        <v>45556</v>
      </c>
      <c r="H380" s="19" cm="1">
        <f t="array" ref="H380">_xlfn.XLOOKUP(MONTH(G380) &amp; YEAR(G380),MONTH($B$6:$B$38) &amp; YEAR($B$6:$B$38),$C$6:$C$38)</f>
        <v>1.84</v>
      </c>
    </row>
    <row r="381" spans="6:8" x14ac:dyDescent="0.3">
      <c r="F381" s="19">
        <v>376</v>
      </c>
      <c r="G381" s="22">
        <v>45555</v>
      </c>
      <c r="H381" s="19" cm="1">
        <f t="array" ref="H381">_xlfn.XLOOKUP(MONTH(G381) &amp; YEAR(G381),MONTH($B$6:$B$38) &amp; YEAR($B$6:$B$38),$C$6:$C$38)</f>
        <v>1.84</v>
      </c>
    </row>
    <row r="382" spans="6:8" x14ac:dyDescent="0.3">
      <c r="F382" s="19">
        <v>377</v>
      </c>
      <c r="G382" s="22">
        <v>45554</v>
      </c>
      <c r="H382" s="19" cm="1">
        <f t="array" ref="H382">_xlfn.XLOOKUP(MONTH(G382) &amp; YEAR(G382),MONTH($B$6:$B$38) &amp; YEAR($B$6:$B$38),$C$6:$C$38)</f>
        <v>1.84</v>
      </c>
    </row>
    <row r="383" spans="6:8" x14ac:dyDescent="0.3">
      <c r="F383" s="19">
        <v>378</v>
      </c>
      <c r="G383" s="22">
        <v>45553</v>
      </c>
      <c r="H383" s="19" cm="1">
        <f t="array" ref="H383">_xlfn.XLOOKUP(MONTH(G383) &amp; YEAR(G383),MONTH($B$6:$B$38) &amp; YEAR($B$6:$B$38),$C$6:$C$38)</f>
        <v>1.84</v>
      </c>
    </row>
    <row r="384" spans="6:8" x14ac:dyDescent="0.3">
      <c r="F384" s="19">
        <v>379</v>
      </c>
      <c r="G384" s="22">
        <v>45552</v>
      </c>
      <c r="H384" s="19" cm="1">
        <f t="array" ref="H384">_xlfn.XLOOKUP(MONTH(G384) &amp; YEAR(G384),MONTH($B$6:$B$38) &amp; YEAR($B$6:$B$38),$C$6:$C$38)</f>
        <v>1.84</v>
      </c>
    </row>
    <row r="385" spans="6:8" x14ac:dyDescent="0.3">
      <c r="F385" s="19">
        <v>380</v>
      </c>
      <c r="G385" s="22">
        <v>45551</v>
      </c>
      <c r="H385" s="19" cm="1">
        <f t="array" ref="H385">_xlfn.XLOOKUP(MONTH(G385) &amp; YEAR(G385),MONTH($B$6:$B$38) &amp; YEAR($B$6:$B$38),$C$6:$C$38)</f>
        <v>1.84</v>
      </c>
    </row>
    <row r="386" spans="6:8" x14ac:dyDescent="0.3">
      <c r="F386" s="19">
        <v>381</v>
      </c>
      <c r="G386" s="22">
        <v>45550</v>
      </c>
      <c r="H386" s="19" cm="1">
        <f t="array" ref="H386">_xlfn.XLOOKUP(MONTH(G386) &amp; YEAR(G386),MONTH($B$6:$B$38) &amp; YEAR($B$6:$B$38),$C$6:$C$38)</f>
        <v>1.84</v>
      </c>
    </row>
    <row r="387" spans="6:8" x14ac:dyDescent="0.3">
      <c r="F387" s="19">
        <v>382</v>
      </c>
      <c r="G387" s="22">
        <v>45549</v>
      </c>
      <c r="H387" s="19" cm="1">
        <f t="array" ref="H387">_xlfn.XLOOKUP(MONTH(G387) &amp; YEAR(G387),MONTH($B$6:$B$38) &amp; YEAR($B$6:$B$38),$C$6:$C$38)</f>
        <v>1.84</v>
      </c>
    </row>
    <row r="388" spans="6:8" x14ac:dyDescent="0.3">
      <c r="F388" s="19">
        <v>383</v>
      </c>
      <c r="G388" s="22">
        <v>45548</v>
      </c>
      <c r="H388" s="19" cm="1">
        <f t="array" ref="H388">_xlfn.XLOOKUP(MONTH(G388) &amp; YEAR(G388),MONTH($B$6:$B$38) &amp; YEAR($B$6:$B$38),$C$6:$C$38)</f>
        <v>1.84</v>
      </c>
    </row>
    <row r="389" spans="6:8" x14ac:dyDescent="0.3">
      <c r="F389" s="19">
        <v>384</v>
      </c>
      <c r="G389" s="22">
        <v>45547</v>
      </c>
      <c r="H389" s="19" cm="1">
        <f t="array" ref="H389">_xlfn.XLOOKUP(MONTH(G389) &amp; YEAR(G389),MONTH($B$6:$B$38) &amp; YEAR($B$6:$B$38),$C$6:$C$38)</f>
        <v>1.84</v>
      </c>
    </row>
    <row r="390" spans="6:8" x14ac:dyDescent="0.3">
      <c r="F390" s="19">
        <v>385</v>
      </c>
      <c r="G390" s="22">
        <v>45546</v>
      </c>
      <c r="H390" s="19" cm="1">
        <f t="array" ref="H390">_xlfn.XLOOKUP(MONTH(G390) &amp; YEAR(G390),MONTH($B$6:$B$38) &amp; YEAR($B$6:$B$38),$C$6:$C$38)</f>
        <v>1.84</v>
      </c>
    </row>
    <row r="391" spans="6:8" x14ac:dyDescent="0.3">
      <c r="F391" s="19">
        <v>386</v>
      </c>
      <c r="G391" s="22">
        <v>45545</v>
      </c>
      <c r="H391" s="19" cm="1">
        <f t="array" ref="H391">_xlfn.XLOOKUP(MONTH(G391) &amp; YEAR(G391),MONTH($B$6:$B$38) &amp; YEAR($B$6:$B$38),$C$6:$C$38)</f>
        <v>1.84</v>
      </c>
    </row>
    <row r="392" spans="6:8" x14ac:dyDescent="0.3">
      <c r="F392" s="19">
        <v>387</v>
      </c>
      <c r="G392" s="22">
        <v>45544</v>
      </c>
      <c r="H392" s="19" cm="1">
        <f t="array" ref="H392">_xlfn.XLOOKUP(MONTH(G392) &amp; YEAR(G392),MONTH($B$6:$B$38) &amp; YEAR($B$6:$B$38),$C$6:$C$38)</f>
        <v>1.84</v>
      </c>
    </row>
    <row r="393" spans="6:8" x14ac:dyDescent="0.3">
      <c r="F393" s="19">
        <v>388</v>
      </c>
      <c r="G393" s="22">
        <v>45543</v>
      </c>
      <c r="H393" s="19" cm="1">
        <f t="array" ref="H393">_xlfn.XLOOKUP(MONTH(G393) &amp; YEAR(G393),MONTH($B$6:$B$38) &amp; YEAR($B$6:$B$38),$C$6:$C$38)</f>
        <v>1.84</v>
      </c>
    </row>
    <row r="394" spans="6:8" x14ac:dyDescent="0.3">
      <c r="F394" s="19">
        <v>389</v>
      </c>
      <c r="G394" s="22">
        <v>45542</v>
      </c>
      <c r="H394" s="19" cm="1">
        <f t="array" ref="H394">_xlfn.XLOOKUP(MONTH(G394) &amp; YEAR(G394),MONTH($B$6:$B$38) &amp; YEAR($B$6:$B$38),$C$6:$C$38)</f>
        <v>1.84</v>
      </c>
    </row>
    <row r="395" spans="6:8" x14ac:dyDescent="0.3">
      <c r="F395" s="19">
        <v>390</v>
      </c>
      <c r="G395" s="22">
        <v>45541</v>
      </c>
      <c r="H395" s="19" cm="1">
        <f t="array" ref="H395">_xlfn.XLOOKUP(MONTH(G395) &amp; YEAR(G395),MONTH($B$6:$B$38) &amp; YEAR($B$6:$B$38),$C$6:$C$38)</f>
        <v>1.84</v>
      </c>
    </row>
    <row r="396" spans="6:8" x14ac:dyDescent="0.3">
      <c r="F396" s="19">
        <v>391</v>
      </c>
      <c r="G396" s="22">
        <v>45540</v>
      </c>
      <c r="H396" s="19" cm="1">
        <f t="array" ref="H396">_xlfn.XLOOKUP(MONTH(G396) &amp; YEAR(G396),MONTH($B$6:$B$38) &amp; YEAR($B$6:$B$38),$C$6:$C$38)</f>
        <v>1.84</v>
      </c>
    </row>
    <row r="397" spans="6:8" x14ac:dyDescent="0.3">
      <c r="F397" s="19">
        <v>392</v>
      </c>
      <c r="G397" s="22">
        <v>45539</v>
      </c>
      <c r="H397" s="19" cm="1">
        <f t="array" ref="H397">_xlfn.XLOOKUP(MONTH(G397) &amp; YEAR(G397),MONTH($B$6:$B$38) &amp; YEAR($B$6:$B$38),$C$6:$C$38)</f>
        <v>1.84</v>
      </c>
    </row>
    <row r="398" spans="6:8" x14ac:dyDescent="0.3">
      <c r="F398" s="19">
        <v>393</v>
      </c>
      <c r="G398" s="22">
        <v>45538</v>
      </c>
      <c r="H398" s="19" cm="1">
        <f t="array" ref="H398">_xlfn.XLOOKUP(MONTH(G398) &amp; YEAR(G398),MONTH($B$6:$B$38) &amp; YEAR($B$6:$B$38),$C$6:$C$38)</f>
        <v>1.84</v>
      </c>
    </row>
    <row r="399" spans="6:8" x14ac:dyDescent="0.3">
      <c r="F399" s="19">
        <v>394</v>
      </c>
      <c r="G399" s="22">
        <v>45537</v>
      </c>
      <c r="H399" s="19" cm="1">
        <f t="array" ref="H399">_xlfn.XLOOKUP(MONTH(G399) &amp; YEAR(G399),MONTH($B$6:$B$38) &amp; YEAR($B$6:$B$38),$C$6:$C$38)</f>
        <v>1.84</v>
      </c>
    </row>
    <row r="400" spans="6:8" x14ac:dyDescent="0.3">
      <c r="F400" s="19">
        <v>395</v>
      </c>
      <c r="G400" s="22">
        <v>45536</v>
      </c>
      <c r="H400" s="19" cm="1">
        <f t="array" ref="H400">_xlfn.XLOOKUP(MONTH(G400) &amp; YEAR(G400),MONTH($B$6:$B$38) &amp; YEAR($B$6:$B$38),$C$6:$C$38)</f>
        <v>1.84</v>
      </c>
    </row>
    <row r="401" spans="6:8" x14ac:dyDescent="0.3">
      <c r="F401" s="19">
        <v>396</v>
      </c>
      <c r="G401" s="22">
        <v>45535</v>
      </c>
      <c r="H401" s="19" cm="1">
        <f t="array" ref="H401">_xlfn.XLOOKUP(MONTH(G401) &amp; YEAR(G401),MONTH($B$6:$B$38) &amp; YEAR($B$6:$B$38),$C$6:$C$38)</f>
        <v>2.12</v>
      </c>
    </row>
    <row r="402" spans="6:8" x14ac:dyDescent="0.3">
      <c r="F402" s="19">
        <v>397</v>
      </c>
      <c r="G402" s="22">
        <v>45534</v>
      </c>
      <c r="H402" s="19" cm="1">
        <f t="array" ref="H402">_xlfn.XLOOKUP(MONTH(G402) &amp; YEAR(G402),MONTH($B$6:$B$38) &amp; YEAR($B$6:$B$38),$C$6:$C$38)</f>
        <v>2.12</v>
      </c>
    </row>
    <row r="403" spans="6:8" x14ac:dyDescent="0.3">
      <c r="F403" s="19">
        <v>398</v>
      </c>
      <c r="G403" s="22">
        <v>45533</v>
      </c>
      <c r="H403" s="19" cm="1">
        <f t="array" ref="H403">_xlfn.XLOOKUP(MONTH(G403) &amp; YEAR(G403),MONTH($B$6:$B$38) &amp; YEAR($B$6:$B$38),$C$6:$C$38)</f>
        <v>2.12</v>
      </c>
    </row>
    <row r="404" spans="6:8" x14ac:dyDescent="0.3">
      <c r="F404" s="19">
        <v>399</v>
      </c>
      <c r="G404" s="22">
        <v>45532</v>
      </c>
      <c r="H404" s="19" cm="1">
        <f t="array" ref="H404">_xlfn.XLOOKUP(MONTH(G404) &amp; YEAR(G404),MONTH($B$6:$B$38) &amp; YEAR($B$6:$B$38),$C$6:$C$38)</f>
        <v>2.12</v>
      </c>
    </row>
    <row r="405" spans="6:8" x14ac:dyDescent="0.3">
      <c r="F405" s="19">
        <v>400</v>
      </c>
      <c r="G405" s="22">
        <v>45531</v>
      </c>
      <c r="H405" s="19" cm="1">
        <f t="array" ref="H405">_xlfn.XLOOKUP(MONTH(G405) &amp; YEAR(G405),MONTH($B$6:$B$38) &amp; YEAR($B$6:$B$38),$C$6:$C$38)</f>
        <v>2.12</v>
      </c>
    </row>
    <row r="406" spans="6:8" x14ac:dyDescent="0.3">
      <c r="F406" s="19">
        <v>401</v>
      </c>
      <c r="G406" s="22">
        <v>45530</v>
      </c>
      <c r="H406" s="19" cm="1">
        <f t="array" ref="H406">_xlfn.XLOOKUP(MONTH(G406) &amp; YEAR(G406),MONTH($B$6:$B$38) &amp; YEAR($B$6:$B$38),$C$6:$C$38)</f>
        <v>2.12</v>
      </c>
    </row>
    <row r="407" spans="6:8" x14ac:dyDescent="0.3">
      <c r="F407" s="19">
        <v>402</v>
      </c>
      <c r="G407" s="22">
        <v>45529</v>
      </c>
      <c r="H407" s="19" cm="1">
        <f t="array" ref="H407">_xlfn.XLOOKUP(MONTH(G407) &amp; YEAR(G407),MONTH($B$6:$B$38) &amp; YEAR($B$6:$B$38),$C$6:$C$38)</f>
        <v>2.12</v>
      </c>
    </row>
    <row r="408" spans="6:8" x14ac:dyDescent="0.3">
      <c r="F408" s="19">
        <v>403</v>
      </c>
      <c r="G408" s="22">
        <v>45528</v>
      </c>
      <c r="H408" s="19" cm="1">
        <f t="array" ref="H408">_xlfn.XLOOKUP(MONTH(G408) &amp; YEAR(G408),MONTH($B$6:$B$38) &amp; YEAR($B$6:$B$38),$C$6:$C$38)</f>
        <v>2.12</v>
      </c>
    </row>
    <row r="409" spans="6:8" x14ac:dyDescent="0.3">
      <c r="F409" s="19">
        <v>404</v>
      </c>
      <c r="G409" s="22">
        <v>45527</v>
      </c>
      <c r="H409" s="19" cm="1">
        <f t="array" ref="H409">_xlfn.XLOOKUP(MONTH(G409) &amp; YEAR(G409),MONTH($B$6:$B$38) &amp; YEAR($B$6:$B$38),$C$6:$C$38)</f>
        <v>2.12</v>
      </c>
    </row>
    <row r="410" spans="6:8" x14ac:dyDescent="0.3">
      <c r="F410" s="19">
        <v>405</v>
      </c>
      <c r="G410" s="22">
        <v>45526</v>
      </c>
      <c r="H410" s="19" cm="1">
        <f t="array" ref="H410">_xlfn.XLOOKUP(MONTH(G410) &amp; YEAR(G410),MONTH($B$6:$B$38) &amp; YEAR($B$6:$B$38),$C$6:$C$38)</f>
        <v>2.12</v>
      </c>
    </row>
    <row r="411" spans="6:8" x14ac:dyDescent="0.3">
      <c r="F411" s="19">
        <v>406</v>
      </c>
      <c r="G411" s="22">
        <v>45525</v>
      </c>
      <c r="H411" s="19" cm="1">
        <f t="array" ref="H411">_xlfn.XLOOKUP(MONTH(G411) &amp; YEAR(G411),MONTH($B$6:$B$38) &amp; YEAR($B$6:$B$38),$C$6:$C$38)</f>
        <v>2.12</v>
      </c>
    </row>
    <row r="412" spans="6:8" x14ac:dyDescent="0.3">
      <c r="F412" s="19">
        <v>407</v>
      </c>
      <c r="G412" s="22">
        <v>45524</v>
      </c>
      <c r="H412" s="19" cm="1">
        <f t="array" ref="H412">_xlfn.XLOOKUP(MONTH(G412) &amp; YEAR(G412),MONTH($B$6:$B$38) &amp; YEAR($B$6:$B$38),$C$6:$C$38)</f>
        <v>2.12</v>
      </c>
    </row>
    <row r="413" spans="6:8" x14ac:dyDescent="0.3">
      <c r="F413" s="19">
        <v>408</v>
      </c>
      <c r="G413" s="22">
        <v>45523</v>
      </c>
      <c r="H413" s="19" cm="1">
        <f t="array" ref="H413">_xlfn.XLOOKUP(MONTH(G413) &amp; YEAR(G413),MONTH($B$6:$B$38) &amp; YEAR($B$6:$B$38),$C$6:$C$38)</f>
        <v>2.12</v>
      </c>
    </row>
    <row r="414" spans="6:8" x14ac:dyDescent="0.3">
      <c r="F414" s="19">
        <v>409</v>
      </c>
      <c r="G414" s="22">
        <v>45522</v>
      </c>
      <c r="H414" s="19" cm="1">
        <f t="array" ref="H414">_xlfn.XLOOKUP(MONTH(G414) &amp; YEAR(G414),MONTH($B$6:$B$38) &amp; YEAR($B$6:$B$38),$C$6:$C$38)</f>
        <v>2.12</v>
      </c>
    </row>
    <row r="415" spans="6:8" x14ac:dyDescent="0.3">
      <c r="F415" s="19">
        <v>410</v>
      </c>
      <c r="G415" s="22">
        <v>45521</v>
      </c>
      <c r="H415" s="19" cm="1">
        <f t="array" ref="H415">_xlfn.XLOOKUP(MONTH(G415) &amp; YEAR(G415),MONTH($B$6:$B$38) &amp; YEAR($B$6:$B$38),$C$6:$C$38)</f>
        <v>2.12</v>
      </c>
    </row>
    <row r="416" spans="6:8" x14ac:dyDescent="0.3">
      <c r="F416" s="19">
        <v>411</v>
      </c>
      <c r="G416" s="22">
        <v>45520</v>
      </c>
      <c r="H416" s="19" cm="1">
        <f t="array" ref="H416">_xlfn.XLOOKUP(MONTH(G416) &amp; YEAR(G416),MONTH($B$6:$B$38) &amp; YEAR($B$6:$B$38),$C$6:$C$38)</f>
        <v>2.12</v>
      </c>
    </row>
    <row r="417" spans="6:8" x14ac:dyDescent="0.3">
      <c r="F417" s="19">
        <v>412</v>
      </c>
      <c r="G417" s="22">
        <v>45519</v>
      </c>
      <c r="H417" s="19" cm="1">
        <f t="array" ref="H417">_xlfn.XLOOKUP(MONTH(G417) &amp; YEAR(G417),MONTH($B$6:$B$38) &amp; YEAR($B$6:$B$38),$C$6:$C$38)</f>
        <v>2.12</v>
      </c>
    </row>
    <row r="418" spans="6:8" x14ac:dyDescent="0.3">
      <c r="F418" s="19">
        <v>413</v>
      </c>
      <c r="G418" s="22">
        <v>45518</v>
      </c>
      <c r="H418" s="19" cm="1">
        <f t="array" ref="H418">_xlfn.XLOOKUP(MONTH(G418) &amp; YEAR(G418),MONTH($B$6:$B$38) &amp; YEAR($B$6:$B$38),$C$6:$C$38)</f>
        <v>2.12</v>
      </c>
    </row>
    <row r="419" spans="6:8" x14ac:dyDescent="0.3">
      <c r="F419" s="19">
        <v>414</v>
      </c>
      <c r="G419" s="22">
        <v>45517</v>
      </c>
      <c r="H419" s="19" cm="1">
        <f t="array" ref="H419">_xlfn.XLOOKUP(MONTH(G419) &amp; YEAR(G419),MONTH($B$6:$B$38) &amp; YEAR($B$6:$B$38),$C$6:$C$38)</f>
        <v>2.12</v>
      </c>
    </row>
    <row r="420" spans="6:8" x14ac:dyDescent="0.3">
      <c r="F420" s="19">
        <v>415</v>
      </c>
      <c r="G420" s="22">
        <v>45516</v>
      </c>
      <c r="H420" s="19" cm="1">
        <f t="array" ref="H420">_xlfn.XLOOKUP(MONTH(G420) &amp; YEAR(G420),MONTH($B$6:$B$38) &amp; YEAR($B$6:$B$38),$C$6:$C$38)</f>
        <v>2.12</v>
      </c>
    </row>
    <row r="421" spans="6:8" x14ac:dyDescent="0.3">
      <c r="F421" s="19">
        <v>416</v>
      </c>
      <c r="G421" s="22">
        <v>45515</v>
      </c>
      <c r="H421" s="19" cm="1">
        <f t="array" ref="H421">_xlfn.XLOOKUP(MONTH(G421) &amp; YEAR(G421),MONTH($B$6:$B$38) &amp; YEAR($B$6:$B$38),$C$6:$C$38)</f>
        <v>2.12</v>
      </c>
    </row>
    <row r="422" spans="6:8" x14ac:dyDescent="0.3">
      <c r="F422" s="19">
        <v>417</v>
      </c>
      <c r="G422" s="22">
        <v>45514</v>
      </c>
      <c r="H422" s="19" cm="1">
        <f t="array" ref="H422">_xlfn.XLOOKUP(MONTH(G422) &amp; YEAR(G422),MONTH($B$6:$B$38) &amp; YEAR($B$6:$B$38),$C$6:$C$38)</f>
        <v>2.12</v>
      </c>
    </row>
    <row r="423" spans="6:8" x14ac:dyDescent="0.3">
      <c r="F423" s="19">
        <v>418</v>
      </c>
      <c r="G423" s="22">
        <v>45513</v>
      </c>
      <c r="H423" s="19" cm="1">
        <f t="array" ref="H423">_xlfn.XLOOKUP(MONTH(G423) &amp; YEAR(G423),MONTH($B$6:$B$38) &amp; YEAR($B$6:$B$38),$C$6:$C$38)</f>
        <v>2.12</v>
      </c>
    </row>
    <row r="424" spans="6:8" x14ac:dyDescent="0.3">
      <c r="F424" s="19">
        <v>419</v>
      </c>
      <c r="G424" s="22">
        <v>45512</v>
      </c>
      <c r="H424" s="19" cm="1">
        <f t="array" ref="H424">_xlfn.XLOOKUP(MONTH(G424) &amp; YEAR(G424),MONTH($B$6:$B$38) &amp; YEAR($B$6:$B$38),$C$6:$C$38)</f>
        <v>2.12</v>
      </c>
    </row>
    <row r="425" spans="6:8" x14ac:dyDescent="0.3">
      <c r="F425" s="19">
        <v>420</v>
      </c>
      <c r="G425" s="22">
        <v>45511</v>
      </c>
      <c r="H425" s="19" cm="1">
        <f t="array" ref="H425">_xlfn.XLOOKUP(MONTH(G425) &amp; YEAR(G425),MONTH($B$6:$B$38) &amp; YEAR($B$6:$B$38),$C$6:$C$38)</f>
        <v>2.12</v>
      </c>
    </row>
    <row r="426" spans="6:8" x14ac:dyDescent="0.3">
      <c r="F426" s="19">
        <v>421</v>
      </c>
      <c r="G426" s="22">
        <v>45510</v>
      </c>
      <c r="H426" s="19" cm="1">
        <f t="array" ref="H426">_xlfn.XLOOKUP(MONTH(G426) &amp; YEAR(G426),MONTH($B$6:$B$38) &amp; YEAR($B$6:$B$38),$C$6:$C$38)</f>
        <v>2.12</v>
      </c>
    </row>
    <row r="427" spans="6:8" x14ac:dyDescent="0.3">
      <c r="F427" s="19">
        <v>422</v>
      </c>
      <c r="G427" s="22">
        <v>45509</v>
      </c>
      <c r="H427" s="19" cm="1">
        <f t="array" ref="H427">_xlfn.XLOOKUP(MONTH(G427) &amp; YEAR(G427),MONTH($B$6:$B$38) &amp; YEAR($B$6:$B$38),$C$6:$C$38)</f>
        <v>2.12</v>
      </c>
    </row>
    <row r="428" spans="6:8" x14ac:dyDescent="0.3">
      <c r="F428" s="19">
        <v>423</v>
      </c>
      <c r="G428" s="22">
        <v>45508</v>
      </c>
      <c r="H428" s="19" cm="1">
        <f t="array" ref="H428">_xlfn.XLOOKUP(MONTH(G428) &amp; YEAR(G428),MONTH($B$6:$B$38) &amp; YEAR($B$6:$B$38),$C$6:$C$38)</f>
        <v>2.12</v>
      </c>
    </row>
    <row r="429" spans="6:8" x14ac:dyDescent="0.3">
      <c r="F429" s="19">
        <v>424</v>
      </c>
      <c r="G429" s="22">
        <v>45507</v>
      </c>
      <c r="H429" s="19" cm="1">
        <f t="array" ref="H429">_xlfn.XLOOKUP(MONTH(G429) &amp; YEAR(G429),MONTH($B$6:$B$38) &amp; YEAR($B$6:$B$38),$C$6:$C$38)</f>
        <v>2.12</v>
      </c>
    </row>
    <row r="430" spans="6:8" x14ac:dyDescent="0.3">
      <c r="F430" s="19">
        <v>425</v>
      </c>
      <c r="G430" s="22">
        <v>45506</v>
      </c>
      <c r="H430" s="19" cm="1">
        <f t="array" ref="H430">_xlfn.XLOOKUP(MONTH(G430) &amp; YEAR(G430),MONTH($B$6:$B$38) &amp; YEAR($B$6:$B$38),$C$6:$C$38)</f>
        <v>2.12</v>
      </c>
    </row>
    <row r="431" spans="6:8" x14ac:dyDescent="0.3">
      <c r="F431" s="19">
        <v>426</v>
      </c>
      <c r="G431" s="22">
        <v>45505</v>
      </c>
      <c r="H431" s="19" cm="1">
        <f t="array" ref="H431">_xlfn.XLOOKUP(MONTH(G431) &amp; YEAR(G431),MONTH($B$6:$B$38) &amp; YEAR($B$6:$B$38),$C$6:$C$38)</f>
        <v>2.12</v>
      </c>
    </row>
    <row r="432" spans="6:8" x14ac:dyDescent="0.3">
      <c r="F432" s="19">
        <v>427</v>
      </c>
      <c r="G432" s="22">
        <v>45504</v>
      </c>
      <c r="H432" s="19" cm="1">
        <f t="array" ref="H432">_xlfn.XLOOKUP(MONTH(G432) &amp; YEAR(G432),MONTH($B$6:$B$38) &amp; YEAR($B$6:$B$38),$C$6:$C$38)</f>
        <v>2.13</v>
      </c>
    </row>
    <row r="433" spans="6:8" x14ac:dyDescent="0.3">
      <c r="F433" s="19">
        <v>428</v>
      </c>
      <c r="G433" s="22">
        <v>45503</v>
      </c>
      <c r="H433" s="19" cm="1">
        <f t="array" ref="H433">_xlfn.XLOOKUP(MONTH(G433) &amp; YEAR(G433),MONTH($B$6:$B$38) &amp; YEAR($B$6:$B$38),$C$6:$C$38)</f>
        <v>2.13</v>
      </c>
    </row>
    <row r="434" spans="6:8" x14ac:dyDescent="0.3">
      <c r="F434" s="19">
        <v>429</v>
      </c>
      <c r="G434" s="22">
        <v>45502</v>
      </c>
      <c r="H434" s="19" cm="1">
        <f t="array" ref="H434">_xlfn.XLOOKUP(MONTH(G434) &amp; YEAR(G434),MONTH($B$6:$B$38) &amp; YEAR($B$6:$B$38),$C$6:$C$38)</f>
        <v>2.13</v>
      </c>
    </row>
    <row r="435" spans="6:8" x14ac:dyDescent="0.3">
      <c r="F435" s="19">
        <v>430</v>
      </c>
      <c r="G435" s="22">
        <v>45501</v>
      </c>
      <c r="H435" s="19" cm="1">
        <f t="array" ref="H435">_xlfn.XLOOKUP(MONTH(G435) &amp; YEAR(G435),MONTH($B$6:$B$38) &amp; YEAR($B$6:$B$38),$C$6:$C$38)</f>
        <v>2.13</v>
      </c>
    </row>
    <row r="436" spans="6:8" x14ac:dyDescent="0.3">
      <c r="F436" s="19">
        <v>431</v>
      </c>
      <c r="G436" s="22">
        <v>45500</v>
      </c>
      <c r="H436" s="19" cm="1">
        <f t="array" ref="H436">_xlfn.XLOOKUP(MONTH(G436) &amp; YEAR(G436),MONTH($B$6:$B$38) &amp; YEAR($B$6:$B$38),$C$6:$C$38)</f>
        <v>2.13</v>
      </c>
    </row>
    <row r="437" spans="6:8" x14ac:dyDescent="0.3">
      <c r="F437" s="19">
        <v>432</v>
      </c>
      <c r="G437" s="22">
        <v>45499</v>
      </c>
      <c r="H437" s="19" cm="1">
        <f t="array" ref="H437">_xlfn.XLOOKUP(MONTH(G437) &amp; YEAR(G437),MONTH($B$6:$B$38) &amp; YEAR($B$6:$B$38),$C$6:$C$38)</f>
        <v>2.13</v>
      </c>
    </row>
    <row r="438" spans="6:8" x14ac:dyDescent="0.3">
      <c r="F438" s="19">
        <v>433</v>
      </c>
      <c r="G438" s="22">
        <v>45498</v>
      </c>
      <c r="H438" s="19" cm="1">
        <f t="array" ref="H438">_xlfn.XLOOKUP(MONTH(G438) &amp; YEAR(G438),MONTH($B$6:$B$38) &amp; YEAR($B$6:$B$38),$C$6:$C$38)</f>
        <v>2.13</v>
      </c>
    </row>
    <row r="439" spans="6:8" x14ac:dyDescent="0.3">
      <c r="F439" s="19">
        <v>434</v>
      </c>
      <c r="G439" s="22">
        <v>45497</v>
      </c>
      <c r="H439" s="19" cm="1">
        <f t="array" ref="H439">_xlfn.XLOOKUP(MONTH(G439) &amp; YEAR(G439),MONTH($B$6:$B$38) &amp; YEAR($B$6:$B$38),$C$6:$C$38)</f>
        <v>2.13</v>
      </c>
    </row>
    <row r="440" spans="6:8" x14ac:dyDescent="0.3">
      <c r="F440" s="19">
        <v>435</v>
      </c>
      <c r="G440" s="22">
        <v>45496</v>
      </c>
      <c r="H440" s="19" cm="1">
        <f t="array" ref="H440">_xlfn.XLOOKUP(MONTH(G440) &amp; YEAR(G440),MONTH($B$6:$B$38) &amp; YEAR($B$6:$B$38),$C$6:$C$38)</f>
        <v>2.13</v>
      </c>
    </row>
    <row r="441" spans="6:8" x14ac:dyDescent="0.3">
      <c r="F441" s="19">
        <v>436</v>
      </c>
      <c r="G441" s="22">
        <v>45495</v>
      </c>
      <c r="H441" s="19" cm="1">
        <f t="array" ref="H441">_xlfn.XLOOKUP(MONTH(G441) &amp; YEAR(G441),MONTH($B$6:$B$38) &amp; YEAR($B$6:$B$38),$C$6:$C$38)</f>
        <v>2.13</v>
      </c>
    </row>
    <row r="442" spans="6:8" x14ac:dyDescent="0.3">
      <c r="F442" s="19">
        <v>437</v>
      </c>
      <c r="G442" s="22">
        <v>45494</v>
      </c>
      <c r="H442" s="19" cm="1">
        <f t="array" ref="H442">_xlfn.XLOOKUP(MONTH(G442) &amp; YEAR(G442),MONTH($B$6:$B$38) &amp; YEAR($B$6:$B$38),$C$6:$C$38)</f>
        <v>2.13</v>
      </c>
    </row>
    <row r="443" spans="6:8" x14ac:dyDescent="0.3">
      <c r="F443" s="19">
        <v>438</v>
      </c>
      <c r="G443" s="22">
        <v>45493</v>
      </c>
      <c r="H443" s="19" cm="1">
        <f t="array" ref="H443">_xlfn.XLOOKUP(MONTH(G443) &amp; YEAR(G443),MONTH($B$6:$B$38) &amp; YEAR($B$6:$B$38),$C$6:$C$38)</f>
        <v>2.13</v>
      </c>
    </row>
    <row r="444" spans="6:8" x14ac:dyDescent="0.3">
      <c r="F444" s="19">
        <v>439</v>
      </c>
      <c r="G444" s="22">
        <v>45492</v>
      </c>
      <c r="H444" s="19" cm="1">
        <f t="array" ref="H444">_xlfn.XLOOKUP(MONTH(G444) &amp; YEAR(G444),MONTH($B$6:$B$38) &amp; YEAR($B$6:$B$38),$C$6:$C$38)</f>
        <v>2.13</v>
      </c>
    </row>
    <row r="445" spans="6:8" x14ac:dyDescent="0.3">
      <c r="F445" s="19">
        <v>440</v>
      </c>
      <c r="G445" s="22">
        <v>45491</v>
      </c>
      <c r="H445" s="19" cm="1">
        <f t="array" ref="H445">_xlfn.XLOOKUP(MONTH(G445) &amp; YEAR(G445),MONTH($B$6:$B$38) &amp; YEAR($B$6:$B$38),$C$6:$C$38)</f>
        <v>2.13</v>
      </c>
    </row>
    <row r="446" spans="6:8" x14ac:dyDescent="0.3">
      <c r="F446" s="19">
        <v>441</v>
      </c>
      <c r="G446" s="22">
        <v>45490</v>
      </c>
      <c r="H446" s="19" cm="1">
        <f t="array" ref="H446">_xlfn.XLOOKUP(MONTH(G446) &amp; YEAR(G446),MONTH($B$6:$B$38) &amp; YEAR($B$6:$B$38),$C$6:$C$38)</f>
        <v>2.13</v>
      </c>
    </row>
    <row r="447" spans="6:8" x14ac:dyDescent="0.3">
      <c r="F447" s="19">
        <v>442</v>
      </c>
      <c r="G447" s="22">
        <v>45489</v>
      </c>
      <c r="H447" s="19" cm="1">
        <f t="array" ref="H447">_xlfn.XLOOKUP(MONTH(G447) &amp; YEAR(G447),MONTH($B$6:$B$38) &amp; YEAR($B$6:$B$38),$C$6:$C$38)</f>
        <v>2.13</v>
      </c>
    </row>
    <row r="448" spans="6:8" x14ac:dyDescent="0.3">
      <c r="F448" s="19">
        <v>443</v>
      </c>
      <c r="G448" s="22">
        <v>45488</v>
      </c>
      <c r="H448" s="19" cm="1">
        <f t="array" ref="H448">_xlfn.XLOOKUP(MONTH(G448) &amp; YEAR(G448),MONTH($B$6:$B$38) &amp; YEAR($B$6:$B$38),$C$6:$C$38)</f>
        <v>2.13</v>
      </c>
    </row>
    <row r="449" spans="6:8" x14ac:dyDescent="0.3">
      <c r="F449" s="19">
        <v>444</v>
      </c>
      <c r="G449" s="22">
        <v>45487</v>
      </c>
      <c r="H449" s="19" cm="1">
        <f t="array" ref="H449">_xlfn.XLOOKUP(MONTH(G449) &amp; YEAR(G449),MONTH($B$6:$B$38) &amp; YEAR($B$6:$B$38),$C$6:$C$38)</f>
        <v>2.13</v>
      </c>
    </row>
    <row r="450" spans="6:8" x14ac:dyDescent="0.3">
      <c r="F450" s="19">
        <v>445</v>
      </c>
      <c r="G450" s="22">
        <v>45486</v>
      </c>
      <c r="H450" s="19" cm="1">
        <f t="array" ref="H450">_xlfn.XLOOKUP(MONTH(G450) &amp; YEAR(G450),MONTH($B$6:$B$38) &amp; YEAR($B$6:$B$38),$C$6:$C$38)</f>
        <v>2.13</v>
      </c>
    </row>
    <row r="451" spans="6:8" x14ac:dyDescent="0.3">
      <c r="F451" s="19">
        <v>446</v>
      </c>
      <c r="G451" s="22">
        <v>45485</v>
      </c>
      <c r="H451" s="19" cm="1">
        <f t="array" ref="H451">_xlfn.XLOOKUP(MONTH(G451) &amp; YEAR(G451),MONTH($B$6:$B$38) &amp; YEAR($B$6:$B$38),$C$6:$C$38)</f>
        <v>2.13</v>
      </c>
    </row>
    <row r="452" spans="6:8" x14ac:dyDescent="0.3">
      <c r="F452" s="19">
        <v>447</v>
      </c>
      <c r="G452" s="22">
        <v>45484</v>
      </c>
      <c r="H452" s="19" cm="1">
        <f t="array" ref="H452">_xlfn.XLOOKUP(MONTH(G452) &amp; YEAR(G452),MONTH($B$6:$B$38) &amp; YEAR($B$6:$B$38),$C$6:$C$38)</f>
        <v>2.13</v>
      </c>
    </row>
    <row r="453" spans="6:8" x14ac:dyDescent="0.3">
      <c r="F453" s="19">
        <v>448</v>
      </c>
      <c r="G453" s="22">
        <v>45483</v>
      </c>
      <c r="H453" s="19" cm="1">
        <f t="array" ref="H453">_xlfn.XLOOKUP(MONTH(G453) &amp; YEAR(G453),MONTH($B$6:$B$38) &amp; YEAR($B$6:$B$38),$C$6:$C$38)</f>
        <v>2.13</v>
      </c>
    </row>
    <row r="454" spans="6:8" x14ac:dyDescent="0.3">
      <c r="F454" s="19">
        <v>449</v>
      </c>
      <c r="G454" s="22">
        <v>45482</v>
      </c>
      <c r="H454" s="19" cm="1">
        <f t="array" ref="H454">_xlfn.XLOOKUP(MONTH(G454) &amp; YEAR(G454),MONTH($B$6:$B$38) &amp; YEAR($B$6:$B$38),$C$6:$C$38)</f>
        <v>2.13</v>
      </c>
    </row>
    <row r="455" spans="6:8" x14ac:dyDescent="0.3">
      <c r="F455" s="19">
        <v>450</v>
      </c>
      <c r="G455" s="22">
        <v>45481</v>
      </c>
      <c r="H455" s="19" cm="1">
        <f t="array" ref="H455">_xlfn.XLOOKUP(MONTH(G455) &amp; YEAR(G455),MONTH($B$6:$B$38) &amp; YEAR($B$6:$B$38),$C$6:$C$38)</f>
        <v>2.13</v>
      </c>
    </row>
    <row r="456" spans="6:8" x14ac:dyDescent="0.3">
      <c r="F456" s="19">
        <v>451</v>
      </c>
      <c r="G456" s="22">
        <v>45480</v>
      </c>
      <c r="H456" s="19" cm="1">
        <f t="array" ref="H456">_xlfn.XLOOKUP(MONTH(G456) &amp; YEAR(G456),MONTH($B$6:$B$38) &amp; YEAR($B$6:$B$38),$C$6:$C$38)</f>
        <v>2.13</v>
      </c>
    </row>
    <row r="457" spans="6:8" x14ac:dyDescent="0.3">
      <c r="F457" s="19">
        <v>452</v>
      </c>
      <c r="G457" s="22">
        <v>45479</v>
      </c>
      <c r="H457" s="19" cm="1">
        <f t="array" ref="H457">_xlfn.XLOOKUP(MONTH(G457) &amp; YEAR(G457),MONTH($B$6:$B$38) &amp; YEAR($B$6:$B$38),$C$6:$C$38)</f>
        <v>2.13</v>
      </c>
    </row>
    <row r="458" spans="6:8" x14ac:dyDescent="0.3">
      <c r="F458" s="19">
        <v>453</v>
      </c>
      <c r="G458" s="22">
        <v>45478</v>
      </c>
      <c r="H458" s="19" cm="1">
        <f t="array" ref="H458">_xlfn.XLOOKUP(MONTH(G458) &amp; YEAR(G458),MONTH($B$6:$B$38) &amp; YEAR($B$6:$B$38),$C$6:$C$38)</f>
        <v>2.13</v>
      </c>
    </row>
    <row r="459" spans="6:8" x14ac:dyDescent="0.3">
      <c r="F459" s="19">
        <v>454</v>
      </c>
      <c r="G459" s="22">
        <v>45477</v>
      </c>
      <c r="H459" s="19" cm="1">
        <f t="array" ref="H459">_xlfn.XLOOKUP(MONTH(G459) &amp; YEAR(G459),MONTH($B$6:$B$38) &amp; YEAR($B$6:$B$38),$C$6:$C$38)</f>
        <v>2.13</v>
      </c>
    </row>
    <row r="460" spans="6:8" x14ac:dyDescent="0.3">
      <c r="F460" s="19">
        <v>455</v>
      </c>
      <c r="G460" s="22">
        <v>45476</v>
      </c>
      <c r="H460" s="19" cm="1">
        <f t="array" ref="H460">_xlfn.XLOOKUP(MONTH(G460) &amp; YEAR(G460),MONTH($B$6:$B$38) &amp; YEAR($B$6:$B$38),$C$6:$C$38)</f>
        <v>2.13</v>
      </c>
    </row>
    <row r="461" spans="6:8" x14ac:dyDescent="0.3">
      <c r="F461" s="19">
        <v>456</v>
      </c>
      <c r="G461" s="22">
        <v>45475</v>
      </c>
      <c r="H461" s="19" cm="1">
        <f t="array" ref="H461">_xlfn.XLOOKUP(MONTH(G461) &amp; YEAR(G461),MONTH($B$6:$B$38) &amp; YEAR($B$6:$B$38),$C$6:$C$38)</f>
        <v>2.13</v>
      </c>
    </row>
    <row r="462" spans="6:8" x14ac:dyDescent="0.3">
      <c r="F462" s="19">
        <v>457</v>
      </c>
      <c r="G462" s="22">
        <v>45474</v>
      </c>
      <c r="H462" s="19" cm="1">
        <f t="array" ref="H462">_xlfn.XLOOKUP(MONTH(G462) &amp; YEAR(G462),MONTH($B$6:$B$38) &amp; YEAR($B$6:$B$38),$C$6:$C$38)</f>
        <v>2.13</v>
      </c>
    </row>
    <row r="463" spans="6:8" x14ac:dyDescent="0.3">
      <c r="F463" s="19">
        <v>458</v>
      </c>
      <c r="G463" s="22">
        <v>45473</v>
      </c>
      <c r="H463" s="19" cm="1">
        <f t="array" ref="H463">_xlfn.XLOOKUP(MONTH(G463) &amp; YEAR(G463),MONTH($B$6:$B$38) &amp; YEAR($B$6:$B$38),$C$6:$C$38)</f>
        <v>2.5099999999999998</v>
      </c>
    </row>
    <row r="464" spans="6:8" x14ac:dyDescent="0.3">
      <c r="F464" s="19">
        <v>459</v>
      </c>
      <c r="G464" s="22">
        <v>45472</v>
      </c>
      <c r="H464" s="19" cm="1">
        <f t="array" ref="H464">_xlfn.XLOOKUP(MONTH(G464) &amp; YEAR(G464),MONTH($B$6:$B$38) &amp; YEAR($B$6:$B$38),$C$6:$C$38)</f>
        <v>2.5099999999999998</v>
      </c>
    </row>
    <row r="465" spans="6:8" x14ac:dyDescent="0.3">
      <c r="F465" s="19">
        <v>460</v>
      </c>
      <c r="G465" s="22">
        <v>45471</v>
      </c>
      <c r="H465" s="19" cm="1">
        <f t="array" ref="H465">_xlfn.XLOOKUP(MONTH(G465) &amp; YEAR(G465),MONTH($B$6:$B$38) &amp; YEAR($B$6:$B$38),$C$6:$C$38)</f>
        <v>2.5099999999999998</v>
      </c>
    </row>
    <row r="466" spans="6:8" x14ac:dyDescent="0.3">
      <c r="F466" s="19">
        <v>461</v>
      </c>
      <c r="G466" s="22">
        <v>45470</v>
      </c>
      <c r="H466" s="19" cm="1">
        <f t="array" ref="H466">_xlfn.XLOOKUP(MONTH(G466) &amp; YEAR(G466),MONTH($B$6:$B$38) &amp; YEAR($B$6:$B$38),$C$6:$C$38)</f>
        <v>2.5099999999999998</v>
      </c>
    </row>
    <row r="467" spans="6:8" x14ac:dyDescent="0.3">
      <c r="F467" s="19">
        <v>462</v>
      </c>
      <c r="G467" s="22">
        <v>45469</v>
      </c>
      <c r="H467" s="19" cm="1">
        <f t="array" ref="H467">_xlfn.XLOOKUP(MONTH(G467) &amp; YEAR(G467),MONTH($B$6:$B$38) &amp; YEAR($B$6:$B$38),$C$6:$C$38)</f>
        <v>2.5099999999999998</v>
      </c>
    </row>
    <row r="468" spans="6:8" x14ac:dyDescent="0.3">
      <c r="F468" s="19">
        <v>463</v>
      </c>
      <c r="G468" s="22">
        <v>45468</v>
      </c>
      <c r="H468" s="19" cm="1">
        <f t="array" ref="H468">_xlfn.XLOOKUP(MONTH(G468) &amp; YEAR(G468),MONTH($B$6:$B$38) &amp; YEAR($B$6:$B$38),$C$6:$C$38)</f>
        <v>2.5099999999999998</v>
      </c>
    </row>
    <row r="469" spans="6:8" x14ac:dyDescent="0.3">
      <c r="F469" s="19">
        <v>464</v>
      </c>
      <c r="G469" s="22">
        <v>45467</v>
      </c>
      <c r="H469" s="19" cm="1">
        <f t="array" ref="H469">_xlfn.XLOOKUP(MONTH(G469) &amp; YEAR(G469),MONTH($B$6:$B$38) &amp; YEAR($B$6:$B$38),$C$6:$C$38)</f>
        <v>2.5099999999999998</v>
      </c>
    </row>
    <row r="470" spans="6:8" x14ac:dyDescent="0.3">
      <c r="F470" s="19">
        <v>465</v>
      </c>
      <c r="G470" s="22">
        <v>45466</v>
      </c>
      <c r="H470" s="19" cm="1">
        <f t="array" ref="H470">_xlfn.XLOOKUP(MONTH(G470) &amp; YEAR(G470),MONTH($B$6:$B$38) &amp; YEAR($B$6:$B$38),$C$6:$C$38)</f>
        <v>2.5099999999999998</v>
      </c>
    </row>
    <row r="471" spans="6:8" x14ac:dyDescent="0.3">
      <c r="F471" s="19">
        <v>466</v>
      </c>
      <c r="G471" s="22">
        <v>45465</v>
      </c>
      <c r="H471" s="19" cm="1">
        <f t="array" ref="H471">_xlfn.XLOOKUP(MONTH(G471) &amp; YEAR(G471),MONTH($B$6:$B$38) &amp; YEAR($B$6:$B$38),$C$6:$C$38)</f>
        <v>2.5099999999999998</v>
      </c>
    </row>
    <row r="472" spans="6:8" x14ac:dyDescent="0.3">
      <c r="F472" s="19">
        <v>467</v>
      </c>
      <c r="G472" s="22">
        <v>45464</v>
      </c>
      <c r="H472" s="19" cm="1">
        <f t="array" ref="H472">_xlfn.XLOOKUP(MONTH(G472) &amp; YEAR(G472),MONTH($B$6:$B$38) &amp; YEAR($B$6:$B$38),$C$6:$C$38)</f>
        <v>2.5099999999999998</v>
      </c>
    </row>
    <row r="473" spans="6:8" x14ac:dyDescent="0.3">
      <c r="F473" s="19">
        <v>468</v>
      </c>
      <c r="G473" s="22">
        <v>45463</v>
      </c>
      <c r="H473" s="19" cm="1">
        <f t="array" ref="H473">_xlfn.XLOOKUP(MONTH(G473) &amp; YEAR(G473),MONTH($B$6:$B$38) &amp; YEAR($B$6:$B$38),$C$6:$C$38)</f>
        <v>2.5099999999999998</v>
      </c>
    </row>
    <row r="474" spans="6:8" x14ac:dyDescent="0.3">
      <c r="F474" s="19">
        <v>469</v>
      </c>
      <c r="G474" s="22">
        <v>45462</v>
      </c>
      <c r="H474" s="19" cm="1">
        <f t="array" ref="H474">_xlfn.XLOOKUP(MONTH(G474) &amp; YEAR(G474),MONTH($B$6:$B$38) &amp; YEAR($B$6:$B$38),$C$6:$C$38)</f>
        <v>2.5099999999999998</v>
      </c>
    </row>
    <row r="475" spans="6:8" x14ac:dyDescent="0.3">
      <c r="F475" s="19">
        <v>470</v>
      </c>
      <c r="G475" s="22">
        <v>45461</v>
      </c>
      <c r="H475" s="19" cm="1">
        <f t="array" ref="H475">_xlfn.XLOOKUP(MONTH(G475) &amp; YEAR(G475),MONTH($B$6:$B$38) &amp; YEAR($B$6:$B$38),$C$6:$C$38)</f>
        <v>2.5099999999999998</v>
      </c>
    </row>
    <row r="476" spans="6:8" x14ac:dyDescent="0.3">
      <c r="F476" s="19">
        <v>471</v>
      </c>
      <c r="G476" s="22">
        <v>45460</v>
      </c>
      <c r="H476" s="19" cm="1">
        <f t="array" ref="H476">_xlfn.XLOOKUP(MONTH(G476) &amp; YEAR(G476),MONTH($B$6:$B$38) &amp; YEAR($B$6:$B$38),$C$6:$C$38)</f>
        <v>2.5099999999999998</v>
      </c>
    </row>
    <row r="477" spans="6:8" x14ac:dyDescent="0.3">
      <c r="F477" s="19">
        <v>472</v>
      </c>
      <c r="G477" s="22">
        <v>45459</v>
      </c>
      <c r="H477" s="19" cm="1">
        <f t="array" ref="H477">_xlfn.XLOOKUP(MONTH(G477) &amp; YEAR(G477),MONTH($B$6:$B$38) &amp; YEAR($B$6:$B$38),$C$6:$C$38)</f>
        <v>2.5099999999999998</v>
      </c>
    </row>
    <row r="478" spans="6:8" x14ac:dyDescent="0.3">
      <c r="F478" s="19">
        <v>473</v>
      </c>
      <c r="G478" s="22">
        <v>45458</v>
      </c>
      <c r="H478" s="19" cm="1">
        <f t="array" ref="H478">_xlfn.XLOOKUP(MONTH(G478) &amp; YEAR(G478),MONTH($B$6:$B$38) &amp; YEAR($B$6:$B$38),$C$6:$C$38)</f>
        <v>2.5099999999999998</v>
      </c>
    </row>
    <row r="479" spans="6:8" x14ac:dyDescent="0.3">
      <c r="F479" s="19">
        <v>474</v>
      </c>
      <c r="G479" s="22">
        <v>45457</v>
      </c>
      <c r="H479" s="19" cm="1">
        <f t="array" ref="H479">_xlfn.XLOOKUP(MONTH(G479) &amp; YEAR(G479),MONTH($B$6:$B$38) &amp; YEAR($B$6:$B$38),$C$6:$C$38)</f>
        <v>2.5099999999999998</v>
      </c>
    </row>
    <row r="480" spans="6:8" x14ac:dyDescent="0.3">
      <c r="F480" s="19">
        <v>475</v>
      </c>
      <c r="G480" s="22">
        <v>45456</v>
      </c>
      <c r="H480" s="19" cm="1">
        <f t="array" ref="H480">_xlfn.XLOOKUP(MONTH(G480) &amp; YEAR(G480),MONTH($B$6:$B$38) &amp; YEAR($B$6:$B$38),$C$6:$C$38)</f>
        <v>2.5099999999999998</v>
      </c>
    </row>
    <row r="481" spans="6:8" x14ac:dyDescent="0.3">
      <c r="F481" s="19">
        <v>476</v>
      </c>
      <c r="G481" s="22">
        <v>45455</v>
      </c>
      <c r="H481" s="19" cm="1">
        <f t="array" ref="H481">_xlfn.XLOOKUP(MONTH(G481) &amp; YEAR(G481),MONTH($B$6:$B$38) &amp; YEAR($B$6:$B$38),$C$6:$C$38)</f>
        <v>2.5099999999999998</v>
      </c>
    </row>
    <row r="482" spans="6:8" x14ac:dyDescent="0.3">
      <c r="F482" s="19">
        <v>477</v>
      </c>
      <c r="G482" s="22">
        <v>45454</v>
      </c>
      <c r="H482" s="19" cm="1">
        <f t="array" ref="H482">_xlfn.XLOOKUP(MONTH(G482) &amp; YEAR(G482),MONTH($B$6:$B$38) &amp; YEAR($B$6:$B$38),$C$6:$C$38)</f>
        <v>2.5099999999999998</v>
      </c>
    </row>
    <row r="483" spans="6:8" x14ac:dyDescent="0.3">
      <c r="F483" s="19">
        <v>478</v>
      </c>
      <c r="G483" s="22">
        <v>45453</v>
      </c>
      <c r="H483" s="19" cm="1">
        <f t="array" ref="H483">_xlfn.XLOOKUP(MONTH(G483) &amp; YEAR(G483),MONTH($B$6:$B$38) &amp; YEAR($B$6:$B$38),$C$6:$C$38)</f>
        <v>2.5099999999999998</v>
      </c>
    </row>
    <row r="484" spans="6:8" x14ac:dyDescent="0.3">
      <c r="F484" s="19">
        <v>479</v>
      </c>
      <c r="G484" s="22">
        <v>45452</v>
      </c>
      <c r="H484" s="19" cm="1">
        <f t="array" ref="H484">_xlfn.XLOOKUP(MONTH(G484) &amp; YEAR(G484),MONTH($B$6:$B$38) &amp; YEAR($B$6:$B$38),$C$6:$C$38)</f>
        <v>2.5099999999999998</v>
      </c>
    </row>
    <row r="485" spans="6:8" x14ac:dyDescent="0.3">
      <c r="F485" s="19">
        <v>480</v>
      </c>
      <c r="G485" s="22">
        <v>45451</v>
      </c>
      <c r="H485" s="19" cm="1">
        <f t="array" ref="H485">_xlfn.XLOOKUP(MONTH(G485) &amp; YEAR(G485),MONTH($B$6:$B$38) &amp; YEAR($B$6:$B$38),$C$6:$C$38)</f>
        <v>2.5099999999999998</v>
      </c>
    </row>
    <row r="486" spans="6:8" x14ac:dyDescent="0.3">
      <c r="F486" s="19">
        <v>481</v>
      </c>
      <c r="G486" s="22">
        <v>45450</v>
      </c>
      <c r="H486" s="19" cm="1">
        <f t="array" ref="H486">_xlfn.XLOOKUP(MONTH(G486) &amp; YEAR(G486),MONTH($B$6:$B$38) &amp; YEAR($B$6:$B$38),$C$6:$C$38)</f>
        <v>2.5099999999999998</v>
      </c>
    </row>
    <row r="487" spans="6:8" x14ac:dyDescent="0.3">
      <c r="F487" s="19">
        <v>482</v>
      </c>
      <c r="G487" s="22">
        <v>45449</v>
      </c>
      <c r="H487" s="19" cm="1">
        <f t="array" ref="H487">_xlfn.XLOOKUP(MONTH(G487) &amp; YEAR(G487),MONTH($B$6:$B$38) &amp; YEAR($B$6:$B$38),$C$6:$C$38)</f>
        <v>2.5099999999999998</v>
      </c>
    </row>
    <row r="488" spans="6:8" x14ac:dyDescent="0.3">
      <c r="F488" s="19">
        <v>483</v>
      </c>
      <c r="G488" s="22">
        <v>45448</v>
      </c>
      <c r="H488" s="19" cm="1">
        <f t="array" ref="H488">_xlfn.XLOOKUP(MONTH(G488) &amp; YEAR(G488),MONTH($B$6:$B$38) &amp; YEAR($B$6:$B$38),$C$6:$C$38)</f>
        <v>2.5099999999999998</v>
      </c>
    </row>
    <row r="489" spans="6:8" x14ac:dyDescent="0.3">
      <c r="F489" s="19">
        <v>484</v>
      </c>
      <c r="G489" s="22">
        <v>45447</v>
      </c>
      <c r="H489" s="19" cm="1">
        <f t="array" ref="H489">_xlfn.XLOOKUP(MONTH(G489) &amp; YEAR(G489),MONTH($B$6:$B$38) &amp; YEAR($B$6:$B$38),$C$6:$C$38)</f>
        <v>2.5099999999999998</v>
      </c>
    </row>
    <row r="490" spans="6:8" x14ac:dyDescent="0.3">
      <c r="F490" s="19">
        <v>485</v>
      </c>
      <c r="G490" s="22">
        <v>45446</v>
      </c>
      <c r="H490" s="19" cm="1">
        <f t="array" ref="H490">_xlfn.XLOOKUP(MONTH(G490) &amp; YEAR(G490),MONTH($B$6:$B$38) &amp; YEAR($B$6:$B$38),$C$6:$C$38)</f>
        <v>2.5099999999999998</v>
      </c>
    </row>
    <row r="491" spans="6:8" x14ac:dyDescent="0.3">
      <c r="F491" s="19">
        <v>486</v>
      </c>
      <c r="G491" s="22">
        <v>45445</v>
      </c>
      <c r="H491" s="19" cm="1">
        <f t="array" ref="H491">_xlfn.XLOOKUP(MONTH(G491) &amp; YEAR(G491),MONTH($B$6:$B$38) &amp; YEAR($B$6:$B$38),$C$6:$C$38)</f>
        <v>2.5099999999999998</v>
      </c>
    </row>
    <row r="492" spans="6:8" x14ac:dyDescent="0.3">
      <c r="F492" s="19">
        <v>487</v>
      </c>
      <c r="G492" s="22">
        <v>45444</v>
      </c>
      <c r="H492" s="19" cm="1">
        <f t="array" ref="H492">_xlfn.XLOOKUP(MONTH(G492) &amp; YEAR(G492),MONTH($B$6:$B$38) &amp; YEAR($B$6:$B$38),$C$6:$C$38)</f>
        <v>2.5099999999999998</v>
      </c>
    </row>
    <row r="493" spans="6:8" x14ac:dyDescent="0.3">
      <c r="F493" s="19">
        <v>488</v>
      </c>
      <c r="G493" s="22">
        <v>45443</v>
      </c>
      <c r="H493" s="19" cm="1">
        <f t="array" ref="H493">_xlfn.XLOOKUP(MONTH(G493) &amp; YEAR(G493),MONTH($B$6:$B$38) &amp; YEAR($B$6:$B$38),$C$6:$C$38)</f>
        <v>2.84</v>
      </c>
    </row>
    <row r="494" spans="6:8" x14ac:dyDescent="0.3">
      <c r="F494" s="19">
        <v>489</v>
      </c>
      <c r="G494" s="22">
        <v>45442</v>
      </c>
      <c r="H494" s="19" cm="1">
        <f t="array" ref="H494">_xlfn.XLOOKUP(MONTH(G494) &amp; YEAR(G494),MONTH($B$6:$B$38) &amp; YEAR($B$6:$B$38),$C$6:$C$38)</f>
        <v>2.84</v>
      </c>
    </row>
    <row r="495" spans="6:8" x14ac:dyDescent="0.3">
      <c r="F495" s="19">
        <v>490</v>
      </c>
      <c r="G495" s="22">
        <v>45441</v>
      </c>
      <c r="H495" s="19" cm="1">
        <f t="array" ref="H495">_xlfn.XLOOKUP(MONTH(G495) &amp; YEAR(G495),MONTH($B$6:$B$38) &amp; YEAR($B$6:$B$38),$C$6:$C$38)</f>
        <v>2.84</v>
      </c>
    </row>
    <row r="496" spans="6:8" x14ac:dyDescent="0.3">
      <c r="F496" s="19">
        <v>491</v>
      </c>
      <c r="G496" s="22">
        <v>45440</v>
      </c>
      <c r="H496" s="19" cm="1">
        <f t="array" ref="H496">_xlfn.XLOOKUP(MONTH(G496) &amp; YEAR(G496),MONTH($B$6:$B$38) &amp; YEAR($B$6:$B$38),$C$6:$C$38)</f>
        <v>2.84</v>
      </c>
    </row>
    <row r="497" spans="6:8" x14ac:dyDescent="0.3">
      <c r="F497" s="19">
        <v>492</v>
      </c>
      <c r="G497" s="22">
        <v>45439</v>
      </c>
      <c r="H497" s="19" cm="1">
        <f t="array" ref="H497">_xlfn.XLOOKUP(MONTH(G497) &amp; YEAR(G497),MONTH($B$6:$B$38) &amp; YEAR($B$6:$B$38),$C$6:$C$38)</f>
        <v>2.84</v>
      </c>
    </row>
    <row r="498" spans="6:8" x14ac:dyDescent="0.3">
      <c r="F498" s="19">
        <v>493</v>
      </c>
      <c r="G498" s="22">
        <v>45438</v>
      </c>
      <c r="H498" s="19" cm="1">
        <f t="array" ref="H498">_xlfn.XLOOKUP(MONTH(G498) &amp; YEAR(G498),MONTH($B$6:$B$38) &amp; YEAR($B$6:$B$38),$C$6:$C$38)</f>
        <v>2.84</v>
      </c>
    </row>
    <row r="499" spans="6:8" x14ac:dyDescent="0.3">
      <c r="F499" s="19">
        <v>494</v>
      </c>
      <c r="G499" s="22">
        <v>45437</v>
      </c>
      <c r="H499" s="19" cm="1">
        <f t="array" ref="H499">_xlfn.XLOOKUP(MONTH(G499) &amp; YEAR(G499),MONTH($B$6:$B$38) &amp; YEAR($B$6:$B$38),$C$6:$C$38)</f>
        <v>2.84</v>
      </c>
    </row>
    <row r="500" spans="6:8" x14ac:dyDescent="0.3">
      <c r="F500" s="19">
        <v>495</v>
      </c>
      <c r="G500" s="22">
        <v>45436</v>
      </c>
      <c r="H500" s="19" cm="1">
        <f t="array" ref="H500">_xlfn.XLOOKUP(MONTH(G500) &amp; YEAR(G500),MONTH($B$6:$B$38) &amp; YEAR($B$6:$B$38),$C$6:$C$38)</f>
        <v>2.84</v>
      </c>
    </row>
    <row r="501" spans="6:8" x14ac:dyDescent="0.3">
      <c r="F501" s="19">
        <v>496</v>
      </c>
      <c r="G501" s="22">
        <v>45435</v>
      </c>
      <c r="H501" s="19" cm="1">
        <f t="array" ref="H501">_xlfn.XLOOKUP(MONTH(G501) &amp; YEAR(G501),MONTH($B$6:$B$38) &amp; YEAR($B$6:$B$38),$C$6:$C$38)</f>
        <v>2.84</v>
      </c>
    </row>
    <row r="502" spans="6:8" x14ac:dyDescent="0.3">
      <c r="F502" s="19">
        <v>497</v>
      </c>
      <c r="G502" s="22">
        <v>45434</v>
      </c>
      <c r="H502" s="19" cm="1">
        <f t="array" ref="H502">_xlfn.XLOOKUP(MONTH(G502) &amp; YEAR(G502),MONTH($B$6:$B$38) &amp; YEAR($B$6:$B$38),$C$6:$C$38)</f>
        <v>2.84</v>
      </c>
    </row>
    <row r="503" spans="6:8" x14ac:dyDescent="0.3">
      <c r="F503" s="19">
        <v>498</v>
      </c>
      <c r="G503" s="22">
        <v>45433</v>
      </c>
      <c r="H503" s="19" cm="1">
        <f t="array" ref="H503">_xlfn.XLOOKUP(MONTH(G503) &amp; YEAR(G503),MONTH($B$6:$B$38) &amp; YEAR($B$6:$B$38),$C$6:$C$38)</f>
        <v>2.84</v>
      </c>
    </row>
    <row r="504" spans="6:8" x14ac:dyDescent="0.3">
      <c r="F504" s="19">
        <v>499</v>
      </c>
      <c r="G504" s="22">
        <v>45432</v>
      </c>
      <c r="H504" s="19" cm="1">
        <f t="array" ref="H504">_xlfn.XLOOKUP(MONTH(G504) &amp; YEAR(G504),MONTH($B$6:$B$38) &amp; YEAR($B$6:$B$38),$C$6:$C$38)</f>
        <v>2.84</v>
      </c>
    </row>
    <row r="505" spans="6:8" x14ac:dyDescent="0.3">
      <c r="F505" s="19">
        <v>500</v>
      </c>
      <c r="G505" s="22">
        <v>45431</v>
      </c>
      <c r="H505" s="19" cm="1">
        <f t="array" ref="H505">_xlfn.XLOOKUP(MONTH(G505) &amp; YEAR(G505),MONTH($B$6:$B$38) &amp; YEAR($B$6:$B$38),$C$6:$C$38)</f>
        <v>2.84</v>
      </c>
    </row>
    <row r="506" spans="6:8" x14ac:dyDescent="0.3">
      <c r="F506" s="19">
        <v>501</v>
      </c>
      <c r="G506" s="22">
        <v>45430</v>
      </c>
      <c r="H506" s="19" cm="1">
        <f t="array" ref="H506">_xlfn.XLOOKUP(MONTH(G506) &amp; YEAR(G506),MONTH($B$6:$B$38) &amp; YEAR($B$6:$B$38),$C$6:$C$38)</f>
        <v>2.84</v>
      </c>
    </row>
    <row r="507" spans="6:8" x14ac:dyDescent="0.3">
      <c r="F507" s="19">
        <v>502</v>
      </c>
      <c r="G507" s="22">
        <v>45429</v>
      </c>
      <c r="H507" s="19" cm="1">
        <f t="array" ref="H507">_xlfn.XLOOKUP(MONTH(G507) &amp; YEAR(G507),MONTH($B$6:$B$38) &amp; YEAR($B$6:$B$38),$C$6:$C$38)</f>
        <v>2.84</v>
      </c>
    </row>
    <row r="508" spans="6:8" x14ac:dyDescent="0.3">
      <c r="F508" s="19">
        <v>503</v>
      </c>
      <c r="G508" s="22">
        <v>45428</v>
      </c>
      <c r="H508" s="19" cm="1">
        <f t="array" ref="H508">_xlfn.XLOOKUP(MONTH(G508) &amp; YEAR(G508),MONTH($B$6:$B$38) &amp; YEAR($B$6:$B$38),$C$6:$C$38)</f>
        <v>2.84</v>
      </c>
    </row>
    <row r="509" spans="6:8" x14ac:dyDescent="0.3">
      <c r="F509" s="19">
        <v>504</v>
      </c>
      <c r="G509" s="22">
        <v>45427</v>
      </c>
      <c r="H509" s="19" cm="1">
        <f t="array" ref="H509">_xlfn.XLOOKUP(MONTH(G509) &amp; YEAR(G509),MONTH($B$6:$B$38) &amp; YEAR($B$6:$B$38),$C$6:$C$38)</f>
        <v>2.84</v>
      </c>
    </row>
    <row r="510" spans="6:8" x14ac:dyDescent="0.3">
      <c r="F510" s="19">
        <v>505</v>
      </c>
      <c r="G510" s="22">
        <v>45426</v>
      </c>
      <c r="H510" s="19" cm="1">
        <f t="array" ref="H510">_xlfn.XLOOKUP(MONTH(G510) &amp; YEAR(G510),MONTH($B$6:$B$38) &amp; YEAR($B$6:$B$38),$C$6:$C$38)</f>
        <v>2.84</v>
      </c>
    </row>
    <row r="511" spans="6:8" x14ac:dyDescent="0.3">
      <c r="F511" s="19">
        <v>506</v>
      </c>
      <c r="G511" s="22">
        <v>45425</v>
      </c>
      <c r="H511" s="19" cm="1">
        <f t="array" ref="H511">_xlfn.XLOOKUP(MONTH(G511) &amp; YEAR(G511),MONTH($B$6:$B$38) &amp; YEAR($B$6:$B$38),$C$6:$C$38)</f>
        <v>2.84</v>
      </c>
    </row>
    <row r="512" spans="6:8" x14ac:dyDescent="0.3">
      <c r="F512" s="19">
        <v>507</v>
      </c>
      <c r="G512" s="22">
        <v>45424</v>
      </c>
      <c r="H512" s="19" cm="1">
        <f t="array" ref="H512">_xlfn.XLOOKUP(MONTH(G512) &amp; YEAR(G512),MONTH($B$6:$B$38) &amp; YEAR($B$6:$B$38),$C$6:$C$38)</f>
        <v>2.84</v>
      </c>
    </row>
    <row r="513" spans="6:8" x14ac:dyDescent="0.3">
      <c r="F513" s="19">
        <v>508</v>
      </c>
      <c r="G513" s="22">
        <v>45423</v>
      </c>
      <c r="H513" s="19" cm="1">
        <f t="array" ref="H513">_xlfn.XLOOKUP(MONTH(G513) &amp; YEAR(G513),MONTH($B$6:$B$38) &amp; YEAR($B$6:$B$38),$C$6:$C$38)</f>
        <v>2.84</v>
      </c>
    </row>
    <row r="514" spans="6:8" x14ac:dyDescent="0.3">
      <c r="F514" s="19">
        <v>509</v>
      </c>
      <c r="G514" s="22">
        <v>45422</v>
      </c>
      <c r="H514" s="19" cm="1">
        <f t="array" ref="H514">_xlfn.XLOOKUP(MONTH(G514) &amp; YEAR(G514),MONTH($B$6:$B$38) &amp; YEAR($B$6:$B$38),$C$6:$C$38)</f>
        <v>2.84</v>
      </c>
    </row>
    <row r="515" spans="6:8" x14ac:dyDescent="0.3">
      <c r="F515" s="19">
        <v>510</v>
      </c>
      <c r="G515" s="22">
        <v>45421</v>
      </c>
      <c r="H515" s="19" cm="1">
        <f t="array" ref="H515">_xlfn.XLOOKUP(MONTH(G515) &amp; YEAR(G515),MONTH($B$6:$B$38) &amp; YEAR($B$6:$B$38),$C$6:$C$38)</f>
        <v>2.84</v>
      </c>
    </row>
    <row r="516" spans="6:8" x14ac:dyDescent="0.3">
      <c r="F516" s="19">
        <v>511</v>
      </c>
      <c r="G516" s="22">
        <v>45420</v>
      </c>
      <c r="H516" s="19" cm="1">
        <f t="array" ref="H516">_xlfn.XLOOKUP(MONTH(G516) &amp; YEAR(G516),MONTH($B$6:$B$38) &amp; YEAR($B$6:$B$38),$C$6:$C$38)</f>
        <v>2.84</v>
      </c>
    </row>
    <row r="517" spans="6:8" x14ac:dyDescent="0.3">
      <c r="F517" s="19">
        <v>512</v>
      </c>
      <c r="G517" s="22">
        <v>45419</v>
      </c>
      <c r="H517" s="19" cm="1">
        <f t="array" ref="H517">_xlfn.XLOOKUP(MONTH(G517) &amp; YEAR(G517),MONTH($B$6:$B$38) &amp; YEAR($B$6:$B$38),$C$6:$C$38)</f>
        <v>2.84</v>
      </c>
    </row>
    <row r="518" spans="6:8" x14ac:dyDescent="0.3">
      <c r="F518" s="19">
        <v>513</v>
      </c>
      <c r="G518" s="22">
        <v>45418</v>
      </c>
      <c r="H518" s="19" cm="1">
        <f t="array" ref="H518">_xlfn.XLOOKUP(MONTH(G518) &amp; YEAR(G518),MONTH($B$6:$B$38) &amp; YEAR($B$6:$B$38),$C$6:$C$38)</f>
        <v>2.84</v>
      </c>
    </row>
    <row r="519" spans="6:8" x14ac:dyDescent="0.3">
      <c r="F519" s="19">
        <v>514</v>
      </c>
      <c r="G519" s="22">
        <v>45417</v>
      </c>
      <c r="H519" s="19" cm="1">
        <f t="array" ref="H519">_xlfn.XLOOKUP(MONTH(G519) &amp; YEAR(G519),MONTH($B$6:$B$38) &amp; YEAR($B$6:$B$38),$C$6:$C$38)</f>
        <v>2.84</v>
      </c>
    </row>
    <row r="520" spans="6:8" x14ac:dyDescent="0.3">
      <c r="F520" s="19">
        <v>515</v>
      </c>
      <c r="G520" s="22">
        <v>45416</v>
      </c>
      <c r="H520" s="19" cm="1">
        <f t="array" ref="H520">_xlfn.XLOOKUP(MONTH(G520) &amp; YEAR(G520),MONTH($B$6:$B$38) &amp; YEAR($B$6:$B$38),$C$6:$C$38)</f>
        <v>2.84</v>
      </c>
    </row>
    <row r="521" spans="6:8" x14ac:dyDescent="0.3">
      <c r="F521" s="19">
        <v>516</v>
      </c>
      <c r="G521" s="22">
        <v>45415</v>
      </c>
      <c r="H521" s="19" cm="1">
        <f t="array" ref="H521">_xlfn.XLOOKUP(MONTH(G521) &amp; YEAR(G521),MONTH($B$6:$B$38) &amp; YEAR($B$6:$B$38),$C$6:$C$38)</f>
        <v>2.84</v>
      </c>
    </row>
    <row r="522" spans="6:8" x14ac:dyDescent="0.3">
      <c r="F522" s="19">
        <v>517</v>
      </c>
      <c r="G522" s="22">
        <v>45414</v>
      </c>
      <c r="H522" s="19" cm="1">
        <f t="array" ref="H522">_xlfn.XLOOKUP(MONTH(G522) &amp; YEAR(G522),MONTH($B$6:$B$38) &amp; YEAR($B$6:$B$38),$C$6:$C$38)</f>
        <v>2.84</v>
      </c>
    </row>
    <row r="523" spans="6:8" x14ac:dyDescent="0.3">
      <c r="F523" s="19">
        <v>518</v>
      </c>
      <c r="G523" s="22">
        <v>45413</v>
      </c>
      <c r="H523" s="19" cm="1">
        <f t="array" ref="H523">_xlfn.XLOOKUP(MONTH(G523) &amp; YEAR(G523),MONTH($B$6:$B$38) &amp; YEAR($B$6:$B$38),$C$6:$C$38)</f>
        <v>2.84</v>
      </c>
    </row>
    <row r="524" spans="6:8" x14ac:dyDescent="0.3">
      <c r="F524" s="19">
        <v>519</v>
      </c>
      <c r="G524" s="22">
        <v>45412</v>
      </c>
      <c r="H524" s="19" cm="1">
        <f t="array" ref="H524">_xlfn.XLOOKUP(MONTH(G524) &amp; YEAR(G524),MONTH($B$6:$B$38) &amp; YEAR($B$6:$B$38),$C$6:$C$38)</f>
        <v>3</v>
      </c>
    </row>
    <row r="525" spans="6:8" x14ac:dyDescent="0.3">
      <c r="F525" s="19">
        <v>520</v>
      </c>
      <c r="G525" s="22">
        <v>45411</v>
      </c>
      <c r="H525" s="19" cm="1">
        <f t="array" ref="H525">_xlfn.XLOOKUP(MONTH(G525) &amp; YEAR(G525),MONTH($B$6:$B$38) &amp; YEAR($B$6:$B$38),$C$6:$C$38)</f>
        <v>3</v>
      </c>
    </row>
    <row r="526" spans="6:8" x14ac:dyDescent="0.3">
      <c r="F526" s="19">
        <v>521</v>
      </c>
      <c r="G526" s="22">
        <v>45410</v>
      </c>
      <c r="H526" s="19" cm="1">
        <f t="array" ref="H526">_xlfn.XLOOKUP(MONTH(G526) &amp; YEAR(G526),MONTH($B$6:$B$38) &amp; YEAR($B$6:$B$38),$C$6:$C$38)</f>
        <v>3</v>
      </c>
    </row>
    <row r="527" spans="6:8" x14ac:dyDescent="0.3">
      <c r="F527" s="19">
        <v>522</v>
      </c>
      <c r="G527" s="22">
        <v>45409</v>
      </c>
      <c r="H527" s="19" cm="1">
        <f t="array" ref="H527">_xlfn.XLOOKUP(MONTH(G527) &amp; YEAR(G527),MONTH($B$6:$B$38) &amp; YEAR($B$6:$B$38),$C$6:$C$38)</f>
        <v>3</v>
      </c>
    </row>
    <row r="528" spans="6:8" x14ac:dyDescent="0.3">
      <c r="F528" s="19">
        <v>523</v>
      </c>
      <c r="G528" s="22">
        <v>45408</v>
      </c>
      <c r="H528" s="19" cm="1">
        <f t="array" ref="H528">_xlfn.XLOOKUP(MONTH(G528) &amp; YEAR(G528),MONTH($B$6:$B$38) &amp; YEAR($B$6:$B$38),$C$6:$C$38)</f>
        <v>3</v>
      </c>
    </row>
    <row r="529" spans="6:8" x14ac:dyDescent="0.3">
      <c r="F529" s="19">
        <v>524</v>
      </c>
      <c r="G529" s="22">
        <v>45407</v>
      </c>
      <c r="H529" s="19" cm="1">
        <f t="array" ref="H529">_xlfn.XLOOKUP(MONTH(G529) &amp; YEAR(G529),MONTH($B$6:$B$38) &amp; YEAR($B$6:$B$38),$C$6:$C$38)</f>
        <v>3</v>
      </c>
    </row>
    <row r="530" spans="6:8" x14ac:dyDescent="0.3">
      <c r="F530" s="19">
        <v>525</v>
      </c>
      <c r="G530" s="22">
        <v>45406</v>
      </c>
      <c r="H530" s="19" cm="1">
        <f t="array" ref="H530">_xlfn.XLOOKUP(MONTH(G530) &amp; YEAR(G530),MONTH($B$6:$B$38) &amp; YEAR($B$6:$B$38),$C$6:$C$38)</f>
        <v>3</v>
      </c>
    </row>
    <row r="531" spans="6:8" x14ac:dyDescent="0.3">
      <c r="F531" s="19">
        <v>526</v>
      </c>
      <c r="G531" s="22">
        <v>45405</v>
      </c>
      <c r="H531" s="19" cm="1">
        <f t="array" ref="H531">_xlfn.XLOOKUP(MONTH(G531) &amp; YEAR(G531),MONTH($B$6:$B$38) &amp; YEAR($B$6:$B$38),$C$6:$C$38)</f>
        <v>3</v>
      </c>
    </row>
    <row r="532" spans="6:8" x14ac:dyDescent="0.3">
      <c r="F532" s="19">
        <v>527</v>
      </c>
      <c r="G532" s="22">
        <v>45404</v>
      </c>
      <c r="H532" s="19" cm="1">
        <f t="array" ref="H532">_xlfn.XLOOKUP(MONTH(G532) &amp; YEAR(G532),MONTH($B$6:$B$38) &amp; YEAR($B$6:$B$38),$C$6:$C$38)</f>
        <v>3</v>
      </c>
    </row>
    <row r="533" spans="6:8" x14ac:dyDescent="0.3">
      <c r="F533" s="19">
        <v>528</v>
      </c>
      <c r="G533" s="22">
        <v>45403</v>
      </c>
      <c r="H533" s="19" cm="1">
        <f t="array" ref="H533">_xlfn.XLOOKUP(MONTH(G533) &amp; YEAR(G533),MONTH($B$6:$B$38) &amp; YEAR($B$6:$B$38),$C$6:$C$38)</f>
        <v>3</v>
      </c>
    </row>
    <row r="534" spans="6:8" x14ac:dyDescent="0.3">
      <c r="F534" s="19">
        <v>529</v>
      </c>
      <c r="G534" s="22">
        <v>45402</v>
      </c>
      <c r="H534" s="19" cm="1">
        <f t="array" ref="H534">_xlfn.XLOOKUP(MONTH(G534) &amp; YEAR(G534),MONTH($B$6:$B$38) &amp; YEAR($B$6:$B$38),$C$6:$C$38)</f>
        <v>3</v>
      </c>
    </row>
    <row r="535" spans="6:8" x14ac:dyDescent="0.3">
      <c r="F535" s="19">
        <v>530</v>
      </c>
      <c r="G535" s="22">
        <v>45401</v>
      </c>
      <c r="H535" s="19" cm="1">
        <f t="array" ref="H535">_xlfn.XLOOKUP(MONTH(G535) &amp; YEAR(G535),MONTH($B$6:$B$38) &amp; YEAR($B$6:$B$38),$C$6:$C$38)</f>
        <v>3</v>
      </c>
    </row>
    <row r="536" spans="6:8" x14ac:dyDescent="0.3">
      <c r="F536" s="19">
        <v>531</v>
      </c>
      <c r="G536" s="22">
        <v>45400</v>
      </c>
      <c r="H536" s="19" cm="1">
        <f t="array" ref="H536">_xlfn.XLOOKUP(MONTH(G536) &amp; YEAR(G536),MONTH($B$6:$B$38) &amp; YEAR($B$6:$B$38),$C$6:$C$38)</f>
        <v>3</v>
      </c>
    </row>
    <row r="537" spans="6:8" x14ac:dyDescent="0.3">
      <c r="F537" s="19">
        <v>532</v>
      </c>
      <c r="G537" s="22">
        <v>45399</v>
      </c>
      <c r="H537" s="19" cm="1">
        <f t="array" ref="H537">_xlfn.XLOOKUP(MONTH(G537) &amp; YEAR(G537),MONTH($B$6:$B$38) &amp; YEAR($B$6:$B$38),$C$6:$C$38)</f>
        <v>3</v>
      </c>
    </row>
    <row r="538" spans="6:8" x14ac:dyDescent="0.3">
      <c r="F538" s="19">
        <v>533</v>
      </c>
      <c r="G538" s="22">
        <v>45398</v>
      </c>
      <c r="H538" s="19" cm="1">
        <f t="array" ref="H538">_xlfn.XLOOKUP(MONTH(G538) &amp; YEAR(G538),MONTH($B$6:$B$38) &amp; YEAR($B$6:$B$38),$C$6:$C$38)</f>
        <v>3</v>
      </c>
    </row>
    <row r="539" spans="6:8" x14ac:dyDescent="0.3">
      <c r="F539" s="19">
        <v>534</v>
      </c>
      <c r="G539" s="22">
        <v>45397</v>
      </c>
      <c r="H539" s="19" cm="1">
        <f t="array" ref="H539">_xlfn.XLOOKUP(MONTH(G539) &amp; YEAR(G539),MONTH($B$6:$B$38) &amp; YEAR($B$6:$B$38),$C$6:$C$38)</f>
        <v>3</v>
      </c>
    </row>
    <row r="540" spans="6:8" x14ac:dyDescent="0.3">
      <c r="F540" s="19">
        <v>535</v>
      </c>
      <c r="G540" s="22">
        <v>45396</v>
      </c>
      <c r="H540" s="19" cm="1">
        <f t="array" ref="H540">_xlfn.XLOOKUP(MONTH(G540) &amp; YEAR(G540),MONTH($B$6:$B$38) &amp; YEAR($B$6:$B$38),$C$6:$C$38)</f>
        <v>3</v>
      </c>
    </row>
    <row r="541" spans="6:8" x14ac:dyDescent="0.3">
      <c r="F541" s="19">
        <v>536</v>
      </c>
      <c r="G541" s="22">
        <v>45395</v>
      </c>
      <c r="H541" s="19" cm="1">
        <f t="array" ref="H541">_xlfn.XLOOKUP(MONTH(G541) &amp; YEAR(G541),MONTH($B$6:$B$38) &amp; YEAR($B$6:$B$38),$C$6:$C$38)</f>
        <v>3</v>
      </c>
    </row>
    <row r="542" spans="6:8" x14ac:dyDescent="0.3">
      <c r="F542" s="19">
        <v>537</v>
      </c>
      <c r="G542" s="22">
        <v>45394</v>
      </c>
      <c r="H542" s="19" cm="1">
        <f t="array" ref="H542">_xlfn.XLOOKUP(MONTH(G542) &amp; YEAR(G542),MONTH($B$6:$B$38) &amp; YEAR($B$6:$B$38),$C$6:$C$38)</f>
        <v>3</v>
      </c>
    </row>
    <row r="543" spans="6:8" x14ac:dyDescent="0.3">
      <c r="F543" s="19">
        <v>538</v>
      </c>
      <c r="G543" s="22">
        <v>45393</v>
      </c>
      <c r="H543" s="19" cm="1">
        <f t="array" ref="H543">_xlfn.XLOOKUP(MONTH(G543) &amp; YEAR(G543),MONTH($B$6:$B$38) &amp; YEAR($B$6:$B$38),$C$6:$C$38)</f>
        <v>3</v>
      </c>
    </row>
    <row r="544" spans="6:8" x14ac:dyDescent="0.3">
      <c r="F544" s="19">
        <v>539</v>
      </c>
      <c r="G544" s="22">
        <v>45392</v>
      </c>
      <c r="H544" s="19" cm="1">
        <f t="array" ref="H544">_xlfn.XLOOKUP(MONTH(G544) &amp; YEAR(G544),MONTH($B$6:$B$38) &amp; YEAR($B$6:$B$38),$C$6:$C$38)</f>
        <v>3</v>
      </c>
    </row>
    <row r="545" spans="6:8" x14ac:dyDescent="0.3">
      <c r="F545" s="19">
        <v>540</v>
      </c>
      <c r="G545" s="22">
        <v>45391</v>
      </c>
      <c r="H545" s="19" cm="1">
        <f t="array" ref="H545">_xlfn.XLOOKUP(MONTH(G545) &amp; YEAR(G545),MONTH($B$6:$B$38) &amp; YEAR($B$6:$B$38),$C$6:$C$38)</f>
        <v>3</v>
      </c>
    </row>
    <row r="546" spans="6:8" x14ac:dyDescent="0.3">
      <c r="F546" s="19">
        <v>541</v>
      </c>
      <c r="G546" s="22">
        <v>45390</v>
      </c>
      <c r="H546" s="19" cm="1">
        <f t="array" ref="H546">_xlfn.XLOOKUP(MONTH(G546) &amp; YEAR(G546),MONTH($B$6:$B$38) &amp; YEAR($B$6:$B$38),$C$6:$C$38)</f>
        <v>3</v>
      </c>
    </row>
    <row r="547" spans="6:8" x14ac:dyDescent="0.3">
      <c r="F547" s="19">
        <v>542</v>
      </c>
      <c r="G547" s="22">
        <v>45389</v>
      </c>
      <c r="H547" s="19" cm="1">
        <f t="array" ref="H547">_xlfn.XLOOKUP(MONTH(G547) &amp; YEAR(G547),MONTH($B$6:$B$38) &amp; YEAR($B$6:$B$38),$C$6:$C$38)</f>
        <v>3</v>
      </c>
    </row>
    <row r="548" spans="6:8" x14ac:dyDescent="0.3">
      <c r="F548" s="19">
        <v>543</v>
      </c>
      <c r="G548" s="22">
        <v>45388</v>
      </c>
      <c r="H548" s="19" cm="1">
        <f t="array" ref="H548">_xlfn.XLOOKUP(MONTH(G548) &amp; YEAR(G548),MONTH($B$6:$B$38) &amp; YEAR($B$6:$B$38),$C$6:$C$38)</f>
        <v>3</v>
      </c>
    </row>
    <row r="549" spans="6:8" x14ac:dyDescent="0.3">
      <c r="F549" s="19">
        <v>544</v>
      </c>
      <c r="G549" s="22">
        <v>45387</v>
      </c>
      <c r="H549" s="19" cm="1">
        <f t="array" ref="H549">_xlfn.XLOOKUP(MONTH(G549) &amp; YEAR(G549),MONTH($B$6:$B$38) &amp; YEAR($B$6:$B$38),$C$6:$C$38)</f>
        <v>3</v>
      </c>
    </row>
    <row r="550" spans="6:8" x14ac:dyDescent="0.3">
      <c r="F550" s="19">
        <v>545</v>
      </c>
      <c r="G550" s="22">
        <v>45386</v>
      </c>
      <c r="H550" s="19" cm="1">
        <f t="array" ref="H550">_xlfn.XLOOKUP(MONTH(G550) &amp; YEAR(G550),MONTH($B$6:$B$38) &amp; YEAR($B$6:$B$38),$C$6:$C$38)</f>
        <v>3</v>
      </c>
    </row>
    <row r="551" spans="6:8" x14ac:dyDescent="0.3">
      <c r="F551" s="19">
        <v>546</v>
      </c>
      <c r="G551" s="22">
        <v>45385</v>
      </c>
      <c r="H551" s="19" cm="1">
        <f t="array" ref="H551">_xlfn.XLOOKUP(MONTH(G551) &amp; YEAR(G551),MONTH($B$6:$B$38) &amp; YEAR($B$6:$B$38),$C$6:$C$38)</f>
        <v>3</v>
      </c>
    </row>
    <row r="552" spans="6:8" x14ac:dyDescent="0.3">
      <c r="F552" s="19">
        <v>547</v>
      </c>
      <c r="G552" s="22">
        <v>45384</v>
      </c>
      <c r="H552" s="19" cm="1">
        <f t="array" ref="H552">_xlfn.XLOOKUP(MONTH(G552) &amp; YEAR(G552),MONTH($B$6:$B$38) &amp; YEAR($B$6:$B$38),$C$6:$C$38)</f>
        <v>3</v>
      </c>
    </row>
    <row r="553" spans="6:8" x14ac:dyDescent="0.3">
      <c r="F553" s="19">
        <v>548</v>
      </c>
      <c r="G553" s="22">
        <v>45383</v>
      </c>
      <c r="H553" s="19" cm="1">
        <f t="array" ref="H553">_xlfn.XLOOKUP(MONTH(G553) &amp; YEAR(G553),MONTH($B$6:$B$38) &amp; YEAR($B$6:$B$38),$C$6:$C$38)</f>
        <v>3</v>
      </c>
    </row>
    <row r="554" spans="6:8" x14ac:dyDescent="0.3">
      <c r="F554" s="19">
        <v>549</v>
      </c>
      <c r="G554" s="22">
        <v>45382</v>
      </c>
      <c r="H554" s="19" cm="1">
        <f t="array" ref="H554">_xlfn.XLOOKUP(MONTH(G554) &amp; YEAR(G554),MONTH($B$6:$B$38) &amp; YEAR($B$6:$B$38),$C$6:$C$38)</f>
        <v>3.05</v>
      </c>
    </row>
    <row r="555" spans="6:8" x14ac:dyDescent="0.3">
      <c r="F555" s="19">
        <v>550</v>
      </c>
      <c r="G555" s="22">
        <v>45381</v>
      </c>
      <c r="H555" s="19" cm="1">
        <f t="array" ref="H555">_xlfn.XLOOKUP(MONTH(G555) &amp; YEAR(G555),MONTH($B$6:$B$38) &amp; YEAR($B$6:$B$38),$C$6:$C$38)</f>
        <v>3.05</v>
      </c>
    </row>
    <row r="556" spans="6:8" x14ac:dyDescent="0.3">
      <c r="F556" s="19">
        <v>551</v>
      </c>
      <c r="G556" s="22">
        <v>45380</v>
      </c>
      <c r="H556" s="19" cm="1">
        <f t="array" ref="H556">_xlfn.XLOOKUP(MONTH(G556) &amp; YEAR(G556),MONTH($B$6:$B$38) &amp; YEAR($B$6:$B$38),$C$6:$C$38)</f>
        <v>3.05</v>
      </c>
    </row>
    <row r="557" spans="6:8" x14ac:dyDescent="0.3">
      <c r="F557" s="19">
        <v>552</v>
      </c>
      <c r="G557" s="22">
        <v>45379</v>
      </c>
      <c r="H557" s="19" cm="1">
        <f t="array" ref="H557">_xlfn.XLOOKUP(MONTH(G557) &amp; YEAR(G557),MONTH($B$6:$B$38) &amp; YEAR($B$6:$B$38),$C$6:$C$38)</f>
        <v>3.05</v>
      </c>
    </row>
    <row r="558" spans="6:8" x14ac:dyDescent="0.3">
      <c r="F558" s="19">
        <v>553</v>
      </c>
      <c r="G558" s="22">
        <v>45378</v>
      </c>
      <c r="H558" s="19" cm="1">
        <f t="array" ref="H558">_xlfn.XLOOKUP(MONTH(G558) &amp; YEAR(G558),MONTH($B$6:$B$38) &amp; YEAR($B$6:$B$38),$C$6:$C$38)</f>
        <v>3.05</v>
      </c>
    </row>
    <row r="559" spans="6:8" x14ac:dyDescent="0.3">
      <c r="F559" s="19">
        <v>554</v>
      </c>
      <c r="G559" s="22">
        <v>45377</v>
      </c>
      <c r="H559" s="19" cm="1">
        <f t="array" ref="H559">_xlfn.XLOOKUP(MONTH(G559) &amp; YEAR(G559),MONTH($B$6:$B$38) &amp; YEAR($B$6:$B$38),$C$6:$C$38)</f>
        <v>3.05</v>
      </c>
    </row>
    <row r="560" spans="6:8" x14ac:dyDescent="0.3">
      <c r="F560" s="19">
        <v>555</v>
      </c>
      <c r="G560" s="22">
        <v>45376</v>
      </c>
      <c r="H560" s="19" cm="1">
        <f t="array" ref="H560">_xlfn.XLOOKUP(MONTH(G560) &amp; YEAR(G560),MONTH($B$6:$B$38) &amp; YEAR($B$6:$B$38),$C$6:$C$38)</f>
        <v>3.05</v>
      </c>
    </row>
    <row r="561" spans="6:8" x14ac:dyDescent="0.3">
      <c r="F561" s="19">
        <v>556</v>
      </c>
      <c r="G561" s="22">
        <v>45375</v>
      </c>
      <c r="H561" s="19" cm="1">
        <f t="array" ref="H561">_xlfn.XLOOKUP(MONTH(G561) &amp; YEAR(G561),MONTH($B$6:$B$38) &amp; YEAR($B$6:$B$38),$C$6:$C$38)</f>
        <v>3.05</v>
      </c>
    </row>
    <row r="562" spans="6:8" x14ac:dyDescent="0.3">
      <c r="F562" s="19">
        <v>557</v>
      </c>
      <c r="G562" s="22">
        <v>45374</v>
      </c>
      <c r="H562" s="19" cm="1">
        <f t="array" ref="H562">_xlfn.XLOOKUP(MONTH(G562) &amp; YEAR(G562),MONTH($B$6:$B$38) &amp; YEAR($B$6:$B$38),$C$6:$C$38)</f>
        <v>3.05</v>
      </c>
    </row>
    <row r="563" spans="6:8" x14ac:dyDescent="0.3">
      <c r="F563" s="19">
        <v>558</v>
      </c>
      <c r="G563" s="22">
        <v>45373</v>
      </c>
      <c r="H563" s="19" cm="1">
        <f t="array" ref="H563">_xlfn.XLOOKUP(MONTH(G563) &amp; YEAR(G563),MONTH($B$6:$B$38) &amp; YEAR($B$6:$B$38),$C$6:$C$38)</f>
        <v>3.05</v>
      </c>
    </row>
    <row r="564" spans="6:8" x14ac:dyDescent="0.3">
      <c r="F564" s="19">
        <v>559</v>
      </c>
      <c r="G564" s="22">
        <v>45372</v>
      </c>
      <c r="H564" s="19" cm="1">
        <f t="array" ref="H564">_xlfn.XLOOKUP(MONTH(G564) &amp; YEAR(G564),MONTH($B$6:$B$38) &amp; YEAR($B$6:$B$38),$C$6:$C$38)</f>
        <v>3.05</v>
      </c>
    </row>
    <row r="565" spans="6:8" x14ac:dyDescent="0.3">
      <c r="F565" s="19">
        <v>560</v>
      </c>
      <c r="G565" s="22">
        <v>45371</v>
      </c>
      <c r="H565" s="19" cm="1">
        <f t="array" ref="H565">_xlfn.XLOOKUP(MONTH(G565) &amp; YEAR(G565),MONTH($B$6:$B$38) &amp; YEAR($B$6:$B$38),$C$6:$C$38)</f>
        <v>3.05</v>
      </c>
    </row>
    <row r="566" spans="6:8" x14ac:dyDescent="0.3">
      <c r="F566" s="19">
        <v>561</v>
      </c>
      <c r="G566" s="22">
        <v>45370</v>
      </c>
      <c r="H566" s="19" cm="1">
        <f t="array" ref="H566">_xlfn.XLOOKUP(MONTH(G566) &amp; YEAR(G566),MONTH($B$6:$B$38) &amp; YEAR($B$6:$B$38),$C$6:$C$38)</f>
        <v>3.05</v>
      </c>
    </row>
    <row r="567" spans="6:8" x14ac:dyDescent="0.3">
      <c r="F567" s="19">
        <v>562</v>
      </c>
      <c r="G567" s="22">
        <v>45369</v>
      </c>
      <c r="H567" s="19" cm="1">
        <f t="array" ref="H567">_xlfn.XLOOKUP(MONTH(G567) &amp; YEAR(G567),MONTH($B$6:$B$38) &amp; YEAR($B$6:$B$38),$C$6:$C$38)</f>
        <v>3.05</v>
      </c>
    </row>
    <row r="568" spans="6:8" x14ac:dyDescent="0.3">
      <c r="F568" s="19">
        <v>563</v>
      </c>
      <c r="G568" s="22">
        <v>45368</v>
      </c>
      <c r="H568" s="19" cm="1">
        <f t="array" ref="H568">_xlfn.XLOOKUP(MONTH(G568) &amp; YEAR(G568),MONTH($B$6:$B$38) &amp; YEAR($B$6:$B$38),$C$6:$C$38)</f>
        <v>3.05</v>
      </c>
    </row>
    <row r="569" spans="6:8" x14ac:dyDescent="0.3">
      <c r="F569" s="19">
        <v>564</v>
      </c>
      <c r="G569" s="22">
        <v>45367</v>
      </c>
      <c r="H569" s="19" cm="1">
        <f t="array" ref="H569">_xlfn.XLOOKUP(MONTH(G569) &amp; YEAR(G569),MONTH($B$6:$B$38) &amp; YEAR($B$6:$B$38),$C$6:$C$38)</f>
        <v>3.05</v>
      </c>
    </row>
    <row r="570" spans="6:8" x14ac:dyDescent="0.3">
      <c r="F570" s="19">
        <v>565</v>
      </c>
      <c r="G570" s="22">
        <v>45366</v>
      </c>
      <c r="H570" s="19" cm="1">
        <f t="array" ref="H570">_xlfn.XLOOKUP(MONTH(G570) &amp; YEAR(G570),MONTH($B$6:$B$38) &amp; YEAR($B$6:$B$38),$C$6:$C$38)</f>
        <v>3.05</v>
      </c>
    </row>
    <row r="571" spans="6:8" x14ac:dyDescent="0.3">
      <c r="F571" s="19">
        <v>566</v>
      </c>
      <c r="G571" s="22">
        <v>45365</v>
      </c>
      <c r="H571" s="19" cm="1">
        <f t="array" ref="H571">_xlfn.XLOOKUP(MONTH(G571) &amp; YEAR(G571),MONTH($B$6:$B$38) &amp; YEAR($B$6:$B$38),$C$6:$C$38)</f>
        <v>3.05</v>
      </c>
    </row>
    <row r="572" spans="6:8" x14ac:dyDescent="0.3">
      <c r="F572" s="19">
        <v>567</v>
      </c>
      <c r="G572" s="22">
        <v>45364</v>
      </c>
      <c r="H572" s="19" cm="1">
        <f t="array" ref="H572">_xlfn.XLOOKUP(MONTH(G572) &amp; YEAR(G572),MONTH($B$6:$B$38) &amp; YEAR($B$6:$B$38),$C$6:$C$38)</f>
        <v>3.05</v>
      </c>
    </row>
    <row r="573" spans="6:8" x14ac:dyDescent="0.3">
      <c r="F573" s="19">
        <v>568</v>
      </c>
      <c r="G573" s="22">
        <v>45363</v>
      </c>
      <c r="H573" s="19" cm="1">
        <f t="array" ref="H573">_xlfn.XLOOKUP(MONTH(G573) &amp; YEAR(G573),MONTH($B$6:$B$38) &amp; YEAR($B$6:$B$38),$C$6:$C$38)</f>
        <v>3.05</v>
      </c>
    </row>
    <row r="574" spans="6:8" x14ac:dyDescent="0.3">
      <c r="F574" s="19">
        <v>569</v>
      </c>
      <c r="G574" s="22">
        <v>45362</v>
      </c>
      <c r="H574" s="19" cm="1">
        <f t="array" ref="H574">_xlfn.XLOOKUP(MONTH(G574) &amp; YEAR(G574),MONTH($B$6:$B$38) &amp; YEAR($B$6:$B$38),$C$6:$C$38)</f>
        <v>3.05</v>
      </c>
    </row>
    <row r="575" spans="6:8" x14ac:dyDescent="0.3">
      <c r="F575" s="19">
        <v>570</v>
      </c>
      <c r="G575" s="22">
        <v>45361</v>
      </c>
      <c r="H575" s="19" cm="1">
        <f t="array" ref="H575">_xlfn.XLOOKUP(MONTH(G575) &amp; YEAR(G575),MONTH($B$6:$B$38) &amp; YEAR($B$6:$B$38),$C$6:$C$38)</f>
        <v>3.05</v>
      </c>
    </row>
    <row r="576" spans="6:8" x14ac:dyDescent="0.3">
      <c r="F576" s="19">
        <v>571</v>
      </c>
      <c r="G576" s="22">
        <v>45360</v>
      </c>
      <c r="H576" s="19" cm="1">
        <f t="array" ref="H576">_xlfn.XLOOKUP(MONTH(G576) &amp; YEAR(G576),MONTH($B$6:$B$38) &amp; YEAR($B$6:$B$38),$C$6:$C$38)</f>
        <v>3.05</v>
      </c>
    </row>
    <row r="577" spans="6:8" x14ac:dyDescent="0.3">
      <c r="F577" s="19">
        <v>572</v>
      </c>
      <c r="G577" s="22">
        <v>45359</v>
      </c>
      <c r="H577" s="19" cm="1">
        <f t="array" ref="H577">_xlfn.XLOOKUP(MONTH(G577) &amp; YEAR(G577),MONTH($B$6:$B$38) &amp; YEAR($B$6:$B$38),$C$6:$C$38)</f>
        <v>3.05</v>
      </c>
    </row>
    <row r="578" spans="6:8" x14ac:dyDescent="0.3">
      <c r="F578" s="19">
        <v>573</v>
      </c>
      <c r="G578" s="22">
        <v>45358</v>
      </c>
      <c r="H578" s="19" cm="1">
        <f t="array" ref="H578">_xlfn.XLOOKUP(MONTH(G578) &amp; YEAR(G578),MONTH($B$6:$B$38) &amp; YEAR($B$6:$B$38),$C$6:$C$38)</f>
        <v>3.05</v>
      </c>
    </row>
    <row r="579" spans="6:8" x14ac:dyDescent="0.3">
      <c r="F579" s="19">
        <v>574</v>
      </c>
      <c r="G579" s="22">
        <v>45357</v>
      </c>
      <c r="H579" s="19" cm="1">
        <f t="array" ref="H579">_xlfn.XLOOKUP(MONTH(G579) &amp; YEAR(G579),MONTH($B$6:$B$38) &amp; YEAR($B$6:$B$38),$C$6:$C$38)</f>
        <v>3.05</v>
      </c>
    </row>
    <row r="580" spans="6:8" x14ac:dyDescent="0.3">
      <c r="F580" s="19">
        <v>575</v>
      </c>
      <c r="G580" s="22">
        <v>45356</v>
      </c>
      <c r="H580" s="19" cm="1">
        <f t="array" ref="H580">_xlfn.XLOOKUP(MONTH(G580) &amp; YEAR(G580),MONTH($B$6:$B$38) &amp; YEAR($B$6:$B$38),$C$6:$C$38)</f>
        <v>3.05</v>
      </c>
    </row>
    <row r="581" spans="6:8" x14ac:dyDescent="0.3">
      <c r="F581" s="19">
        <v>576</v>
      </c>
      <c r="G581" s="22">
        <v>45355</v>
      </c>
      <c r="H581" s="19" cm="1">
        <f t="array" ref="H581">_xlfn.XLOOKUP(MONTH(G581) &amp; YEAR(G581),MONTH($B$6:$B$38) &amp; YEAR($B$6:$B$38),$C$6:$C$38)</f>
        <v>3.05</v>
      </c>
    </row>
    <row r="582" spans="6:8" x14ac:dyDescent="0.3">
      <c r="F582" s="19">
        <v>577</v>
      </c>
      <c r="G582" s="22">
        <v>45354</v>
      </c>
      <c r="H582" s="19" cm="1">
        <f t="array" ref="H582">_xlfn.XLOOKUP(MONTH(G582) &amp; YEAR(G582),MONTH($B$6:$B$38) &amp; YEAR($B$6:$B$38),$C$6:$C$38)</f>
        <v>3.05</v>
      </c>
    </row>
    <row r="583" spans="6:8" x14ac:dyDescent="0.3">
      <c r="F583" s="19">
        <v>578</v>
      </c>
      <c r="G583" s="22">
        <v>45353</v>
      </c>
      <c r="H583" s="19" cm="1">
        <f t="array" ref="H583">_xlfn.XLOOKUP(MONTH(G583) &amp; YEAR(G583),MONTH($B$6:$B$38) &amp; YEAR($B$6:$B$38),$C$6:$C$38)</f>
        <v>3.05</v>
      </c>
    </row>
    <row r="584" spans="6:8" x14ac:dyDescent="0.3">
      <c r="F584" s="19">
        <v>579</v>
      </c>
      <c r="G584" s="22">
        <v>45352</v>
      </c>
      <c r="H584" s="19" cm="1">
        <f t="array" ref="H584">_xlfn.XLOOKUP(MONTH(G584) &amp; YEAR(G584),MONTH($B$6:$B$38) &amp; YEAR($B$6:$B$38),$C$6:$C$38)</f>
        <v>3.05</v>
      </c>
    </row>
    <row r="585" spans="6:8" x14ac:dyDescent="0.3">
      <c r="F585" s="19">
        <v>580</v>
      </c>
      <c r="G585" s="22">
        <v>45351</v>
      </c>
      <c r="H585" s="19" cm="1">
        <f t="array" ref="H585">_xlfn.XLOOKUP(MONTH(G585) &amp; YEAR(G585),MONTH($B$6:$B$38) &amp; YEAR($B$6:$B$38),$C$6:$C$38)</f>
        <v>2.75</v>
      </c>
    </row>
    <row r="586" spans="6:8" x14ac:dyDescent="0.3">
      <c r="F586" s="19">
        <v>581</v>
      </c>
      <c r="G586" s="22">
        <v>45350</v>
      </c>
      <c r="H586" s="19" cm="1">
        <f t="array" ref="H586">_xlfn.XLOOKUP(MONTH(G586) &amp; YEAR(G586),MONTH($B$6:$B$38) &amp; YEAR($B$6:$B$38),$C$6:$C$38)</f>
        <v>2.75</v>
      </c>
    </row>
    <row r="587" spans="6:8" x14ac:dyDescent="0.3">
      <c r="F587" s="19">
        <v>582</v>
      </c>
      <c r="G587" s="22">
        <v>45349</v>
      </c>
      <c r="H587" s="19" cm="1">
        <f t="array" ref="H587">_xlfn.XLOOKUP(MONTH(G587) &amp; YEAR(G587),MONTH($B$6:$B$38) &amp; YEAR($B$6:$B$38),$C$6:$C$38)</f>
        <v>2.75</v>
      </c>
    </row>
    <row r="588" spans="6:8" x14ac:dyDescent="0.3">
      <c r="F588" s="19">
        <v>583</v>
      </c>
      <c r="G588" s="22">
        <v>45348</v>
      </c>
      <c r="H588" s="19" cm="1">
        <f t="array" ref="H588">_xlfn.XLOOKUP(MONTH(G588) &amp; YEAR(G588),MONTH($B$6:$B$38) &amp; YEAR($B$6:$B$38),$C$6:$C$38)</f>
        <v>2.75</v>
      </c>
    </row>
    <row r="589" spans="6:8" x14ac:dyDescent="0.3">
      <c r="F589" s="19">
        <v>584</v>
      </c>
      <c r="G589" s="22">
        <v>45347</v>
      </c>
      <c r="H589" s="19" cm="1">
        <f t="array" ref="H589">_xlfn.XLOOKUP(MONTH(G589) &amp; YEAR(G589),MONTH($B$6:$B$38) &amp; YEAR($B$6:$B$38),$C$6:$C$38)</f>
        <v>2.75</v>
      </c>
    </row>
    <row r="590" spans="6:8" x14ac:dyDescent="0.3">
      <c r="F590" s="19">
        <v>585</v>
      </c>
      <c r="G590" s="22">
        <v>45346</v>
      </c>
      <c r="H590" s="19" cm="1">
        <f t="array" ref="H590">_xlfn.XLOOKUP(MONTH(G590) &amp; YEAR(G590),MONTH($B$6:$B$38) &amp; YEAR($B$6:$B$38),$C$6:$C$38)</f>
        <v>2.75</v>
      </c>
    </row>
    <row r="591" spans="6:8" x14ac:dyDescent="0.3">
      <c r="F591" s="19">
        <v>586</v>
      </c>
      <c r="G591" s="22">
        <v>45345</v>
      </c>
      <c r="H591" s="19" cm="1">
        <f t="array" ref="H591">_xlfn.XLOOKUP(MONTH(G591) &amp; YEAR(G591),MONTH($B$6:$B$38) &amp; YEAR($B$6:$B$38),$C$6:$C$38)</f>
        <v>2.75</v>
      </c>
    </row>
    <row r="592" spans="6:8" x14ac:dyDescent="0.3">
      <c r="F592" s="19">
        <v>587</v>
      </c>
      <c r="G592" s="22">
        <v>45344</v>
      </c>
      <c r="H592" s="19" cm="1">
        <f t="array" ref="H592">_xlfn.XLOOKUP(MONTH(G592) &amp; YEAR(G592),MONTH($B$6:$B$38) &amp; YEAR($B$6:$B$38),$C$6:$C$38)</f>
        <v>2.75</v>
      </c>
    </row>
    <row r="593" spans="6:8" x14ac:dyDescent="0.3">
      <c r="F593" s="19">
        <v>588</v>
      </c>
      <c r="G593" s="22">
        <v>45343</v>
      </c>
      <c r="H593" s="19" cm="1">
        <f t="array" ref="H593">_xlfn.XLOOKUP(MONTH(G593) &amp; YEAR(G593),MONTH($B$6:$B$38) &amp; YEAR($B$6:$B$38),$C$6:$C$38)</f>
        <v>2.75</v>
      </c>
    </row>
    <row r="594" spans="6:8" x14ac:dyDescent="0.3">
      <c r="F594" s="19">
        <v>589</v>
      </c>
      <c r="G594" s="22">
        <v>45342</v>
      </c>
      <c r="H594" s="19" cm="1">
        <f t="array" ref="H594">_xlfn.XLOOKUP(MONTH(G594) &amp; YEAR(G594),MONTH($B$6:$B$38) &amp; YEAR($B$6:$B$38),$C$6:$C$38)</f>
        <v>2.75</v>
      </c>
    </row>
    <row r="595" spans="6:8" x14ac:dyDescent="0.3">
      <c r="F595" s="19">
        <v>590</v>
      </c>
      <c r="G595" s="22">
        <v>45341</v>
      </c>
      <c r="H595" s="19" cm="1">
        <f t="array" ref="H595">_xlfn.XLOOKUP(MONTH(G595) &amp; YEAR(G595),MONTH($B$6:$B$38) &amp; YEAR($B$6:$B$38),$C$6:$C$38)</f>
        <v>2.75</v>
      </c>
    </row>
    <row r="596" spans="6:8" x14ac:dyDescent="0.3">
      <c r="F596" s="19">
        <v>591</v>
      </c>
      <c r="G596" s="22">
        <v>45340</v>
      </c>
      <c r="H596" s="19" cm="1">
        <f t="array" ref="H596">_xlfn.XLOOKUP(MONTH(G596) &amp; YEAR(G596),MONTH($B$6:$B$38) &amp; YEAR($B$6:$B$38),$C$6:$C$38)</f>
        <v>2.75</v>
      </c>
    </row>
    <row r="597" spans="6:8" x14ac:dyDescent="0.3">
      <c r="F597" s="19">
        <v>592</v>
      </c>
      <c r="G597" s="22">
        <v>45339</v>
      </c>
      <c r="H597" s="19" cm="1">
        <f t="array" ref="H597">_xlfn.XLOOKUP(MONTH(G597) &amp; YEAR(G597),MONTH($B$6:$B$38) &amp; YEAR($B$6:$B$38),$C$6:$C$38)</f>
        <v>2.75</v>
      </c>
    </row>
    <row r="598" spans="6:8" x14ac:dyDescent="0.3">
      <c r="F598" s="19">
        <v>593</v>
      </c>
      <c r="G598" s="22">
        <v>45338</v>
      </c>
      <c r="H598" s="19" cm="1">
        <f t="array" ref="H598">_xlfn.XLOOKUP(MONTH(G598) &amp; YEAR(G598),MONTH($B$6:$B$38) &amp; YEAR($B$6:$B$38),$C$6:$C$38)</f>
        <v>2.75</v>
      </c>
    </row>
    <row r="599" spans="6:8" x14ac:dyDescent="0.3">
      <c r="F599" s="19">
        <v>594</v>
      </c>
      <c r="G599" s="22">
        <v>45337</v>
      </c>
      <c r="H599" s="19" cm="1">
        <f t="array" ref="H599">_xlfn.XLOOKUP(MONTH(G599) &amp; YEAR(G599),MONTH($B$6:$B$38) &amp; YEAR($B$6:$B$38),$C$6:$C$38)</f>
        <v>2.75</v>
      </c>
    </row>
    <row r="600" spans="6:8" x14ac:dyDescent="0.3">
      <c r="F600" s="19">
        <v>595</v>
      </c>
      <c r="G600" s="22">
        <v>45336</v>
      </c>
      <c r="H600" s="19" cm="1">
        <f t="array" ref="H600">_xlfn.XLOOKUP(MONTH(G600) &amp; YEAR(G600),MONTH($B$6:$B$38) &amp; YEAR($B$6:$B$38),$C$6:$C$38)</f>
        <v>2.75</v>
      </c>
    </row>
    <row r="601" spans="6:8" x14ac:dyDescent="0.3">
      <c r="F601" s="19">
        <v>596</v>
      </c>
      <c r="G601" s="22">
        <v>45335</v>
      </c>
      <c r="H601" s="19" cm="1">
        <f t="array" ref="H601">_xlfn.XLOOKUP(MONTH(G601) &amp; YEAR(G601),MONTH($B$6:$B$38) &amp; YEAR($B$6:$B$38),$C$6:$C$38)</f>
        <v>2.75</v>
      </c>
    </row>
    <row r="602" spans="6:8" x14ac:dyDescent="0.3">
      <c r="F602" s="19">
        <v>597</v>
      </c>
      <c r="G602" s="22">
        <v>45334</v>
      </c>
      <c r="H602" s="19" cm="1">
        <f t="array" ref="H602">_xlfn.XLOOKUP(MONTH(G602) &amp; YEAR(G602),MONTH($B$6:$B$38) &amp; YEAR($B$6:$B$38),$C$6:$C$38)</f>
        <v>2.75</v>
      </c>
    </row>
    <row r="603" spans="6:8" x14ac:dyDescent="0.3">
      <c r="F603" s="19">
        <v>598</v>
      </c>
      <c r="G603" s="22">
        <v>45333</v>
      </c>
      <c r="H603" s="19" cm="1">
        <f t="array" ref="H603">_xlfn.XLOOKUP(MONTH(G603) &amp; YEAR(G603),MONTH($B$6:$B$38) &amp; YEAR($B$6:$B$38),$C$6:$C$38)</f>
        <v>2.75</v>
      </c>
    </row>
    <row r="604" spans="6:8" x14ac:dyDescent="0.3">
      <c r="F604" s="19">
        <v>599</v>
      </c>
      <c r="G604" s="22">
        <v>45332</v>
      </c>
      <c r="H604" s="19" cm="1">
        <f t="array" ref="H604">_xlfn.XLOOKUP(MONTH(G604) &amp; YEAR(G604),MONTH($B$6:$B$38) &amp; YEAR($B$6:$B$38),$C$6:$C$38)</f>
        <v>2.75</v>
      </c>
    </row>
    <row r="605" spans="6:8" x14ac:dyDescent="0.3">
      <c r="F605" s="19">
        <v>600</v>
      </c>
      <c r="G605" s="22">
        <v>45331</v>
      </c>
      <c r="H605" s="19" cm="1">
        <f t="array" ref="H605">_xlfn.XLOOKUP(MONTH(G605) &amp; YEAR(G605),MONTH($B$6:$B$38) &amp; YEAR($B$6:$B$38),$C$6:$C$38)</f>
        <v>2.75</v>
      </c>
    </row>
    <row r="606" spans="6:8" x14ac:dyDescent="0.3">
      <c r="F606" s="19">
        <v>601</v>
      </c>
      <c r="G606" s="22">
        <v>45330</v>
      </c>
      <c r="H606" s="19" cm="1">
        <f t="array" ref="H606">_xlfn.XLOOKUP(MONTH(G606) &amp; YEAR(G606),MONTH($B$6:$B$38) &amp; YEAR($B$6:$B$38),$C$6:$C$38)</f>
        <v>2.75</v>
      </c>
    </row>
    <row r="607" spans="6:8" x14ac:dyDescent="0.3">
      <c r="F607" s="19">
        <v>602</v>
      </c>
      <c r="G607" s="22">
        <v>45329</v>
      </c>
      <c r="H607" s="19" cm="1">
        <f t="array" ref="H607">_xlfn.XLOOKUP(MONTH(G607) &amp; YEAR(G607),MONTH($B$6:$B$38) &amp; YEAR($B$6:$B$38),$C$6:$C$38)</f>
        <v>2.75</v>
      </c>
    </row>
    <row r="608" spans="6:8" x14ac:dyDescent="0.3">
      <c r="F608" s="19">
        <v>603</v>
      </c>
      <c r="G608" s="22">
        <v>45328</v>
      </c>
      <c r="H608" s="19" cm="1">
        <f t="array" ref="H608">_xlfn.XLOOKUP(MONTH(G608) &amp; YEAR(G608),MONTH($B$6:$B$38) &amp; YEAR($B$6:$B$38),$C$6:$C$38)</f>
        <v>2.75</v>
      </c>
    </row>
    <row r="609" spans="6:8" x14ac:dyDescent="0.3">
      <c r="F609" s="19">
        <v>604</v>
      </c>
      <c r="G609" s="22">
        <v>45327</v>
      </c>
      <c r="H609" s="19" cm="1">
        <f t="array" ref="H609">_xlfn.XLOOKUP(MONTH(G609) &amp; YEAR(G609),MONTH($B$6:$B$38) &amp; YEAR($B$6:$B$38),$C$6:$C$38)</f>
        <v>2.75</v>
      </c>
    </row>
    <row r="610" spans="6:8" x14ac:dyDescent="0.3">
      <c r="F610" s="19">
        <v>605</v>
      </c>
      <c r="G610" s="22">
        <v>45326</v>
      </c>
      <c r="H610" s="19" cm="1">
        <f t="array" ref="H610">_xlfn.XLOOKUP(MONTH(G610) &amp; YEAR(G610),MONTH($B$6:$B$38) &amp; YEAR($B$6:$B$38),$C$6:$C$38)</f>
        <v>2.75</v>
      </c>
    </row>
    <row r="611" spans="6:8" x14ac:dyDescent="0.3">
      <c r="F611" s="19">
        <v>606</v>
      </c>
      <c r="G611" s="22">
        <v>45325</v>
      </c>
      <c r="H611" s="19" cm="1">
        <f t="array" ref="H611">_xlfn.XLOOKUP(MONTH(G611) &amp; YEAR(G611),MONTH($B$6:$B$38) &amp; YEAR($B$6:$B$38),$C$6:$C$38)</f>
        <v>2.75</v>
      </c>
    </row>
    <row r="612" spans="6:8" x14ac:dyDescent="0.3">
      <c r="F612" s="19">
        <v>607</v>
      </c>
      <c r="G612" s="22">
        <v>45324</v>
      </c>
      <c r="H612" s="19" cm="1">
        <f t="array" ref="H612">_xlfn.XLOOKUP(MONTH(G612) &amp; YEAR(G612),MONTH($B$6:$B$38) &amp; YEAR($B$6:$B$38),$C$6:$C$38)</f>
        <v>2.75</v>
      </c>
    </row>
    <row r="613" spans="6:8" x14ac:dyDescent="0.3">
      <c r="F613" s="19">
        <v>608</v>
      </c>
      <c r="G613" s="22">
        <v>45323</v>
      </c>
      <c r="H613" s="19" cm="1">
        <f t="array" ref="H613">_xlfn.XLOOKUP(MONTH(G613) &amp; YEAR(G613),MONTH($B$6:$B$38) &amp; YEAR($B$6:$B$38),$C$6:$C$38)</f>
        <v>2.75</v>
      </c>
    </row>
    <row r="614" spans="6:8" x14ac:dyDescent="0.3">
      <c r="F614" s="19">
        <v>609</v>
      </c>
      <c r="G614" s="22">
        <v>45322</v>
      </c>
      <c r="H614" s="19" cm="1">
        <f t="array" ref="H614">_xlfn.XLOOKUP(MONTH(G614) &amp; YEAR(G614),MONTH($B$6:$B$38) &amp; YEAR($B$6:$B$38),$C$6:$C$38)</f>
        <v>2.57</v>
      </c>
    </row>
    <row r="615" spans="6:8" x14ac:dyDescent="0.3">
      <c r="F615" s="19">
        <v>610</v>
      </c>
      <c r="G615" s="22">
        <v>45321</v>
      </c>
      <c r="H615" s="19" cm="1">
        <f t="array" ref="H615">_xlfn.XLOOKUP(MONTH(G615) &amp; YEAR(G615),MONTH($B$6:$B$38) &amp; YEAR($B$6:$B$38),$C$6:$C$38)</f>
        <v>2.57</v>
      </c>
    </row>
    <row r="616" spans="6:8" x14ac:dyDescent="0.3">
      <c r="F616" s="19">
        <v>611</v>
      </c>
      <c r="G616" s="22">
        <v>45320</v>
      </c>
      <c r="H616" s="19" cm="1">
        <f t="array" ref="H616">_xlfn.XLOOKUP(MONTH(G616) &amp; YEAR(G616),MONTH($B$6:$B$38) &amp; YEAR($B$6:$B$38),$C$6:$C$38)</f>
        <v>2.57</v>
      </c>
    </row>
    <row r="617" spans="6:8" x14ac:dyDescent="0.3">
      <c r="F617" s="19">
        <v>612</v>
      </c>
      <c r="G617" s="22">
        <v>45319</v>
      </c>
      <c r="H617" s="19" cm="1">
        <f t="array" ref="H617">_xlfn.XLOOKUP(MONTH(G617) &amp; YEAR(G617),MONTH($B$6:$B$38) &amp; YEAR($B$6:$B$38),$C$6:$C$38)</f>
        <v>2.57</v>
      </c>
    </row>
    <row r="618" spans="6:8" x14ac:dyDescent="0.3">
      <c r="F618" s="19">
        <v>613</v>
      </c>
      <c r="G618" s="22">
        <v>45318</v>
      </c>
      <c r="H618" s="19" cm="1">
        <f t="array" ref="H618">_xlfn.XLOOKUP(MONTH(G618) &amp; YEAR(G618),MONTH($B$6:$B$38) &amp; YEAR($B$6:$B$38),$C$6:$C$38)</f>
        <v>2.57</v>
      </c>
    </row>
    <row r="619" spans="6:8" x14ac:dyDescent="0.3">
      <c r="F619" s="19">
        <v>614</v>
      </c>
      <c r="G619" s="22">
        <v>45317</v>
      </c>
      <c r="H619" s="19" cm="1">
        <f t="array" ref="H619">_xlfn.XLOOKUP(MONTH(G619) &amp; YEAR(G619),MONTH($B$6:$B$38) &amp; YEAR($B$6:$B$38),$C$6:$C$38)</f>
        <v>2.57</v>
      </c>
    </row>
    <row r="620" spans="6:8" x14ac:dyDescent="0.3">
      <c r="F620" s="19">
        <v>615</v>
      </c>
      <c r="G620" s="22">
        <v>45316</v>
      </c>
      <c r="H620" s="19" cm="1">
        <f t="array" ref="H620">_xlfn.XLOOKUP(MONTH(G620) &amp; YEAR(G620),MONTH($B$6:$B$38) &amp; YEAR($B$6:$B$38),$C$6:$C$38)</f>
        <v>2.57</v>
      </c>
    </row>
    <row r="621" spans="6:8" x14ac:dyDescent="0.3">
      <c r="F621" s="19">
        <v>616</v>
      </c>
      <c r="G621" s="22">
        <v>45315</v>
      </c>
      <c r="H621" s="19" cm="1">
        <f t="array" ref="H621">_xlfn.XLOOKUP(MONTH(G621) &amp; YEAR(G621),MONTH($B$6:$B$38) &amp; YEAR($B$6:$B$38),$C$6:$C$38)</f>
        <v>2.57</v>
      </c>
    </row>
    <row r="622" spans="6:8" x14ac:dyDescent="0.3">
      <c r="F622" s="19">
        <v>617</v>
      </c>
      <c r="G622" s="22">
        <v>45314</v>
      </c>
      <c r="H622" s="19" cm="1">
        <f t="array" ref="H622">_xlfn.XLOOKUP(MONTH(G622) &amp; YEAR(G622),MONTH($B$6:$B$38) &amp; YEAR($B$6:$B$38),$C$6:$C$38)</f>
        <v>2.57</v>
      </c>
    </row>
    <row r="623" spans="6:8" x14ac:dyDescent="0.3">
      <c r="F623" s="19">
        <v>618</v>
      </c>
      <c r="G623" s="22">
        <v>45313</v>
      </c>
      <c r="H623" s="19" cm="1">
        <f t="array" ref="H623">_xlfn.XLOOKUP(MONTH(G623) &amp; YEAR(G623),MONTH($B$6:$B$38) &amp; YEAR($B$6:$B$38),$C$6:$C$38)</f>
        <v>2.57</v>
      </c>
    </row>
    <row r="624" spans="6:8" x14ac:dyDescent="0.3">
      <c r="F624" s="19">
        <v>619</v>
      </c>
      <c r="G624" s="22">
        <v>45312</v>
      </c>
      <c r="H624" s="19" cm="1">
        <f t="array" ref="H624">_xlfn.XLOOKUP(MONTH(G624) &amp; YEAR(G624),MONTH($B$6:$B$38) &amp; YEAR($B$6:$B$38),$C$6:$C$38)</f>
        <v>2.57</v>
      </c>
    </row>
    <row r="625" spans="6:8" x14ac:dyDescent="0.3">
      <c r="F625" s="19">
        <v>620</v>
      </c>
      <c r="G625" s="22">
        <v>45311</v>
      </c>
      <c r="H625" s="19" cm="1">
        <f t="array" ref="H625">_xlfn.XLOOKUP(MONTH(G625) &amp; YEAR(G625),MONTH($B$6:$B$38) &amp; YEAR($B$6:$B$38),$C$6:$C$38)</f>
        <v>2.57</v>
      </c>
    </row>
    <row r="626" spans="6:8" x14ac:dyDescent="0.3">
      <c r="F626" s="19">
        <v>621</v>
      </c>
      <c r="G626" s="22">
        <v>45310</v>
      </c>
      <c r="H626" s="19" cm="1">
        <f t="array" ref="H626">_xlfn.XLOOKUP(MONTH(G626) &amp; YEAR(G626),MONTH($B$6:$B$38) &amp; YEAR($B$6:$B$38),$C$6:$C$38)</f>
        <v>2.57</v>
      </c>
    </row>
    <row r="627" spans="6:8" x14ac:dyDescent="0.3">
      <c r="F627" s="19">
        <v>622</v>
      </c>
      <c r="G627" s="22">
        <v>45309</v>
      </c>
      <c r="H627" s="19" cm="1">
        <f t="array" ref="H627">_xlfn.XLOOKUP(MONTH(G627) &amp; YEAR(G627),MONTH($B$6:$B$38) &amp; YEAR($B$6:$B$38),$C$6:$C$38)</f>
        <v>2.57</v>
      </c>
    </row>
    <row r="628" spans="6:8" x14ac:dyDescent="0.3">
      <c r="F628" s="19">
        <v>623</v>
      </c>
      <c r="G628" s="22">
        <v>45308</v>
      </c>
      <c r="H628" s="19" cm="1">
        <f t="array" ref="H628">_xlfn.XLOOKUP(MONTH(G628) &amp; YEAR(G628),MONTH($B$6:$B$38) &amp; YEAR($B$6:$B$38),$C$6:$C$38)</f>
        <v>2.57</v>
      </c>
    </row>
    <row r="629" spans="6:8" x14ac:dyDescent="0.3">
      <c r="F629" s="19">
        <v>624</v>
      </c>
      <c r="G629" s="22">
        <v>45307</v>
      </c>
      <c r="H629" s="19" cm="1">
        <f t="array" ref="H629">_xlfn.XLOOKUP(MONTH(G629) &amp; YEAR(G629),MONTH($B$6:$B$38) &amp; YEAR($B$6:$B$38),$C$6:$C$38)</f>
        <v>2.57</v>
      </c>
    </row>
    <row r="630" spans="6:8" x14ac:dyDescent="0.3">
      <c r="F630" s="19">
        <v>625</v>
      </c>
      <c r="G630" s="22">
        <v>45306</v>
      </c>
      <c r="H630" s="19" cm="1">
        <f t="array" ref="H630">_xlfn.XLOOKUP(MONTH(G630) &amp; YEAR(G630),MONTH($B$6:$B$38) &amp; YEAR($B$6:$B$38),$C$6:$C$38)</f>
        <v>2.57</v>
      </c>
    </row>
    <row r="631" spans="6:8" x14ac:dyDescent="0.3">
      <c r="F631" s="19">
        <v>626</v>
      </c>
      <c r="G631" s="22">
        <v>45305</v>
      </c>
      <c r="H631" s="19" cm="1">
        <f t="array" ref="H631">_xlfn.XLOOKUP(MONTH(G631) &amp; YEAR(G631),MONTH($B$6:$B$38) &amp; YEAR($B$6:$B$38),$C$6:$C$38)</f>
        <v>2.57</v>
      </c>
    </row>
    <row r="632" spans="6:8" x14ac:dyDescent="0.3">
      <c r="F632" s="19">
        <v>627</v>
      </c>
      <c r="G632" s="22">
        <v>45304</v>
      </c>
      <c r="H632" s="19" cm="1">
        <f t="array" ref="H632">_xlfn.XLOOKUP(MONTH(G632) &amp; YEAR(G632),MONTH($B$6:$B$38) &amp; YEAR($B$6:$B$38),$C$6:$C$38)</f>
        <v>2.57</v>
      </c>
    </row>
    <row r="633" spans="6:8" x14ac:dyDescent="0.3">
      <c r="F633" s="19">
        <v>628</v>
      </c>
      <c r="G633" s="22">
        <v>45303</v>
      </c>
      <c r="H633" s="19" cm="1">
        <f t="array" ref="H633">_xlfn.XLOOKUP(MONTH(G633) &amp; YEAR(G633),MONTH($B$6:$B$38) &amp; YEAR($B$6:$B$38),$C$6:$C$38)</f>
        <v>2.57</v>
      </c>
    </row>
    <row r="634" spans="6:8" x14ac:dyDescent="0.3">
      <c r="F634" s="19">
        <v>629</v>
      </c>
      <c r="G634" s="22">
        <v>45302</v>
      </c>
      <c r="H634" s="19" cm="1">
        <f t="array" ref="H634">_xlfn.XLOOKUP(MONTH(G634) &amp; YEAR(G634),MONTH($B$6:$B$38) &amp; YEAR($B$6:$B$38),$C$6:$C$38)</f>
        <v>2.57</v>
      </c>
    </row>
    <row r="635" spans="6:8" x14ac:dyDescent="0.3">
      <c r="F635" s="19">
        <v>630</v>
      </c>
      <c r="G635" s="22">
        <v>45301</v>
      </c>
      <c r="H635" s="19" cm="1">
        <f t="array" ref="H635">_xlfn.XLOOKUP(MONTH(G635) &amp; YEAR(G635),MONTH($B$6:$B$38) &amp; YEAR($B$6:$B$38),$C$6:$C$38)</f>
        <v>2.57</v>
      </c>
    </row>
    <row r="636" spans="6:8" x14ac:dyDescent="0.3">
      <c r="F636" s="19">
        <v>631</v>
      </c>
      <c r="G636" s="22">
        <v>45300</v>
      </c>
      <c r="H636" s="19" cm="1">
        <f t="array" ref="H636">_xlfn.XLOOKUP(MONTH(G636) &amp; YEAR(G636),MONTH($B$6:$B$38) &amp; YEAR($B$6:$B$38),$C$6:$C$38)</f>
        <v>2.57</v>
      </c>
    </row>
    <row r="637" spans="6:8" x14ac:dyDescent="0.3">
      <c r="F637" s="19">
        <v>632</v>
      </c>
      <c r="G637" s="22">
        <v>45299</v>
      </c>
      <c r="H637" s="19" cm="1">
        <f t="array" ref="H637">_xlfn.XLOOKUP(MONTH(G637) &amp; YEAR(G637),MONTH($B$6:$B$38) &amp; YEAR($B$6:$B$38),$C$6:$C$38)</f>
        <v>2.57</v>
      </c>
    </row>
    <row r="638" spans="6:8" x14ac:dyDescent="0.3">
      <c r="F638" s="19">
        <v>633</v>
      </c>
      <c r="G638" s="22">
        <v>45298</v>
      </c>
      <c r="H638" s="19" cm="1">
        <f t="array" ref="H638">_xlfn.XLOOKUP(MONTH(G638) &amp; YEAR(G638),MONTH($B$6:$B$38) &amp; YEAR($B$6:$B$38),$C$6:$C$38)</f>
        <v>2.57</v>
      </c>
    </row>
    <row r="639" spans="6:8" x14ac:dyDescent="0.3">
      <c r="F639" s="19">
        <v>634</v>
      </c>
      <c r="G639" s="22">
        <v>45297</v>
      </c>
      <c r="H639" s="19" cm="1">
        <f t="array" ref="H639">_xlfn.XLOOKUP(MONTH(G639) &amp; YEAR(G639),MONTH($B$6:$B$38) &amp; YEAR($B$6:$B$38),$C$6:$C$38)</f>
        <v>2.57</v>
      </c>
    </row>
    <row r="640" spans="6:8" x14ac:dyDescent="0.3">
      <c r="F640" s="19">
        <v>635</v>
      </c>
      <c r="G640" s="22">
        <v>45296</v>
      </c>
      <c r="H640" s="19" cm="1">
        <f t="array" ref="H640">_xlfn.XLOOKUP(MONTH(G640) &amp; YEAR(G640),MONTH($B$6:$B$38) &amp; YEAR($B$6:$B$38),$C$6:$C$38)</f>
        <v>2.57</v>
      </c>
    </row>
    <row r="641" spans="6:8" x14ac:dyDescent="0.3">
      <c r="F641" s="19">
        <v>636</v>
      </c>
      <c r="G641" s="22">
        <v>45295</v>
      </c>
      <c r="H641" s="19" cm="1">
        <f t="array" ref="H641">_xlfn.XLOOKUP(MONTH(G641) &amp; YEAR(G641),MONTH($B$6:$B$38) &amp; YEAR($B$6:$B$38),$C$6:$C$38)</f>
        <v>2.57</v>
      </c>
    </row>
    <row r="642" spans="6:8" x14ac:dyDescent="0.3">
      <c r="F642" s="19">
        <v>637</v>
      </c>
      <c r="G642" s="22">
        <v>45294</v>
      </c>
      <c r="H642" s="19" cm="1">
        <f t="array" ref="H642">_xlfn.XLOOKUP(MONTH(G642) &amp; YEAR(G642),MONTH($B$6:$B$38) &amp; YEAR($B$6:$B$38),$C$6:$C$38)</f>
        <v>2.57</v>
      </c>
    </row>
    <row r="643" spans="6:8" x14ac:dyDescent="0.3">
      <c r="F643" s="19">
        <v>638</v>
      </c>
      <c r="G643" s="22">
        <v>45293</v>
      </c>
      <c r="H643" s="19" cm="1">
        <f t="array" ref="H643">_xlfn.XLOOKUP(MONTH(G643) &amp; YEAR(G643),MONTH($B$6:$B$38) &amp; YEAR($B$6:$B$38),$C$6:$C$38)</f>
        <v>2.57</v>
      </c>
    </row>
    <row r="644" spans="6:8" x14ac:dyDescent="0.3">
      <c r="F644" s="19">
        <v>639</v>
      </c>
      <c r="G644" s="22">
        <v>45292</v>
      </c>
      <c r="H644" s="19" cm="1">
        <f t="array" ref="H644">_xlfn.XLOOKUP(MONTH(G644) &amp; YEAR(G644),MONTH($B$6:$B$38) &amp; YEAR($B$6:$B$38),$C$6:$C$38)</f>
        <v>2.57</v>
      </c>
    </row>
    <row r="645" spans="6:8" x14ac:dyDescent="0.3">
      <c r="F645" s="19">
        <v>640</v>
      </c>
      <c r="G645" s="22">
        <v>45291</v>
      </c>
      <c r="H645" s="19" cm="1">
        <f t="array" ref="H645">_xlfn.XLOOKUP(MONTH(G645) &amp; YEAR(G645),MONTH($B$6:$B$38) &amp; YEAR($B$6:$B$38),$C$6:$C$38)</f>
        <v>2.61</v>
      </c>
    </row>
    <row r="646" spans="6:8" x14ac:dyDescent="0.3">
      <c r="F646" s="19">
        <v>641</v>
      </c>
      <c r="G646" s="22">
        <v>45290</v>
      </c>
      <c r="H646" s="19" cm="1">
        <f t="array" ref="H646">_xlfn.XLOOKUP(MONTH(G646) &amp; YEAR(G646),MONTH($B$6:$B$38) &amp; YEAR($B$6:$B$38),$C$6:$C$38)</f>
        <v>2.61</v>
      </c>
    </row>
    <row r="647" spans="6:8" x14ac:dyDescent="0.3">
      <c r="F647" s="19">
        <v>642</v>
      </c>
      <c r="G647" s="22">
        <v>45289</v>
      </c>
      <c r="H647" s="19" cm="1">
        <f t="array" ref="H647">_xlfn.XLOOKUP(MONTH(G647) &amp; YEAR(G647),MONTH($B$6:$B$38) &amp; YEAR($B$6:$B$38),$C$6:$C$38)</f>
        <v>2.61</v>
      </c>
    </row>
    <row r="648" spans="6:8" x14ac:dyDescent="0.3">
      <c r="F648" s="19">
        <v>643</v>
      </c>
      <c r="G648" s="22">
        <v>45288</v>
      </c>
      <c r="H648" s="19" cm="1">
        <f t="array" ref="H648">_xlfn.XLOOKUP(MONTH(G648) &amp; YEAR(G648),MONTH($B$6:$B$38) &amp; YEAR($B$6:$B$38),$C$6:$C$38)</f>
        <v>2.61</v>
      </c>
    </row>
    <row r="649" spans="6:8" x14ac:dyDescent="0.3">
      <c r="F649" s="19">
        <v>644</v>
      </c>
      <c r="G649" s="22">
        <v>45287</v>
      </c>
      <c r="H649" s="19" cm="1">
        <f t="array" ref="H649">_xlfn.XLOOKUP(MONTH(G649) &amp; YEAR(G649),MONTH($B$6:$B$38) &amp; YEAR($B$6:$B$38),$C$6:$C$38)</f>
        <v>2.61</v>
      </c>
    </row>
    <row r="650" spans="6:8" x14ac:dyDescent="0.3">
      <c r="F650" s="19">
        <v>645</v>
      </c>
      <c r="G650" s="22">
        <v>45286</v>
      </c>
      <c r="H650" s="19" cm="1">
        <f t="array" ref="H650">_xlfn.XLOOKUP(MONTH(G650) &amp; YEAR(G650),MONTH($B$6:$B$38) &amp; YEAR($B$6:$B$38),$C$6:$C$38)</f>
        <v>2.61</v>
      </c>
    </row>
    <row r="651" spans="6:8" x14ac:dyDescent="0.3">
      <c r="F651" s="19">
        <v>646</v>
      </c>
      <c r="G651" s="22">
        <v>45285</v>
      </c>
      <c r="H651" s="19" cm="1">
        <f t="array" ref="H651">_xlfn.XLOOKUP(MONTH(G651) &amp; YEAR(G651),MONTH($B$6:$B$38) &amp; YEAR($B$6:$B$38),$C$6:$C$38)</f>
        <v>2.61</v>
      </c>
    </row>
    <row r="652" spans="6:8" x14ac:dyDescent="0.3">
      <c r="F652" s="19">
        <v>647</v>
      </c>
      <c r="G652" s="22">
        <v>45284</v>
      </c>
      <c r="H652" s="19" cm="1">
        <f t="array" ref="H652">_xlfn.XLOOKUP(MONTH(G652) &amp; YEAR(G652),MONTH($B$6:$B$38) &amp; YEAR($B$6:$B$38),$C$6:$C$38)</f>
        <v>2.61</v>
      </c>
    </row>
    <row r="653" spans="6:8" x14ac:dyDescent="0.3">
      <c r="F653" s="19">
        <v>648</v>
      </c>
      <c r="G653" s="22">
        <v>45283</v>
      </c>
      <c r="H653" s="19" cm="1">
        <f t="array" ref="H653">_xlfn.XLOOKUP(MONTH(G653) &amp; YEAR(G653),MONTH($B$6:$B$38) &amp; YEAR($B$6:$B$38),$C$6:$C$38)</f>
        <v>2.61</v>
      </c>
    </row>
    <row r="654" spans="6:8" x14ac:dyDescent="0.3">
      <c r="F654" s="19">
        <v>649</v>
      </c>
      <c r="G654" s="22">
        <v>45282</v>
      </c>
      <c r="H654" s="19" cm="1">
        <f t="array" ref="H654">_xlfn.XLOOKUP(MONTH(G654) &amp; YEAR(G654),MONTH($B$6:$B$38) &amp; YEAR($B$6:$B$38),$C$6:$C$38)</f>
        <v>2.61</v>
      </c>
    </row>
    <row r="655" spans="6:8" x14ac:dyDescent="0.3">
      <c r="F655" s="19">
        <v>650</v>
      </c>
      <c r="G655" s="22">
        <v>45281</v>
      </c>
      <c r="H655" s="19" cm="1">
        <f t="array" ref="H655">_xlfn.XLOOKUP(MONTH(G655) &amp; YEAR(G655),MONTH($B$6:$B$38) &amp; YEAR($B$6:$B$38),$C$6:$C$38)</f>
        <v>2.61</v>
      </c>
    </row>
    <row r="656" spans="6:8" x14ac:dyDescent="0.3">
      <c r="F656" s="19">
        <v>651</v>
      </c>
      <c r="G656" s="22">
        <v>45280</v>
      </c>
      <c r="H656" s="19" cm="1">
        <f t="array" ref="H656">_xlfn.XLOOKUP(MONTH(G656) &amp; YEAR(G656),MONTH($B$6:$B$38) &amp; YEAR($B$6:$B$38),$C$6:$C$38)</f>
        <v>2.61</v>
      </c>
    </row>
    <row r="657" spans="6:8" x14ac:dyDescent="0.3">
      <c r="F657" s="19">
        <v>652</v>
      </c>
      <c r="G657" s="22">
        <v>45279</v>
      </c>
      <c r="H657" s="19" cm="1">
        <f t="array" ref="H657">_xlfn.XLOOKUP(MONTH(G657) &amp; YEAR(G657),MONTH($B$6:$B$38) &amp; YEAR($B$6:$B$38),$C$6:$C$38)</f>
        <v>2.61</v>
      </c>
    </row>
    <row r="658" spans="6:8" x14ac:dyDescent="0.3">
      <c r="F658" s="19">
        <v>653</v>
      </c>
      <c r="G658" s="22">
        <v>45278</v>
      </c>
      <c r="H658" s="19" cm="1">
        <f t="array" ref="H658">_xlfn.XLOOKUP(MONTH(G658) &amp; YEAR(G658),MONTH($B$6:$B$38) &amp; YEAR($B$6:$B$38),$C$6:$C$38)</f>
        <v>2.61</v>
      </c>
    </row>
    <row r="659" spans="6:8" x14ac:dyDescent="0.3">
      <c r="F659" s="19">
        <v>654</v>
      </c>
      <c r="G659" s="22">
        <v>45277</v>
      </c>
      <c r="H659" s="19" cm="1">
        <f t="array" ref="H659">_xlfn.XLOOKUP(MONTH(G659) &amp; YEAR(G659),MONTH($B$6:$B$38) &amp; YEAR($B$6:$B$38),$C$6:$C$38)</f>
        <v>2.61</v>
      </c>
    </row>
    <row r="660" spans="6:8" x14ac:dyDescent="0.3">
      <c r="F660" s="19">
        <v>655</v>
      </c>
      <c r="G660" s="22">
        <v>45276</v>
      </c>
      <c r="H660" s="19" cm="1">
        <f t="array" ref="H660">_xlfn.XLOOKUP(MONTH(G660) &amp; YEAR(G660),MONTH($B$6:$B$38) &amp; YEAR($B$6:$B$38),$C$6:$C$38)</f>
        <v>2.61</v>
      </c>
    </row>
    <row r="661" spans="6:8" x14ac:dyDescent="0.3">
      <c r="F661" s="19">
        <v>656</v>
      </c>
      <c r="G661" s="22">
        <v>45275</v>
      </c>
      <c r="H661" s="19" cm="1">
        <f t="array" ref="H661">_xlfn.XLOOKUP(MONTH(G661) &amp; YEAR(G661),MONTH($B$6:$B$38) &amp; YEAR($B$6:$B$38),$C$6:$C$38)</f>
        <v>2.61</v>
      </c>
    </row>
    <row r="662" spans="6:8" x14ac:dyDescent="0.3">
      <c r="F662" s="19">
        <v>657</v>
      </c>
      <c r="G662" s="22">
        <v>45274</v>
      </c>
      <c r="H662" s="19" cm="1">
        <f t="array" ref="H662">_xlfn.XLOOKUP(MONTH(G662) &amp; YEAR(G662),MONTH($B$6:$B$38) &amp; YEAR($B$6:$B$38),$C$6:$C$38)</f>
        <v>2.61</v>
      </c>
    </row>
    <row r="663" spans="6:8" x14ac:dyDescent="0.3">
      <c r="F663" s="19">
        <v>658</v>
      </c>
      <c r="G663" s="22">
        <v>45273</v>
      </c>
      <c r="H663" s="19" cm="1">
        <f t="array" ref="H663">_xlfn.XLOOKUP(MONTH(G663) &amp; YEAR(G663),MONTH($B$6:$B$38) &amp; YEAR($B$6:$B$38),$C$6:$C$38)</f>
        <v>2.61</v>
      </c>
    </row>
    <row r="664" spans="6:8" x14ac:dyDescent="0.3">
      <c r="F664" s="19">
        <v>659</v>
      </c>
      <c r="G664" s="22">
        <v>45272</v>
      </c>
      <c r="H664" s="19" cm="1">
        <f t="array" ref="H664">_xlfn.XLOOKUP(MONTH(G664) &amp; YEAR(G664),MONTH($B$6:$B$38) &amp; YEAR($B$6:$B$38),$C$6:$C$38)</f>
        <v>2.61</v>
      </c>
    </row>
    <row r="665" spans="6:8" x14ac:dyDescent="0.3">
      <c r="F665" s="19">
        <v>660</v>
      </c>
      <c r="G665" s="22">
        <v>45271</v>
      </c>
      <c r="H665" s="19" cm="1">
        <f t="array" ref="H665">_xlfn.XLOOKUP(MONTH(G665) &amp; YEAR(G665),MONTH($B$6:$B$38) &amp; YEAR($B$6:$B$38),$C$6:$C$38)</f>
        <v>2.61</v>
      </c>
    </row>
    <row r="666" spans="6:8" x14ac:dyDescent="0.3">
      <c r="F666" s="19">
        <v>661</v>
      </c>
      <c r="G666" s="22">
        <v>45270</v>
      </c>
      <c r="H666" s="19" cm="1">
        <f t="array" ref="H666">_xlfn.XLOOKUP(MONTH(G666) &amp; YEAR(G666),MONTH($B$6:$B$38) &amp; YEAR($B$6:$B$38),$C$6:$C$38)</f>
        <v>2.61</v>
      </c>
    </row>
    <row r="667" spans="6:8" x14ac:dyDescent="0.3">
      <c r="F667" s="19">
        <v>662</v>
      </c>
      <c r="G667" s="22">
        <v>45269</v>
      </c>
      <c r="H667" s="19" cm="1">
        <f t="array" ref="H667">_xlfn.XLOOKUP(MONTH(G667) &amp; YEAR(G667),MONTH($B$6:$B$38) &amp; YEAR($B$6:$B$38),$C$6:$C$38)</f>
        <v>2.61</v>
      </c>
    </row>
    <row r="668" spans="6:8" x14ac:dyDescent="0.3">
      <c r="F668" s="19">
        <v>663</v>
      </c>
      <c r="G668" s="22">
        <v>45268</v>
      </c>
      <c r="H668" s="19" cm="1">
        <f t="array" ref="H668">_xlfn.XLOOKUP(MONTH(G668) &amp; YEAR(G668),MONTH($B$6:$B$38) &amp; YEAR($B$6:$B$38),$C$6:$C$38)</f>
        <v>2.61</v>
      </c>
    </row>
    <row r="669" spans="6:8" x14ac:dyDescent="0.3">
      <c r="F669" s="19">
        <v>664</v>
      </c>
      <c r="G669" s="22">
        <v>45267</v>
      </c>
      <c r="H669" s="19" cm="1">
        <f t="array" ref="H669">_xlfn.XLOOKUP(MONTH(G669) &amp; YEAR(G669),MONTH($B$6:$B$38) &amp; YEAR($B$6:$B$38),$C$6:$C$38)</f>
        <v>2.61</v>
      </c>
    </row>
    <row r="670" spans="6:8" x14ac:dyDescent="0.3">
      <c r="F670" s="19">
        <v>665</v>
      </c>
      <c r="G670" s="22">
        <v>45266</v>
      </c>
      <c r="H670" s="19" cm="1">
        <f t="array" ref="H670">_xlfn.XLOOKUP(MONTH(G670) &amp; YEAR(G670),MONTH($B$6:$B$38) &amp; YEAR($B$6:$B$38),$C$6:$C$38)</f>
        <v>2.61</v>
      </c>
    </row>
    <row r="671" spans="6:8" x14ac:dyDescent="0.3">
      <c r="F671" s="19">
        <v>666</v>
      </c>
      <c r="G671" s="22">
        <v>45265</v>
      </c>
      <c r="H671" s="19" cm="1">
        <f t="array" ref="H671">_xlfn.XLOOKUP(MONTH(G671) &amp; YEAR(G671),MONTH($B$6:$B$38) &amp; YEAR($B$6:$B$38),$C$6:$C$38)</f>
        <v>2.61</v>
      </c>
    </row>
    <row r="672" spans="6:8" x14ac:dyDescent="0.3">
      <c r="F672" s="19">
        <v>667</v>
      </c>
      <c r="G672" s="22">
        <v>45264</v>
      </c>
      <c r="H672" s="19" cm="1">
        <f t="array" ref="H672">_xlfn.XLOOKUP(MONTH(G672) &amp; YEAR(G672),MONTH($B$6:$B$38) &amp; YEAR($B$6:$B$38),$C$6:$C$38)</f>
        <v>2.61</v>
      </c>
    </row>
    <row r="673" spans="6:8" x14ac:dyDescent="0.3">
      <c r="F673" s="19">
        <v>668</v>
      </c>
      <c r="G673" s="22">
        <v>45263</v>
      </c>
      <c r="H673" s="19" cm="1">
        <f t="array" ref="H673">_xlfn.XLOOKUP(MONTH(G673) &amp; YEAR(G673),MONTH($B$6:$B$38) &amp; YEAR($B$6:$B$38),$C$6:$C$38)</f>
        <v>2.61</v>
      </c>
    </row>
    <row r="674" spans="6:8" x14ac:dyDescent="0.3">
      <c r="F674" s="19">
        <v>669</v>
      </c>
      <c r="G674" s="22">
        <v>45262</v>
      </c>
      <c r="H674" s="19" cm="1">
        <f t="array" ref="H674">_xlfn.XLOOKUP(MONTH(G674) &amp; YEAR(G674),MONTH($B$6:$B$38) &amp; YEAR($B$6:$B$38),$C$6:$C$38)</f>
        <v>2.61</v>
      </c>
    </row>
    <row r="675" spans="6:8" x14ac:dyDescent="0.3">
      <c r="F675" s="19">
        <v>670</v>
      </c>
      <c r="G675" s="22">
        <v>45261</v>
      </c>
      <c r="H675" s="19" cm="1">
        <f t="array" ref="H675">_xlfn.XLOOKUP(MONTH(G675) &amp; YEAR(G675),MONTH($B$6:$B$38) &amp; YEAR($B$6:$B$38),$C$6:$C$38)</f>
        <v>2.61</v>
      </c>
    </row>
    <row r="676" spans="6:8" x14ac:dyDescent="0.3">
      <c r="F676" s="19">
        <v>671</v>
      </c>
      <c r="G676" s="22">
        <v>45260</v>
      </c>
      <c r="H676" s="19" cm="1">
        <f t="array" ref="H676">_xlfn.XLOOKUP(MONTH(G676) &amp; YEAR(G676),MONTH($B$6:$B$38) &amp; YEAR($B$6:$B$38),$C$6:$C$38)</f>
        <v>2.86</v>
      </c>
    </row>
    <row r="677" spans="6:8" x14ac:dyDescent="0.3">
      <c r="F677" s="19">
        <v>672</v>
      </c>
      <c r="G677" s="22">
        <v>45259</v>
      </c>
      <c r="H677" s="19" cm="1">
        <f t="array" ref="H677">_xlfn.XLOOKUP(MONTH(G677) &amp; YEAR(G677),MONTH($B$6:$B$38) &amp; YEAR($B$6:$B$38),$C$6:$C$38)</f>
        <v>2.86</v>
      </c>
    </row>
    <row r="678" spans="6:8" x14ac:dyDescent="0.3">
      <c r="F678" s="19">
        <v>673</v>
      </c>
      <c r="G678" s="22">
        <v>45258</v>
      </c>
      <c r="H678" s="19" cm="1">
        <f t="array" ref="H678">_xlfn.XLOOKUP(MONTH(G678) &amp; YEAR(G678),MONTH($B$6:$B$38) &amp; YEAR($B$6:$B$38),$C$6:$C$38)</f>
        <v>2.86</v>
      </c>
    </row>
    <row r="679" spans="6:8" x14ac:dyDescent="0.3">
      <c r="F679" s="19">
        <v>674</v>
      </c>
      <c r="G679" s="22">
        <v>45257</v>
      </c>
      <c r="H679" s="19" cm="1">
        <f t="array" ref="H679">_xlfn.XLOOKUP(MONTH(G679) &amp; YEAR(G679),MONTH($B$6:$B$38) &amp; YEAR($B$6:$B$38),$C$6:$C$38)</f>
        <v>2.86</v>
      </c>
    </row>
    <row r="680" spans="6:8" x14ac:dyDescent="0.3">
      <c r="F680" s="19">
        <v>675</v>
      </c>
      <c r="G680" s="22">
        <v>45256</v>
      </c>
      <c r="H680" s="19" cm="1">
        <f t="array" ref="H680">_xlfn.XLOOKUP(MONTH(G680) &amp; YEAR(G680),MONTH($B$6:$B$38) &amp; YEAR($B$6:$B$38),$C$6:$C$38)</f>
        <v>2.86</v>
      </c>
    </row>
    <row r="681" spans="6:8" x14ac:dyDescent="0.3">
      <c r="F681" s="19">
        <v>676</v>
      </c>
      <c r="G681" s="22">
        <v>45255</v>
      </c>
      <c r="H681" s="19" cm="1">
        <f t="array" ref="H681">_xlfn.XLOOKUP(MONTH(G681) &amp; YEAR(G681),MONTH($B$6:$B$38) &amp; YEAR($B$6:$B$38),$C$6:$C$38)</f>
        <v>2.86</v>
      </c>
    </row>
    <row r="682" spans="6:8" x14ac:dyDescent="0.3">
      <c r="F682" s="19">
        <v>677</v>
      </c>
      <c r="G682" s="22">
        <v>45254</v>
      </c>
      <c r="H682" s="19" cm="1">
        <f t="array" ref="H682">_xlfn.XLOOKUP(MONTH(G682) &amp; YEAR(G682),MONTH($B$6:$B$38) &amp; YEAR($B$6:$B$38),$C$6:$C$38)</f>
        <v>2.86</v>
      </c>
    </row>
    <row r="683" spans="6:8" x14ac:dyDescent="0.3">
      <c r="F683" s="19">
        <v>678</v>
      </c>
      <c r="G683" s="22">
        <v>45253</v>
      </c>
      <c r="H683" s="19" cm="1">
        <f t="array" ref="H683">_xlfn.XLOOKUP(MONTH(G683) &amp; YEAR(G683),MONTH($B$6:$B$38) &amp; YEAR($B$6:$B$38),$C$6:$C$38)</f>
        <v>2.86</v>
      </c>
    </row>
    <row r="684" spans="6:8" x14ac:dyDescent="0.3">
      <c r="F684" s="19">
        <v>679</v>
      </c>
      <c r="G684" s="22">
        <v>45252</v>
      </c>
      <c r="H684" s="19" cm="1">
        <f t="array" ref="H684">_xlfn.XLOOKUP(MONTH(G684) &amp; YEAR(G684),MONTH($B$6:$B$38) &amp; YEAR($B$6:$B$38),$C$6:$C$38)</f>
        <v>2.86</v>
      </c>
    </row>
    <row r="685" spans="6:8" x14ac:dyDescent="0.3">
      <c r="F685" s="19">
        <v>680</v>
      </c>
      <c r="G685" s="22">
        <v>45251</v>
      </c>
      <c r="H685" s="19" cm="1">
        <f t="array" ref="H685">_xlfn.XLOOKUP(MONTH(G685) &amp; YEAR(G685),MONTH($B$6:$B$38) &amp; YEAR($B$6:$B$38),$C$6:$C$38)</f>
        <v>2.86</v>
      </c>
    </row>
    <row r="686" spans="6:8" x14ac:dyDescent="0.3">
      <c r="F686" s="19">
        <v>681</v>
      </c>
      <c r="G686" s="22">
        <v>45250</v>
      </c>
      <c r="H686" s="19" cm="1">
        <f t="array" ref="H686">_xlfn.XLOOKUP(MONTH(G686) &amp; YEAR(G686),MONTH($B$6:$B$38) &amp; YEAR($B$6:$B$38),$C$6:$C$38)</f>
        <v>2.86</v>
      </c>
    </row>
    <row r="687" spans="6:8" x14ac:dyDescent="0.3">
      <c r="F687" s="19">
        <v>682</v>
      </c>
      <c r="G687" s="22">
        <v>45249</v>
      </c>
      <c r="H687" s="19" cm="1">
        <f t="array" ref="H687">_xlfn.XLOOKUP(MONTH(G687) &amp; YEAR(G687),MONTH($B$6:$B$38) &amp; YEAR($B$6:$B$38),$C$6:$C$38)</f>
        <v>2.86</v>
      </c>
    </row>
    <row r="688" spans="6:8" x14ac:dyDescent="0.3">
      <c r="F688" s="19">
        <v>683</v>
      </c>
      <c r="G688" s="22">
        <v>45248</v>
      </c>
      <c r="H688" s="19" cm="1">
        <f t="array" ref="H688">_xlfn.XLOOKUP(MONTH(G688) &amp; YEAR(G688),MONTH($B$6:$B$38) &amp; YEAR($B$6:$B$38),$C$6:$C$38)</f>
        <v>2.86</v>
      </c>
    </row>
    <row r="689" spans="6:8" x14ac:dyDescent="0.3">
      <c r="F689" s="19">
        <v>684</v>
      </c>
      <c r="G689" s="22">
        <v>45247</v>
      </c>
      <c r="H689" s="19" cm="1">
        <f t="array" ref="H689">_xlfn.XLOOKUP(MONTH(G689) &amp; YEAR(G689),MONTH($B$6:$B$38) &amp; YEAR($B$6:$B$38),$C$6:$C$38)</f>
        <v>2.86</v>
      </c>
    </row>
    <row r="690" spans="6:8" x14ac:dyDescent="0.3">
      <c r="F690" s="19">
        <v>685</v>
      </c>
      <c r="G690" s="22">
        <v>45246</v>
      </c>
      <c r="H690" s="19" cm="1">
        <f t="array" ref="H690">_xlfn.XLOOKUP(MONTH(G690) &amp; YEAR(G690),MONTH($B$6:$B$38) &amp; YEAR($B$6:$B$38),$C$6:$C$38)</f>
        <v>2.86</v>
      </c>
    </row>
    <row r="691" spans="6:8" x14ac:dyDescent="0.3">
      <c r="F691" s="19">
        <v>686</v>
      </c>
      <c r="G691" s="22">
        <v>45245</v>
      </c>
      <c r="H691" s="19" cm="1">
        <f t="array" ref="H691">_xlfn.XLOOKUP(MONTH(G691) &amp; YEAR(G691),MONTH($B$6:$B$38) &amp; YEAR($B$6:$B$38),$C$6:$C$38)</f>
        <v>2.86</v>
      </c>
    </row>
    <row r="692" spans="6:8" x14ac:dyDescent="0.3">
      <c r="F692" s="19">
        <v>687</v>
      </c>
      <c r="G692" s="22">
        <v>45244</v>
      </c>
      <c r="H692" s="19" cm="1">
        <f t="array" ref="H692">_xlfn.XLOOKUP(MONTH(G692) &amp; YEAR(G692),MONTH($B$6:$B$38) &amp; YEAR($B$6:$B$38),$C$6:$C$38)</f>
        <v>2.86</v>
      </c>
    </row>
    <row r="693" spans="6:8" x14ac:dyDescent="0.3">
      <c r="F693" s="19">
        <v>688</v>
      </c>
      <c r="G693" s="22">
        <v>45243</v>
      </c>
      <c r="H693" s="19" cm="1">
        <f t="array" ref="H693">_xlfn.XLOOKUP(MONTH(G693) &amp; YEAR(G693),MONTH($B$6:$B$38) &amp; YEAR($B$6:$B$38),$C$6:$C$38)</f>
        <v>2.86</v>
      </c>
    </row>
    <row r="694" spans="6:8" x14ac:dyDescent="0.3">
      <c r="F694" s="19">
        <v>689</v>
      </c>
      <c r="G694" s="22">
        <v>45242</v>
      </c>
      <c r="H694" s="19" cm="1">
        <f t="array" ref="H694">_xlfn.XLOOKUP(MONTH(G694) &amp; YEAR(G694),MONTH($B$6:$B$38) &amp; YEAR($B$6:$B$38),$C$6:$C$38)</f>
        <v>2.86</v>
      </c>
    </row>
    <row r="695" spans="6:8" x14ac:dyDescent="0.3">
      <c r="F695" s="19">
        <v>690</v>
      </c>
      <c r="G695" s="22">
        <v>45241</v>
      </c>
      <c r="H695" s="19" cm="1">
        <f t="array" ref="H695">_xlfn.XLOOKUP(MONTH(G695) &amp; YEAR(G695),MONTH($B$6:$B$38) &amp; YEAR($B$6:$B$38),$C$6:$C$38)</f>
        <v>2.86</v>
      </c>
    </row>
    <row r="696" spans="6:8" x14ac:dyDescent="0.3">
      <c r="F696" s="19">
        <v>691</v>
      </c>
      <c r="G696" s="22">
        <v>45240</v>
      </c>
      <c r="H696" s="19" cm="1">
        <f t="array" ref="H696">_xlfn.XLOOKUP(MONTH(G696) &amp; YEAR(G696),MONTH($B$6:$B$38) &amp; YEAR($B$6:$B$38),$C$6:$C$38)</f>
        <v>2.86</v>
      </c>
    </row>
    <row r="697" spans="6:8" x14ac:dyDescent="0.3">
      <c r="F697" s="19">
        <v>692</v>
      </c>
      <c r="G697" s="22">
        <v>45239</v>
      </c>
      <c r="H697" s="19" cm="1">
        <f t="array" ref="H697">_xlfn.XLOOKUP(MONTH(G697) &amp; YEAR(G697),MONTH($B$6:$B$38) &amp; YEAR($B$6:$B$38),$C$6:$C$38)</f>
        <v>2.86</v>
      </c>
    </row>
    <row r="698" spans="6:8" x14ac:dyDescent="0.3">
      <c r="F698" s="19">
        <v>693</v>
      </c>
      <c r="G698" s="22">
        <v>45238</v>
      </c>
      <c r="H698" s="19" cm="1">
        <f t="array" ref="H698">_xlfn.XLOOKUP(MONTH(G698) &amp; YEAR(G698),MONTH($B$6:$B$38) &amp; YEAR($B$6:$B$38),$C$6:$C$38)</f>
        <v>2.86</v>
      </c>
    </row>
    <row r="699" spans="6:8" x14ac:dyDescent="0.3">
      <c r="F699" s="19">
        <v>694</v>
      </c>
      <c r="G699" s="22">
        <v>45237</v>
      </c>
      <c r="H699" s="19" cm="1">
        <f t="array" ref="H699">_xlfn.XLOOKUP(MONTH(G699) &amp; YEAR(G699),MONTH($B$6:$B$38) &amp; YEAR($B$6:$B$38),$C$6:$C$38)</f>
        <v>2.86</v>
      </c>
    </row>
    <row r="700" spans="6:8" x14ac:dyDescent="0.3">
      <c r="F700" s="19">
        <v>695</v>
      </c>
      <c r="G700" s="22">
        <v>45236</v>
      </c>
      <c r="H700" s="19" cm="1">
        <f t="array" ref="H700">_xlfn.XLOOKUP(MONTH(G700) &amp; YEAR(G700),MONTH($B$6:$B$38) &amp; YEAR($B$6:$B$38),$C$6:$C$38)</f>
        <v>2.86</v>
      </c>
    </row>
    <row r="701" spans="6:8" x14ac:dyDescent="0.3">
      <c r="F701" s="19">
        <v>696</v>
      </c>
      <c r="G701" s="22">
        <v>45235</v>
      </c>
      <c r="H701" s="19" cm="1">
        <f t="array" ref="H701">_xlfn.XLOOKUP(MONTH(G701) &amp; YEAR(G701),MONTH($B$6:$B$38) &amp; YEAR($B$6:$B$38),$C$6:$C$38)</f>
        <v>2.86</v>
      </c>
    </row>
    <row r="702" spans="6:8" x14ac:dyDescent="0.3">
      <c r="F702" s="19">
        <v>697</v>
      </c>
      <c r="G702" s="22">
        <v>45234</v>
      </c>
      <c r="H702" s="19" cm="1">
        <f t="array" ref="H702">_xlfn.XLOOKUP(MONTH(G702) &amp; YEAR(G702),MONTH($B$6:$B$38) &amp; YEAR($B$6:$B$38),$C$6:$C$38)</f>
        <v>2.86</v>
      </c>
    </row>
    <row r="703" spans="6:8" x14ac:dyDescent="0.3">
      <c r="F703" s="19">
        <v>698</v>
      </c>
      <c r="G703" s="22">
        <v>45233</v>
      </c>
      <c r="H703" s="19" cm="1">
        <f t="array" ref="H703">_xlfn.XLOOKUP(MONTH(G703) &amp; YEAR(G703),MONTH($B$6:$B$38) &amp; YEAR($B$6:$B$38),$C$6:$C$38)</f>
        <v>2.86</v>
      </c>
    </row>
    <row r="704" spans="6:8" x14ac:dyDescent="0.3">
      <c r="F704" s="19">
        <v>699</v>
      </c>
      <c r="G704" s="22">
        <v>45232</v>
      </c>
      <c r="H704" s="19" cm="1">
        <f t="array" ref="H704">_xlfn.XLOOKUP(MONTH(G704) &amp; YEAR(G704),MONTH($B$6:$B$38) &amp; YEAR($B$6:$B$38),$C$6:$C$38)</f>
        <v>2.86</v>
      </c>
    </row>
    <row r="705" spans="6:8" x14ac:dyDescent="0.3">
      <c r="F705" s="19">
        <v>700</v>
      </c>
      <c r="G705" s="22">
        <v>45231</v>
      </c>
      <c r="H705" s="19" cm="1">
        <f t="array" ref="H705">_xlfn.XLOOKUP(MONTH(G705) &amp; YEAR(G705),MONTH($B$6:$B$38) &amp; YEAR($B$6:$B$38),$C$6:$C$38)</f>
        <v>2.86</v>
      </c>
    </row>
    <row r="706" spans="6:8" x14ac:dyDescent="0.3">
      <c r="F706" s="19">
        <v>701</v>
      </c>
      <c r="G706" s="22">
        <v>45230</v>
      </c>
      <c r="H706" s="19" cm="1">
        <f t="array" ref="H706">_xlfn.XLOOKUP(MONTH(G706) &amp; YEAR(G706),MONTH($B$6:$B$38) &amp; YEAR($B$6:$B$38),$C$6:$C$38)</f>
        <v>2.56</v>
      </c>
    </row>
    <row r="707" spans="6:8" x14ac:dyDescent="0.3">
      <c r="F707" s="19">
        <v>702</v>
      </c>
      <c r="G707" s="22">
        <v>45229</v>
      </c>
      <c r="H707" s="19" cm="1">
        <f t="array" ref="H707">_xlfn.XLOOKUP(MONTH(G707) &amp; YEAR(G707),MONTH($B$6:$B$38) &amp; YEAR($B$6:$B$38),$C$6:$C$38)</f>
        <v>2.56</v>
      </c>
    </row>
    <row r="708" spans="6:8" x14ac:dyDescent="0.3">
      <c r="F708" s="19">
        <v>703</v>
      </c>
      <c r="G708" s="22">
        <v>45228</v>
      </c>
      <c r="H708" s="19" cm="1">
        <f t="array" ref="H708">_xlfn.XLOOKUP(MONTH(G708) &amp; YEAR(G708),MONTH($B$6:$B$38) &amp; YEAR($B$6:$B$38),$C$6:$C$38)</f>
        <v>2.56</v>
      </c>
    </row>
    <row r="709" spans="6:8" x14ac:dyDescent="0.3">
      <c r="F709" s="19">
        <v>704</v>
      </c>
      <c r="G709" s="22">
        <v>45227</v>
      </c>
      <c r="H709" s="19" cm="1">
        <f t="array" ref="H709">_xlfn.XLOOKUP(MONTH(G709) &amp; YEAR(G709),MONTH($B$6:$B$38) &amp; YEAR($B$6:$B$38),$C$6:$C$38)</f>
        <v>2.56</v>
      </c>
    </row>
    <row r="710" spans="6:8" x14ac:dyDescent="0.3">
      <c r="F710" s="19">
        <v>705</v>
      </c>
      <c r="G710" s="22">
        <v>45226</v>
      </c>
      <c r="H710" s="19" cm="1">
        <f t="array" ref="H710">_xlfn.XLOOKUP(MONTH(G710) &amp; YEAR(G710),MONTH($B$6:$B$38) &amp; YEAR($B$6:$B$38),$C$6:$C$38)</f>
        <v>2.56</v>
      </c>
    </row>
    <row r="711" spans="6:8" x14ac:dyDescent="0.3">
      <c r="F711" s="19">
        <v>706</v>
      </c>
      <c r="G711" s="22">
        <v>45225</v>
      </c>
      <c r="H711" s="19" cm="1">
        <f t="array" ref="H711">_xlfn.XLOOKUP(MONTH(G711) &amp; YEAR(G711),MONTH($B$6:$B$38) &amp; YEAR($B$6:$B$38),$C$6:$C$38)</f>
        <v>2.56</v>
      </c>
    </row>
    <row r="712" spans="6:8" x14ac:dyDescent="0.3">
      <c r="F712" s="19">
        <v>707</v>
      </c>
      <c r="G712" s="22">
        <v>45224</v>
      </c>
      <c r="H712" s="19" cm="1">
        <f t="array" ref="H712">_xlfn.XLOOKUP(MONTH(G712) &amp; YEAR(G712),MONTH($B$6:$B$38) &amp; YEAR($B$6:$B$38),$C$6:$C$38)</f>
        <v>2.56</v>
      </c>
    </row>
    <row r="713" spans="6:8" x14ac:dyDescent="0.3">
      <c r="F713" s="19">
        <v>708</v>
      </c>
      <c r="G713" s="22">
        <v>45223</v>
      </c>
      <c r="H713" s="19" cm="1">
        <f t="array" ref="H713">_xlfn.XLOOKUP(MONTH(G713) &amp; YEAR(G713),MONTH($B$6:$B$38) &amp; YEAR($B$6:$B$38),$C$6:$C$38)</f>
        <v>2.56</v>
      </c>
    </row>
    <row r="714" spans="6:8" x14ac:dyDescent="0.3">
      <c r="F714" s="19">
        <v>709</v>
      </c>
      <c r="G714" s="22">
        <v>45222</v>
      </c>
      <c r="H714" s="19" cm="1">
        <f t="array" ref="H714">_xlfn.XLOOKUP(MONTH(G714) &amp; YEAR(G714),MONTH($B$6:$B$38) &amp; YEAR($B$6:$B$38),$C$6:$C$38)</f>
        <v>2.56</v>
      </c>
    </row>
    <row r="715" spans="6:8" x14ac:dyDescent="0.3">
      <c r="F715" s="19">
        <v>710</v>
      </c>
      <c r="G715" s="22">
        <v>45221</v>
      </c>
      <c r="H715" s="19" cm="1">
        <f t="array" ref="H715">_xlfn.XLOOKUP(MONTH(G715) &amp; YEAR(G715),MONTH($B$6:$B$38) &amp; YEAR($B$6:$B$38),$C$6:$C$38)</f>
        <v>2.56</v>
      </c>
    </row>
    <row r="716" spans="6:8" x14ac:dyDescent="0.3">
      <c r="F716" s="19">
        <v>711</v>
      </c>
      <c r="G716" s="22">
        <v>45220</v>
      </c>
      <c r="H716" s="19" cm="1">
        <f t="array" ref="H716">_xlfn.XLOOKUP(MONTH(G716) &amp; YEAR(G716),MONTH($B$6:$B$38) &amp; YEAR($B$6:$B$38),$C$6:$C$38)</f>
        <v>2.56</v>
      </c>
    </row>
    <row r="717" spans="6:8" x14ac:dyDescent="0.3">
      <c r="F717" s="19">
        <v>712</v>
      </c>
      <c r="G717" s="22">
        <v>45219</v>
      </c>
      <c r="H717" s="19" cm="1">
        <f t="array" ref="H717">_xlfn.XLOOKUP(MONTH(G717) &amp; YEAR(G717),MONTH($B$6:$B$38) &amp; YEAR($B$6:$B$38),$C$6:$C$38)</f>
        <v>2.56</v>
      </c>
    </row>
    <row r="718" spans="6:8" x14ac:dyDescent="0.3">
      <c r="F718" s="19">
        <v>713</v>
      </c>
      <c r="G718" s="22">
        <v>45218</v>
      </c>
      <c r="H718" s="19" cm="1">
        <f t="array" ref="H718">_xlfn.XLOOKUP(MONTH(G718) &amp; YEAR(G718),MONTH($B$6:$B$38) &amp; YEAR($B$6:$B$38),$C$6:$C$38)</f>
        <v>2.56</v>
      </c>
    </row>
    <row r="719" spans="6:8" x14ac:dyDescent="0.3">
      <c r="F719" s="19">
        <v>714</v>
      </c>
      <c r="G719" s="22">
        <v>45217</v>
      </c>
      <c r="H719" s="19" cm="1">
        <f t="array" ref="H719">_xlfn.XLOOKUP(MONTH(G719) &amp; YEAR(G719),MONTH($B$6:$B$38) &amp; YEAR($B$6:$B$38),$C$6:$C$38)</f>
        <v>2.56</v>
      </c>
    </row>
    <row r="720" spans="6:8" x14ac:dyDescent="0.3">
      <c r="F720" s="19">
        <v>715</v>
      </c>
      <c r="G720" s="22">
        <v>45216</v>
      </c>
      <c r="H720" s="19" cm="1">
        <f t="array" ref="H720">_xlfn.XLOOKUP(MONTH(G720) &amp; YEAR(G720),MONTH($B$6:$B$38) &amp; YEAR($B$6:$B$38),$C$6:$C$38)</f>
        <v>2.56</v>
      </c>
    </row>
    <row r="721" spans="6:8" x14ac:dyDescent="0.3">
      <c r="F721" s="19">
        <v>716</v>
      </c>
      <c r="G721" s="22">
        <v>45215</v>
      </c>
      <c r="H721" s="19" cm="1">
        <f t="array" ref="H721">_xlfn.XLOOKUP(MONTH(G721) &amp; YEAR(G721),MONTH($B$6:$B$38) &amp; YEAR($B$6:$B$38),$C$6:$C$38)</f>
        <v>2.56</v>
      </c>
    </row>
    <row r="722" spans="6:8" x14ac:dyDescent="0.3">
      <c r="F722" s="19">
        <v>717</v>
      </c>
      <c r="G722" s="22">
        <v>45214</v>
      </c>
      <c r="H722" s="19" cm="1">
        <f t="array" ref="H722">_xlfn.XLOOKUP(MONTH(G722) &amp; YEAR(G722),MONTH($B$6:$B$38) &amp; YEAR($B$6:$B$38),$C$6:$C$38)</f>
        <v>2.56</v>
      </c>
    </row>
    <row r="723" spans="6:8" x14ac:dyDescent="0.3">
      <c r="F723" s="19">
        <v>718</v>
      </c>
      <c r="G723" s="22">
        <v>45213</v>
      </c>
      <c r="H723" s="19" cm="1">
        <f t="array" ref="H723">_xlfn.XLOOKUP(MONTH(G723) &amp; YEAR(G723),MONTH($B$6:$B$38) &amp; YEAR($B$6:$B$38),$C$6:$C$38)</f>
        <v>2.56</v>
      </c>
    </row>
    <row r="724" spans="6:8" x14ac:dyDescent="0.3">
      <c r="F724" s="19">
        <v>719</v>
      </c>
      <c r="G724" s="22">
        <v>45212</v>
      </c>
      <c r="H724" s="19" cm="1">
        <f t="array" ref="H724">_xlfn.XLOOKUP(MONTH(G724) &amp; YEAR(G724),MONTH($B$6:$B$38) &amp; YEAR($B$6:$B$38),$C$6:$C$38)</f>
        <v>2.56</v>
      </c>
    </row>
    <row r="725" spans="6:8" x14ac:dyDescent="0.3">
      <c r="F725" s="19">
        <v>720</v>
      </c>
      <c r="G725" s="22">
        <v>45211</v>
      </c>
      <c r="H725" s="19" cm="1">
        <f t="array" ref="H725">_xlfn.XLOOKUP(MONTH(G725) &amp; YEAR(G725),MONTH($B$6:$B$38) &amp; YEAR($B$6:$B$38),$C$6:$C$38)</f>
        <v>2.56</v>
      </c>
    </row>
    <row r="726" spans="6:8" x14ac:dyDescent="0.3">
      <c r="F726" s="19">
        <v>721</v>
      </c>
      <c r="G726" s="22">
        <v>45210</v>
      </c>
      <c r="H726" s="19" cm="1">
        <f t="array" ref="H726">_xlfn.XLOOKUP(MONTH(G726) &amp; YEAR(G726),MONTH($B$6:$B$38) &amp; YEAR($B$6:$B$38),$C$6:$C$38)</f>
        <v>2.56</v>
      </c>
    </row>
    <row r="727" spans="6:8" x14ac:dyDescent="0.3">
      <c r="F727" s="19">
        <v>722</v>
      </c>
      <c r="G727" s="22">
        <v>45209</v>
      </c>
      <c r="H727" s="19" cm="1">
        <f t="array" ref="H727">_xlfn.XLOOKUP(MONTH(G727) &amp; YEAR(G727),MONTH($B$6:$B$38) &amp; YEAR($B$6:$B$38),$C$6:$C$38)</f>
        <v>2.56</v>
      </c>
    </row>
    <row r="728" spans="6:8" x14ac:dyDescent="0.3">
      <c r="F728" s="19">
        <v>723</v>
      </c>
      <c r="G728" s="22">
        <v>45208</v>
      </c>
      <c r="H728" s="19" cm="1">
        <f t="array" ref="H728">_xlfn.XLOOKUP(MONTH(G728) &amp; YEAR(G728),MONTH($B$6:$B$38) &amp; YEAR($B$6:$B$38),$C$6:$C$38)</f>
        <v>2.56</v>
      </c>
    </row>
    <row r="729" spans="6:8" x14ac:dyDescent="0.3">
      <c r="F729" s="19">
        <v>724</v>
      </c>
      <c r="G729" s="22">
        <v>45207</v>
      </c>
      <c r="H729" s="19" cm="1">
        <f t="array" ref="H729">_xlfn.XLOOKUP(MONTH(G729) &amp; YEAR(G729),MONTH($B$6:$B$38) &amp; YEAR($B$6:$B$38),$C$6:$C$38)</f>
        <v>2.56</v>
      </c>
    </row>
    <row r="730" spans="6:8" x14ac:dyDescent="0.3">
      <c r="F730" s="19">
        <v>725</v>
      </c>
      <c r="G730" s="22">
        <v>45206</v>
      </c>
      <c r="H730" s="19" cm="1">
        <f t="array" ref="H730">_xlfn.XLOOKUP(MONTH(G730) &amp; YEAR(G730),MONTH($B$6:$B$38) &amp; YEAR($B$6:$B$38),$C$6:$C$38)</f>
        <v>2.56</v>
      </c>
    </row>
    <row r="731" spans="6:8" x14ac:dyDescent="0.3">
      <c r="F731" s="19">
        <v>726</v>
      </c>
      <c r="G731" s="22">
        <v>45205</v>
      </c>
      <c r="H731" s="19" cm="1">
        <f t="array" ref="H731">_xlfn.XLOOKUP(MONTH(G731) &amp; YEAR(G731),MONTH($B$6:$B$38) &amp; YEAR($B$6:$B$38),$C$6:$C$38)</f>
        <v>2.56</v>
      </c>
    </row>
    <row r="732" spans="6:8" x14ac:dyDescent="0.3">
      <c r="F732" s="19">
        <v>727</v>
      </c>
      <c r="G732" s="22">
        <v>45204</v>
      </c>
      <c r="H732" s="19" cm="1">
        <f t="array" ref="H732">_xlfn.XLOOKUP(MONTH(G732) &amp; YEAR(G732),MONTH($B$6:$B$38) &amp; YEAR($B$6:$B$38),$C$6:$C$38)</f>
        <v>2.56</v>
      </c>
    </row>
    <row r="733" spans="6:8" x14ac:dyDescent="0.3">
      <c r="F733" s="19">
        <v>728</v>
      </c>
      <c r="G733" s="22">
        <v>45203</v>
      </c>
      <c r="H733" s="19" cm="1">
        <f t="array" ref="H733">_xlfn.XLOOKUP(MONTH(G733) &amp; YEAR(G733),MONTH($B$6:$B$38) &amp; YEAR($B$6:$B$38),$C$6:$C$38)</f>
        <v>2.56</v>
      </c>
    </row>
    <row r="734" spans="6:8" x14ac:dyDescent="0.3">
      <c r="F734" s="19">
        <v>729</v>
      </c>
      <c r="G734" s="22">
        <v>45202</v>
      </c>
      <c r="H734" s="19" cm="1">
        <f t="array" ref="H734">_xlfn.XLOOKUP(MONTH(G734) &amp; YEAR(G734),MONTH($B$6:$B$38) &amp; YEAR($B$6:$B$38),$C$6:$C$38)</f>
        <v>2.56</v>
      </c>
    </row>
    <row r="735" spans="6:8" x14ac:dyDescent="0.3">
      <c r="F735" s="19">
        <v>730</v>
      </c>
      <c r="G735" s="22">
        <v>45201</v>
      </c>
      <c r="H735" s="19" cm="1">
        <f t="array" ref="H735">_xlfn.XLOOKUP(MONTH(G735) &amp; YEAR(G735),MONTH($B$6:$B$38) &amp; YEAR($B$6:$B$38),$C$6:$C$38)</f>
        <v>2.56</v>
      </c>
    </row>
    <row r="736" spans="6:8" x14ac:dyDescent="0.3">
      <c r="F736" s="19">
        <v>731</v>
      </c>
      <c r="G736" s="22">
        <v>45200</v>
      </c>
      <c r="H736" s="19" cm="1">
        <f t="array" ref="H736">_xlfn.XLOOKUP(MONTH(G736) &amp; YEAR(G736),MONTH($B$6:$B$38) &amp; YEAR($B$6:$B$38),$C$6:$C$38)</f>
        <v>2.56</v>
      </c>
    </row>
    <row r="737" spans="6:8" x14ac:dyDescent="0.3">
      <c r="F737" s="19">
        <v>732</v>
      </c>
      <c r="G737" s="22">
        <v>45199</v>
      </c>
      <c r="H737" s="19" cm="1">
        <f t="array" ref="H737">_xlfn.XLOOKUP(MONTH(G737) &amp; YEAR(G737),MONTH($B$6:$B$38) &amp; YEAR($B$6:$B$38),$C$6:$C$38)</f>
        <v>2.2799999999999998</v>
      </c>
    </row>
    <row r="738" spans="6:8" x14ac:dyDescent="0.3">
      <c r="F738" s="19">
        <v>733</v>
      </c>
      <c r="G738" s="22">
        <v>45198</v>
      </c>
      <c r="H738" s="19" cm="1">
        <f t="array" ref="H738">_xlfn.XLOOKUP(MONTH(G738) &amp; YEAR(G738),MONTH($B$6:$B$38) &amp; YEAR($B$6:$B$38),$C$6:$C$38)</f>
        <v>2.2799999999999998</v>
      </c>
    </row>
    <row r="739" spans="6:8" x14ac:dyDescent="0.3">
      <c r="F739" s="19">
        <v>734</v>
      </c>
      <c r="G739" s="22">
        <v>45197</v>
      </c>
      <c r="H739" s="19" cm="1">
        <f t="array" ref="H739">_xlfn.XLOOKUP(MONTH(G739) &amp; YEAR(G739),MONTH($B$6:$B$38) &amp; YEAR($B$6:$B$38),$C$6:$C$38)</f>
        <v>2.2799999999999998</v>
      </c>
    </row>
    <row r="740" spans="6:8" x14ac:dyDescent="0.3">
      <c r="F740" s="19">
        <v>735</v>
      </c>
      <c r="G740" s="22">
        <v>45196</v>
      </c>
      <c r="H740" s="19" cm="1">
        <f t="array" ref="H740">_xlfn.XLOOKUP(MONTH(G740) &amp; YEAR(G740),MONTH($B$6:$B$38) &amp; YEAR($B$6:$B$38),$C$6:$C$38)</f>
        <v>2.2799999999999998</v>
      </c>
    </row>
    <row r="741" spans="6:8" x14ac:dyDescent="0.3">
      <c r="F741" s="19">
        <v>736</v>
      </c>
      <c r="G741" s="22">
        <v>45195</v>
      </c>
      <c r="H741" s="19" cm="1">
        <f t="array" ref="H741">_xlfn.XLOOKUP(MONTH(G741) &amp; YEAR(G741),MONTH($B$6:$B$38) &amp; YEAR($B$6:$B$38),$C$6:$C$38)</f>
        <v>2.2799999999999998</v>
      </c>
    </row>
    <row r="742" spans="6:8" x14ac:dyDescent="0.3">
      <c r="F742" s="19">
        <v>737</v>
      </c>
      <c r="G742" s="22">
        <v>45194</v>
      </c>
      <c r="H742" s="19" cm="1">
        <f t="array" ref="H742">_xlfn.XLOOKUP(MONTH(G742) &amp; YEAR(G742),MONTH($B$6:$B$38) &amp; YEAR($B$6:$B$38),$C$6:$C$38)</f>
        <v>2.2799999999999998</v>
      </c>
    </row>
    <row r="743" spans="6:8" x14ac:dyDescent="0.3">
      <c r="F743" s="19">
        <v>738</v>
      </c>
      <c r="G743" s="22">
        <v>45193</v>
      </c>
      <c r="H743" s="19" cm="1">
        <f t="array" ref="H743">_xlfn.XLOOKUP(MONTH(G743) &amp; YEAR(G743),MONTH($B$6:$B$38) &amp; YEAR($B$6:$B$38),$C$6:$C$38)</f>
        <v>2.2799999999999998</v>
      </c>
    </row>
    <row r="744" spans="6:8" x14ac:dyDescent="0.3">
      <c r="F744" s="19">
        <v>739</v>
      </c>
      <c r="G744" s="22">
        <v>45192</v>
      </c>
      <c r="H744" s="19" cm="1">
        <f t="array" ref="H744">_xlfn.XLOOKUP(MONTH(G744) &amp; YEAR(G744),MONTH($B$6:$B$38) &amp; YEAR($B$6:$B$38),$C$6:$C$38)</f>
        <v>2.2799999999999998</v>
      </c>
    </row>
    <row r="745" spans="6:8" x14ac:dyDescent="0.3">
      <c r="F745" s="19">
        <v>740</v>
      </c>
      <c r="G745" s="22">
        <v>45191</v>
      </c>
      <c r="H745" s="19" cm="1">
        <f t="array" ref="H745">_xlfn.XLOOKUP(MONTH(G745) &amp; YEAR(G745),MONTH($B$6:$B$38) &amp; YEAR($B$6:$B$38),$C$6:$C$38)</f>
        <v>2.2799999999999998</v>
      </c>
    </row>
    <row r="746" spans="6:8" x14ac:dyDescent="0.3">
      <c r="F746" s="19">
        <v>741</v>
      </c>
      <c r="G746" s="22">
        <v>45190</v>
      </c>
      <c r="H746" s="19" cm="1">
        <f t="array" ref="H746">_xlfn.XLOOKUP(MONTH(G746) &amp; YEAR(G746),MONTH($B$6:$B$38) &amp; YEAR($B$6:$B$38),$C$6:$C$38)</f>
        <v>2.2799999999999998</v>
      </c>
    </row>
    <row r="747" spans="6:8" x14ac:dyDescent="0.3">
      <c r="F747" s="19">
        <v>742</v>
      </c>
      <c r="G747" s="22">
        <v>45189</v>
      </c>
      <c r="H747" s="19" cm="1">
        <f t="array" ref="H747">_xlfn.XLOOKUP(MONTH(G747) &amp; YEAR(G747),MONTH($B$6:$B$38) &amp; YEAR($B$6:$B$38),$C$6:$C$38)</f>
        <v>2.2799999999999998</v>
      </c>
    </row>
    <row r="748" spans="6:8" x14ac:dyDescent="0.3">
      <c r="F748" s="19">
        <v>743</v>
      </c>
      <c r="G748" s="22">
        <v>45188</v>
      </c>
      <c r="H748" s="19" cm="1">
        <f t="array" ref="H748">_xlfn.XLOOKUP(MONTH(G748) &amp; YEAR(G748),MONTH($B$6:$B$38) &amp; YEAR($B$6:$B$38),$C$6:$C$38)</f>
        <v>2.2799999999999998</v>
      </c>
    </row>
    <row r="749" spans="6:8" x14ac:dyDescent="0.3">
      <c r="F749" s="19">
        <v>744</v>
      </c>
      <c r="G749" s="22">
        <v>45187</v>
      </c>
      <c r="H749" s="19" cm="1">
        <f t="array" ref="H749">_xlfn.XLOOKUP(MONTH(G749) &amp; YEAR(G749),MONTH($B$6:$B$38) &amp; YEAR($B$6:$B$38),$C$6:$C$38)</f>
        <v>2.2799999999999998</v>
      </c>
    </row>
    <row r="750" spans="6:8" x14ac:dyDescent="0.3">
      <c r="F750" s="19">
        <v>745</v>
      </c>
      <c r="G750" s="22">
        <v>45186</v>
      </c>
      <c r="H750" s="19" cm="1">
        <f t="array" ref="H750">_xlfn.XLOOKUP(MONTH(G750) &amp; YEAR(G750),MONTH($B$6:$B$38) &amp; YEAR($B$6:$B$38),$C$6:$C$38)</f>
        <v>2.2799999999999998</v>
      </c>
    </row>
    <row r="751" spans="6:8" x14ac:dyDescent="0.3">
      <c r="F751" s="19">
        <v>746</v>
      </c>
      <c r="G751" s="22">
        <v>45185</v>
      </c>
      <c r="H751" s="19" cm="1">
        <f t="array" ref="H751">_xlfn.XLOOKUP(MONTH(G751) &amp; YEAR(G751),MONTH($B$6:$B$38) &amp; YEAR($B$6:$B$38),$C$6:$C$38)</f>
        <v>2.2799999999999998</v>
      </c>
    </row>
    <row r="752" spans="6:8" x14ac:dyDescent="0.3">
      <c r="F752" s="19">
        <v>747</v>
      </c>
      <c r="G752" s="22">
        <v>45184</v>
      </c>
      <c r="H752" s="19" cm="1">
        <f t="array" ref="H752">_xlfn.XLOOKUP(MONTH(G752) &amp; YEAR(G752),MONTH($B$6:$B$38) &amp; YEAR($B$6:$B$38),$C$6:$C$38)</f>
        <v>2.2799999999999998</v>
      </c>
    </row>
    <row r="753" spans="6:8" x14ac:dyDescent="0.3">
      <c r="F753" s="19">
        <v>748</v>
      </c>
      <c r="G753" s="22">
        <v>45183</v>
      </c>
      <c r="H753" s="19" cm="1">
        <f t="array" ref="H753">_xlfn.XLOOKUP(MONTH(G753) &amp; YEAR(G753),MONTH($B$6:$B$38) &amp; YEAR($B$6:$B$38),$C$6:$C$38)</f>
        <v>2.2799999999999998</v>
      </c>
    </row>
    <row r="754" spans="6:8" x14ac:dyDescent="0.3">
      <c r="F754" s="19">
        <v>749</v>
      </c>
      <c r="G754" s="22">
        <v>45182</v>
      </c>
      <c r="H754" s="19" cm="1">
        <f t="array" ref="H754">_xlfn.XLOOKUP(MONTH(G754) &amp; YEAR(G754),MONTH($B$6:$B$38) &amp; YEAR($B$6:$B$38),$C$6:$C$38)</f>
        <v>2.2799999999999998</v>
      </c>
    </row>
    <row r="755" spans="6:8" x14ac:dyDescent="0.3">
      <c r="F755" s="19">
        <v>750</v>
      </c>
      <c r="G755" s="22">
        <v>45181</v>
      </c>
      <c r="H755" s="19" cm="1">
        <f t="array" ref="H755">_xlfn.XLOOKUP(MONTH(G755) &amp; YEAR(G755),MONTH($B$6:$B$38) &amp; YEAR($B$6:$B$38),$C$6:$C$38)</f>
        <v>2.2799999999999998</v>
      </c>
    </row>
    <row r="756" spans="6:8" x14ac:dyDescent="0.3">
      <c r="F756" s="19">
        <v>751</v>
      </c>
      <c r="G756" s="22">
        <v>45180</v>
      </c>
      <c r="H756" s="19" cm="1">
        <f t="array" ref="H756">_xlfn.XLOOKUP(MONTH(G756) &amp; YEAR(G756),MONTH($B$6:$B$38) &amp; YEAR($B$6:$B$38),$C$6:$C$38)</f>
        <v>2.2799999999999998</v>
      </c>
    </row>
    <row r="757" spans="6:8" x14ac:dyDescent="0.3">
      <c r="F757" s="19">
        <v>752</v>
      </c>
      <c r="G757" s="22">
        <v>45179</v>
      </c>
      <c r="H757" s="19" cm="1">
        <f t="array" ref="H757">_xlfn.XLOOKUP(MONTH(G757) &amp; YEAR(G757),MONTH($B$6:$B$38) &amp; YEAR($B$6:$B$38),$C$6:$C$38)</f>
        <v>2.2799999999999998</v>
      </c>
    </row>
    <row r="758" spans="6:8" x14ac:dyDescent="0.3">
      <c r="F758" s="19">
        <v>753</v>
      </c>
      <c r="G758" s="22">
        <v>45178</v>
      </c>
      <c r="H758" s="19" cm="1">
        <f t="array" ref="H758">_xlfn.XLOOKUP(MONTH(G758) &amp; YEAR(G758),MONTH($B$6:$B$38) &amp; YEAR($B$6:$B$38),$C$6:$C$38)</f>
        <v>2.2799999999999998</v>
      </c>
    </row>
    <row r="759" spans="6:8" x14ac:dyDescent="0.3">
      <c r="F759" s="19">
        <v>754</v>
      </c>
      <c r="G759" s="22">
        <v>45177</v>
      </c>
      <c r="H759" s="19" cm="1">
        <f t="array" ref="H759">_xlfn.XLOOKUP(MONTH(G759) &amp; YEAR(G759),MONTH($B$6:$B$38) &amp; YEAR($B$6:$B$38),$C$6:$C$38)</f>
        <v>2.2799999999999998</v>
      </c>
    </row>
    <row r="760" spans="6:8" x14ac:dyDescent="0.3">
      <c r="F760" s="19">
        <v>755</v>
      </c>
      <c r="G760" s="22">
        <v>45176</v>
      </c>
      <c r="H760" s="19" cm="1">
        <f t="array" ref="H760">_xlfn.XLOOKUP(MONTH(G760) &amp; YEAR(G760),MONTH($B$6:$B$38) &amp; YEAR($B$6:$B$38),$C$6:$C$38)</f>
        <v>2.2799999999999998</v>
      </c>
    </row>
    <row r="761" spans="6:8" x14ac:dyDescent="0.3">
      <c r="F761" s="19">
        <v>756</v>
      </c>
      <c r="G761" s="22">
        <v>45175</v>
      </c>
      <c r="H761" s="19" cm="1">
        <f t="array" ref="H761">_xlfn.XLOOKUP(MONTH(G761) &amp; YEAR(G761),MONTH($B$6:$B$38) &amp; YEAR($B$6:$B$38),$C$6:$C$38)</f>
        <v>2.2799999999999998</v>
      </c>
    </row>
    <row r="762" spans="6:8" x14ac:dyDescent="0.3">
      <c r="F762" s="19">
        <v>757</v>
      </c>
      <c r="G762" s="22">
        <v>45174</v>
      </c>
      <c r="H762" s="19" cm="1">
        <f t="array" ref="H762">_xlfn.XLOOKUP(MONTH(G762) &amp; YEAR(G762),MONTH($B$6:$B$38) &amp; YEAR($B$6:$B$38),$C$6:$C$38)</f>
        <v>2.2799999999999998</v>
      </c>
    </row>
    <row r="763" spans="6:8" x14ac:dyDescent="0.3">
      <c r="F763" s="19">
        <v>758</v>
      </c>
      <c r="G763" s="22">
        <v>45173</v>
      </c>
      <c r="H763" s="19" cm="1">
        <f t="array" ref="H763">_xlfn.XLOOKUP(MONTH(G763) &amp; YEAR(G763),MONTH($B$6:$B$38) &amp; YEAR($B$6:$B$38),$C$6:$C$38)</f>
        <v>2.2799999999999998</v>
      </c>
    </row>
    <row r="764" spans="6:8" x14ac:dyDescent="0.3">
      <c r="F764" s="19">
        <v>759</v>
      </c>
      <c r="G764" s="22">
        <v>45172</v>
      </c>
      <c r="H764" s="19" cm="1">
        <f t="array" ref="H764">_xlfn.XLOOKUP(MONTH(G764) &amp; YEAR(G764),MONTH($B$6:$B$38) &amp; YEAR($B$6:$B$38),$C$6:$C$38)</f>
        <v>2.2799999999999998</v>
      </c>
    </row>
    <row r="765" spans="6:8" x14ac:dyDescent="0.3">
      <c r="F765" s="19">
        <v>760</v>
      </c>
      <c r="G765" s="22">
        <v>45171</v>
      </c>
      <c r="H765" s="19" cm="1">
        <f t="array" ref="H765">_xlfn.XLOOKUP(MONTH(G765) &amp; YEAR(G765),MONTH($B$6:$B$38) &amp; YEAR($B$6:$B$38),$C$6:$C$38)</f>
        <v>2.2799999999999998</v>
      </c>
    </row>
    <row r="766" spans="6:8" x14ac:dyDescent="0.3">
      <c r="F766" s="19">
        <v>761</v>
      </c>
      <c r="G766" s="22">
        <v>45170</v>
      </c>
      <c r="H766" s="19" cm="1">
        <f t="array" ref="H766">_xlfn.XLOOKUP(MONTH(G766) &amp; YEAR(G766),MONTH($B$6:$B$38) &amp; YEAR($B$6:$B$38),$C$6:$C$38)</f>
        <v>2.2799999999999998</v>
      </c>
    </row>
    <row r="767" spans="6:8" x14ac:dyDescent="0.3">
      <c r="F767" s="19">
        <v>762</v>
      </c>
      <c r="G767" s="22">
        <v>45169</v>
      </c>
      <c r="H767" s="19" cm="1">
        <f t="array" ref="H767">_xlfn.XLOOKUP(MONTH(G767) &amp; YEAR(G767),MONTH($B$6:$B$38) &amp; YEAR($B$6:$B$38),$C$6:$C$38)</f>
        <v>3.27</v>
      </c>
    </row>
    <row r="768" spans="6:8" x14ac:dyDescent="0.3">
      <c r="F768" s="19">
        <v>763</v>
      </c>
      <c r="G768" s="22">
        <v>45168</v>
      </c>
      <c r="H768" s="19" cm="1">
        <f t="array" ref="H768">_xlfn.XLOOKUP(MONTH(G768) &amp; YEAR(G768),MONTH($B$6:$B$38) &amp; YEAR($B$6:$B$38),$C$6:$C$38)</f>
        <v>3.27</v>
      </c>
    </row>
    <row r="769" spans="6:8" x14ac:dyDescent="0.3">
      <c r="F769" s="19">
        <v>764</v>
      </c>
      <c r="G769" s="22">
        <v>45167</v>
      </c>
      <c r="H769" s="19" cm="1">
        <f t="array" ref="H769">_xlfn.XLOOKUP(MONTH(G769) &amp; YEAR(G769),MONTH($B$6:$B$38) &amp; YEAR($B$6:$B$38),$C$6:$C$38)</f>
        <v>3.27</v>
      </c>
    </row>
    <row r="770" spans="6:8" x14ac:dyDescent="0.3">
      <c r="F770" s="19">
        <v>765</v>
      </c>
      <c r="G770" s="22">
        <v>45166</v>
      </c>
      <c r="H770" s="19" cm="1">
        <f t="array" ref="H770">_xlfn.XLOOKUP(MONTH(G770) &amp; YEAR(G770),MONTH($B$6:$B$38) &amp; YEAR($B$6:$B$38),$C$6:$C$38)</f>
        <v>3.27</v>
      </c>
    </row>
    <row r="771" spans="6:8" x14ac:dyDescent="0.3">
      <c r="F771" s="19">
        <v>766</v>
      </c>
      <c r="G771" s="22">
        <v>45165</v>
      </c>
      <c r="H771" s="19" cm="1">
        <f t="array" ref="H771">_xlfn.XLOOKUP(MONTH(G771) &amp; YEAR(G771),MONTH($B$6:$B$38) &amp; YEAR($B$6:$B$38),$C$6:$C$38)</f>
        <v>3.27</v>
      </c>
    </row>
    <row r="772" spans="6:8" x14ac:dyDescent="0.3">
      <c r="F772" s="19">
        <v>767</v>
      </c>
      <c r="G772" s="22">
        <v>45164</v>
      </c>
      <c r="H772" s="19" cm="1">
        <f t="array" ref="H772">_xlfn.XLOOKUP(MONTH(G772) &amp; YEAR(G772),MONTH($B$6:$B$38) &amp; YEAR($B$6:$B$38),$C$6:$C$38)</f>
        <v>3.27</v>
      </c>
    </row>
    <row r="773" spans="6:8" x14ac:dyDescent="0.3">
      <c r="F773" s="19">
        <v>768</v>
      </c>
      <c r="G773" s="22">
        <v>45163</v>
      </c>
      <c r="H773" s="19" cm="1">
        <f t="array" ref="H773">_xlfn.XLOOKUP(MONTH(G773) &amp; YEAR(G773),MONTH($B$6:$B$38) &amp; YEAR($B$6:$B$38),$C$6:$C$38)</f>
        <v>3.27</v>
      </c>
    </row>
    <row r="774" spans="6:8" x14ac:dyDescent="0.3">
      <c r="F774" s="19">
        <v>769</v>
      </c>
      <c r="G774" s="22">
        <v>45162</v>
      </c>
      <c r="H774" s="19" cm="1">
        <f t="array" ref="H774">_xlfn.XLOOKUP(MONTH(G774) &amp; YEAR(G774),MONTH($B$6:$B$38) &amp; YEAR($B$6:$B$38),$C$6:$C$38)</f>
        <v>3.27</v>
      </c>
    </row>
    <row r="775" spans="6:8" x14ac:dyDescent="0.3">
      <c r="F775" s="19">
        <v>770</v>
      </c>
      <c r="G775" s="22">
        <v>45161</v>
      </c>
      <c r="H775" s="19" cm="1">
        <f t="array" ref="H775">_xlfn.XLOOKUP(MONTH(G775) &amp; YEAR(G775),MONTH($B$6:$B$38) &amp; YEAR($B$6:$B$38),$C$6:$C$38)</f>
        <v>3.27</v>
      </c>
    </row>
    <row r="776" spans="6:8" x14ac:dyDescent="0.3">
      <c r="F776" s="19">
        <v>771</v>
      </c>
      <c r="G776" s="22">
        <v>45160</v>
      </c>
      <c r="H776" s="19" cm="1">
        <f t="array" ref="H776">_xlfn.XLOOKUP(MONTH(G776) &amp; YEAR(G776),MONTH($B$6:$B$38) &amp; YEAR($B$6:$B$38),$C$6:$C$38)</f>
        <v>3.27</v>
      </c>
    </row>
    <row r="777" spans="6:8" x14ac:dyDescent="0.3">
      <c r="F777" s="19">
        <v>772</v>
      </c>
      <c r="G777" s="22">
        <v>45159</v>
      </c>
      <c r="H777" s="19" cm="1">
        <f t="array" ref="H777">_xlfn.XLOOKUP(MONTH(G777) &amp; YEAR(G777),MONTH($B$6:$B$38) &amp; YEAR($B$6:$B$38),$C$6:$C$38)</f>
        <v>3.27</v>
      </c>
    </row>
    <row r="778" spans="6:8" x14ac:dyDescent="0.3">
      <c r="F778" s="19">
        <v>773</v>
      </c>
      <c r="G778" s="22">
        <v>45158</v>
      </c>
      <c r="H778" s="19" cm="1">
        <f t="array" ref="H778">_xlfn.XLOOKUP(MONTH(G778) &amp; YEAR(G778),MONTH($B$6:$B$38) &amp; YEAR($B$6:$B$38),$C$6:$C$38)</f>
        <v>3.27</v>
      </c>
    </row>
    <row r="779" spans="6:8" x14ac:dyDescent="0.3">
      <c r="F779" s="19">
        <v>774</v>
      </c>
      <c r="G779" s="22">
        <v>45157</v>
      </c>
      <c r="H779" s="19" cm="1">
        <f t="array" ref="H779">_xlfn.XLOOKUP(MONTH(G779) &amp; YEAR(G779),MONTH($B$6:$B$38) &amp; YEAR($B$6:$B$38),$C$6:$C$38)</f>
        <v>3.27</v>
      </c>
    </row>
    <row r="780" spans="6:8" x14ac:dyDescent="0.3">
      <c r="F780" s="19">
        <v>775</v>
      </c>
      <c r="G780" s="22">
        <v>45156</v>
      </c>
      <c r="H780" s="19" cm="1">
        <f t="array" ref="H780">_xlfn.XLOOKUP(MONTH(G780) &amp; YEAR(G780),MONTH($B$6:$B$38) &amp; YEAR($B$6:$B$38),$C$6:$C$38)</f>
        <v>3.27</v>
      </c>
    </row>
    <row r="781" spans="6:8" x14ac:dyDescent="0.3">
      <c r="F781" s="19">
        <v>776</v>
      </c>
      <c r="G781" s="22">
        <v>45155</v>
      </c>
      <c r="H781" s="19" cm="1">
        <f t="array" ref="H781">_xlfn.XLOOKUP(MONTH(G781) &amp; YEAR(G781),MONTH($B$6:$B$38) &amp; YEAR($B$6:$B$38),$C$6:$C$38)</f>
        <v>3.27</v>
      </c>
    </row>
    <row r="782" spans="6:8" x14ac:dyDescent="0.3">
      <c r="F782" s="19">
        <v>777</v>
      </c>
      <c r="G782" s="22">
        <v>45154</v>
      </c>
      <c r="H782" s="19" cm="1">
        <f t="array" ref="H782">_xlfn.XLOOKUP(MONTH(G782) &amp; YEAR(G782),MONTH($B$6:$B$38) &amp; YEAR($B$6:$B$38),$C$6:$C$38)</f>
        <v>3.27</v>
      </c>
    </row>
    <row r="783" spans="6:8" x14ac:dyDescent="0.3">
      <c r="F783" s="19">
        <v>778</v>
      </c>
      <c r="G783" s="22">
        <v>45153</v>
      </c>
      <c r="H783" s="19" cm="1">
        <f t="array" ref="H783">_xlfn.XLOOKUP(MONTH(G783) &amp; YEAR(G783),MONTH($B$6:$B$38) &amp; YEAR($B$6:$B$38),$C$6:$C$38)</f>
        <v>3.27</v>
      </c>
    </row>
    <row r="784" spans="6:8" x14ac:dyDescent="0.3">
      <c r="F784" s="19">
        <v>779</v>
      </c>
      <c r="G784" s="22">
        <v>45152</v>
      </c>
      <c r="H784" s="19" cm="1">
        <f t="array" ref="H784">_xlfn.XLOOKUP(MONTH(G784) &amp; YEAR(G784),MONTH($B$6:$B$38) &amp; YEAR($B$6:$B$38),$C$6:$C$38)</f>
        <v>3.27</v>
      </c>
    </row>
    <row r="785" spans="6:8" x14ac:dyDescent="0.3">
      <c r="F785" s="19">
        <v>780</v>
      </c>
      <c r="G785" s="22">
        <v>45151</v>
      </c>
      <c r="H785" s="19" cm="1">
        <f t="array" ref="H785">_xlfn.XLOOKUP(MONTH(G785) &amp; YEAR(G785),MONTH($B$6:$B$38) &amp; YEAR($B$6:$B$38),$C$6:$C$38)</f>
        <v>3.27</v>
      </c>
    </row>
    <row r="786" spans="6:8" x14ac:dyDescent="0.3">
      <c r="F786" s="19">
        <v>781</v>
      </c>
      <c r="G786" s="22">
        <v>45150</v>
      </c>
      <c r="H786" s="19" cm="1">
        <f t="array" ref="H786">_xlfn.XLOOKUP(MONTH(G786) &amp; YEAR(G786),MONTH($B$6:$B$38) &amp; YEAR($B$6:$B$38),$C$6:$C$38)</f>
        <v>3.27</v>
      </c>
    </row>
    <row r="787" spans="6:8" x14ac:dyDescent="0.3">
      <c r="F787" s="19">
        <v>782</v>
      </c>
      <c r="G787" s="22">
        <v>45149</v>
      </c>
      <c r="H787" s="19" cm="1">
        <f t="array" ref="H787">_xlfn.XLOOKUP(MONTH(G787) &amp; YEAR(G787),MONTH($B$6:$B$38) &amp; YEAR($B$6:$B$38),$C$6:$C$38)</f>
        <v>3.27</v>
      </c>
    </row>
    <row r="788" spans="6:8" x14ac:dyDescent="0.3">
      <c r="F788" s="19">
        <v>783</v>
      </c>
      <c r="G788" s="22">
        <v>45148</v>
      </c>
      <c r="H788" s="19" cm="1">
        <f t="array" ref="H788">_xlfn.XLOOKUP(MONTH(G788) &amp; YEAR(G788),MONTH($B$6:$B$38) &amp; YEAR($B$6:$B$38),$C$6:$C$38)</f>
        <v>3.27</v>
      </c>
    </row>
    <row r="789" spans="6:8" x14ac:dyDescent="0.3">
      <c r="F789" s="19">
        <v>784</v>
      </c>
      <c r="G789" s="22">
        <v>45147</v>
      </c>
      <c r="H789" s="19" cm="1">
        <f t="array" ref="H789">_xlfn.XLOOKUP(MONTH(G789) &amp; YEAR(G789),MONTH($B$6:$B$38) &amp; YEAR($B$6:$B$38),$C$6:$C$38)</f>
        <v>3.27</v>
      </c>
    </row>
    <row r="790" spans="6:8" x14ac:dyDescent="0.3">
      <c r="F790" s="19">
        <v>785</v>
      </c>
      <c r="G790" s="22">
        <v>45146</v>
      </c>
      <c r="H790" s="19" cm="1">
        <f t="array" ref="H790">_xlfn.XLOOKUP(MONTH(G790) &amp; YEAR(G790),MONTH($B$6:$B$38) &amp; YEAR($B$6:$B$38),$C$6:$C$38)</f>
        <v>3.27</v>
      </c>
    </row>
    <row r="791" spans="6:8" x14ac:dyDescent="0.3">
      <c r="F791" s="19">
        <v>786</v>
      </c>
      <c r="G791" s="22">
        <v>45145</v>
      </c>
      <c r="H791" s="19" cm="1">
        <f t="array" ref="H791">_xlfn.XLOOKUP(MONTH(G791) &amp; YEAR(G791),MONTH($B$6:$B$38) &amp; YEAR($B$6:$B$38),$C$6:$C$38)</f>
        <v>3.27</v>
      </c>
    </row>
    <row r="792" spans="6:8" x14ac:dyDescent="0.3">
      <c r="F792" s="19">
        <v>787</v>
      </c>
      <c r="G792" s="22">
        <v>45144</v>
      </c>
      <c r="H792" s="19" cm="1">
        <f t="array" ref="H792">_xlfn.XLOOKUP(MONTH(G792) &amp; YEAR(G792),MONTH($B$6:$B$38) &amp; YEAR($B$6:$B$38),$C$6:$C$38)</f>
        <v>3.27</v>
      </c>
    </row>
    <row r="793" spans="6:8" x14ac:dyDescent="0.3">
      <c r="F793" s="19">
        <v>788</v>
      </c>
      <c r="G793" s="22">
        <v>45143</v>
      </c>
      <c r="H793" s="19" cm="1">
        <f t="array" ref="H793">_xlfn.XLOOKUP(MONTH(G793) &amp; YEAR(G793),MONTH($B$6:$B$38) &amp; YEAR($B$6:$B$38),$C$6:$C$38)</f>
        <v>3.27</v>
      </c>
    </row>
    <row r="794" spans="6:8" x14ac:dyDescent="0.3">
      <c r="F794" s="19">
        <v>789</v>
      </c>
      <c r="G794" s="22">
        <v>45142</v>
      </c>
      <c r="H794" s="19" cm="1">
        <f t="array" ref="H794">_xlfn.XLOOKUP(MONTH(G794) &amp; YEAR(G794),MONTH($B$6:$B$38) &amp; YEAR($B$6:$B$38),$C$6:$C$38)</f>
        <v>3.27</v>
      </c>
    </row>
    <row r="795" spans="6:8" x14ac:dyDescent="0.3">
      <c r="F795" s="19">
        <v>790</v>
      </c>
      <c r="G795" s="22">
        <v>45141</v>
      </c>
      <c r="H795" s="19" cm="1">
        <f t="array" ref="H795">_xlfn.XLOOKUP(MONTH(G795) &amp; YEAR(G795),MONTH($B$6:$B$38) &amp; YEAR($B$6:$B$38),$C$6:$C$38)</f>
        <v>3.27</v>
      </c>
    </row>
    <row r="796" spans="6:8" x14ac:dyDescent="0.3">
      <c r="F796" s="19">
        <v>791</v>
      </c>
      <c r="G796" s="22">
        <v>45140</v>
      </c>
      <c r="H796" s="19" cm="1">
        <f t="array" ref="H796">_xlfn.XLOOKUP(MONTH(G796) &amp; YEAR(G796),MONTH($B$6:$B$38) &amp; YEAR($B$6:$B$38),$C$6:$C$38)</f>
        <v>3.27</v>
      </c>
    </row>
    <row r="797" spans="6:8" x14ac:dyDescent="0.3">
      <c r="F797" s="19">
        <v>792</v>
      </c>
      <c r="G797" s="22">
        <v>45139</v>
      </c>
      <c r="H797" s="19" cm="1">
        <f t="array" ref="H797">_xlfn.XLOOKUP(MONTH(G797) &amp; YEAR(G797),MONTH($B$6:$B$38) &amp; YEAR($B$6:$B$38),$C$6:$C$38)</f>
        <v>3.27</v>
      </c>
    </row>
    <row r="798" spans="6:8" x14ac:dyDescent="0.3">
      <c r="F798" s="19">
        <v>793</v>
      </c>
      <c r="G798" s="22">
        <v>45138</v>
      </c>
      <c r="H798" s="19" cm="1">
        <f t="array" ref="H798">_xlfn.XLOOKUP(MONTH(G798) &amp; YEAR(G798),MONTH($B$6:$B$38) &amp; YEAR($B$6:$B$38),$C$6:$C$38)</f>
        <v>3.08</v>
      </c>
    </row>
    <row r="799" spans="6:8" x14ac:dyDescent="0.3">
      <c r="F799" s="19">
        <v>794</v>
      </c>
      <c r="G799" s="22">
        <v>45137</v>
      </c>
      <c r="H799" s="19" cm="1">
        <f t="array" ref="H799">_xlfn.XLOOKUP(MONTH(G799) &amp; YEAR(G799),MONTH($B$6:$B$38) &amp; YEAR($B$6:$B$38),$C$6:$C$38)</f>
        <v>3.08</v>
      </c>
    </row>
    <row r="800" spans="6:8" x14ac:dyDescent="0.3">
      <c r="F800" s="19">
        <v>795</v>
      </c>
      <c r="G800" s="22">
        <v>45136</v>
      </c>
      <c r="H800" s="19" cm="1">
        <f t="array" ref="H800">_xlfn.XLOOKUP(MONTH(G800) &amp; YEAR(G800),MONTH($B$6:$B$38) &amp; YEAR($B$6:$B$38),$C$6:$C$38)</f>
        <v>3.08</v>
      </c>
    </row>
    <row r="801" spans="6:8" x14ac:dyDescent="0.3">
      <c r="F801" s="19">
        <v>796</v>
      </c>
      <c r="G801" s="22">
        <v>45135</v>
      </c>
      <c r="H801" s="19" cm="1">
        <f t="array" ref="H801">_xlfn.XLOOKUP(MONTH(G801) &amp; YEAR(G801),MONTH($B$6:$B$38) &amp; YEAR($B$6:$B$38),$C$6:$C$38)</f>
        <v>3.08</v>
      </c>
    </row>
    <row r="802" spans="6:8" x14ac:dyDescent="0.3">
      <c r="F802" s="19">
        <v>797</v>
      </c>
      <c r="G802" s="22">
        <v>45134</v>
      </c>
      <c r="H802" s="19" cm="1">
        <f t="array" ref="H802">_xlfn.XLOOKUP(MONTH(G802) &amp; YEAR(G802),MONTH($B$6:$B$38) &amp; YEAR($B$6:$B$38),$C$6:$C$38)</f>
        <v>3.08</v>
      </c>
    </row>
    <row r="803" spans="6:8" x14ac:dyDescent="0.3">
      <c r="F803" s="19">
        <v>798</v>
      </c>
      <c r="G803" s="22">
        <v>45133</v>
      </c>
      <c r="H803" s="19" cm="1">
        <f t="array" ref="H803">_xlfn.XLOOKUP(MONTH(G803) &amp; YEAR(G803),MONTH($B$6:$B$38) &amp; YEAR($B$6:$B$38),$C$6:$C$38)</f>
        <v>3.08</v>
      </c>
    </row>
    <row r="804" spans="6:8" x14ac:dyDescent="0.3">
      <c r="F804" s="19">
        <v>799</v>
      </c>
      <c r="G804" s="22">
        <v>45132</v>
      </c>
      <c r="H804" s="19" cm="1">
        <f t="array" ref="H804">_xlfn.XLOOKUP(MONTH(G804) &amp; YEAR(G804),MONTH($B$6:$B$38) &amp; YEAR($B$6:$B$38),$C$6:$C$38)</f>
        <v>3.08</v>
      </c>
    </row>
    <row r="805" spans="6:8" x14ac:dyDescent="0.3">
      <c r="F805" s="19">
        <v>800</v>
      </c>
      <c r="G805" s="22">
        <v>45131</v>
      </c>
      <c r="H805" s="19" cm="1">
        <f t="array" ref="H805">_xlfn.XLOOKUP(MONTH(G805) &amp; YEAR(G805),MONTH($B$6:$B$38) &amp; YEAR($B$6:$B$38),$C$6:$C$38)</f>
        <v>3.08</v>
      </c>
    </row>
    <row r="806" spans="6:8" x14ac:dyDescent="0.3">
      <c r="F806" s="19">
        <v>801</v>
      </c>
      <c r="G806" s="22">
        <v>45130</v>
      </c>
      <c r="H806" s="19" cm="1">
        <f t="array" ref="H806">_xlfn.XLOOKUP(MONTH(G806) &amp; YEAR(G806),MONTH($B$6:$B$38) &amp; YEAR($B$6:$B$38),$C$6:$C$38)</f>
        <v>3.08</v>
      </c>
    </row>
    <row r="807" spans="6:8" x14ac:dyDescent="0.3">
      <c r="F807" s="19">
        <v>802</v>
      </c>
      <c r="G807" s="22">
        <v>45129</v>
      </c>
      <c r="H807" s="19" cm="1">
        <f t="array" ref="H807">_xlfn.XLOOKUP(MONTH(G807) &amp; YEAR(G807),MONTH($B$6:$B$38) &amp; YEAR($B$6:$B$38),$C$6:$C$38)</f>
        <v>3.08</v>
      </c>
    </row>
    <row r="808" spans="6:8" x14ac:dyDescent="0.3">
      <c r="F808" s="19">
        <v>803</v>
      </c>
      <c r="G808" s="22">
        <v>45128</v>
      </c>
      <c r="H808" s="19" cm="1">
        <f t="array" ref="H808">_xlfn.XLOOKUP(MONTH(G808) &amp; YEAR(G808),MONTH($B$6:$B$38) &amp; YEAR($B$6:$B$38),$C$6:$C$38)</f>
        <v>3.08</v>
      </c>
    </row>
    <row r="809" spans="6:8" x14ac:dyDescent="0.3">
      <c r="F809" s="19">
        <v>804</v>
      </c>
      <c r="G809" s="22">
        <v>45127</v>
      </c>
      <c r="H809" s="19" cm="1">
        <f t="array" ref="H809">_xlfn.XLOOKUP(MONTH(G809) &amp; YEAR(G809),MONTH($B$6:$B$38) &amp; YEAR($B$6:$B$38),$C$6:$C$38)</f>
        <v>3.08</v>
      </c>
    </row>
    <row r="810" spans="6:8" x14ac:dyDescent="0.3">
      <c r="F810" s="19">
        <v>805</v>
      </c>
      <c r="G810" s="22">
        <v>45126</v>
      </c>
      <c r="H810" s="19" cm="1">
        <f t="array" ref="H810">_xlfn.XLOOKUP(MONTH(G810) &amp; YEAR(G810),MONTH($B$6:$B$38) &amp; YEAR($B$6:$B$38),$C$6:$C$38)</f>
        <v>3.08</v>
      </c>
    </row>
    <row r="811" spans="6:8" x14ac:dyDescent="0.3">
      <c r="F811" s="19">
        <v>806</v>
      </c>
      <c r="G811" s="22">
        <v>45125</v>
      </c>
      <c r="H811" s="19" cm="1">
        <f t="array" ref="H811">_xlfn.XLOOKUP(MONTH(G811) &amp; YEAR(G811),MONTH($B$6:$B$38) &amp; YEAR($B$6:$B$38),$C$6:$C$38)</f>
        <v>3.08</v>
      </c>
    </row>
    <row r="812" spans="6:8" x14ac:dyDescent="0.3">
      <c r="F812" s="19">
        <v>807</v>
      </c>
      <c r="G812" s="22">
        <v>45124</v>
      </c>
      <c r="H812" s="19" cm="1">
        <f t="array" ref="H812">_xlfn.XLOOKUP(MONTH(G812) &amp; YEAR(G812),MONTH($B$6:$B$38) &amp; YEAR($B$6:$B$38),$C$6:$C$38)</f>
        <v>3.08</v>
      </c>
    </row>
    <row r="813" spans="6:8" x14ac:dyDescent="0.3">
      <c r="F813" s="19">
        <v>808</v>
      </c>
      <c r="G813" s="22">
        <v>45123</v>
      </c>
      <c r="H813" s="19" cm="1">
        <f t="array" ref="H813">_xlfn.XLOOKUP(MONTH(G813) &amp; YEAR(G813),MONTH($B$6:$B$38) &amp; YEAR($B$6:$B$38),$C$6:$C$38)</f>
        <v>3.08</v>
      </c>
    </row>
    <row r="814" spans="6:8" x14ac:dyDescent="0.3">
      <c r="F814" s="19">
        <v>809</v>
      </c>
      <c r="G814" s="22">
        <v>45122</v>
      </c>
      <c r="H814" s="19" cm="1">
        <f t="array" ref="H814">_xlfn.XLOOKUP(MONTH(G814) &amp; YEAR(G814),MONTH($B$6:$B$38) &amp; YEAR($B$6:$B$38),$C$6:$C$38)</f>
        <v>3.08</v>
      </c>
    </row>
    <row r="815" spans="6:8" x14ac:dyDescent="0.3">
      <c r="F815" s="19">
        <v>810</v>
      </c>
      <c r="G815" s="22">
        <v>45121</v>
      </c>
      <c r="H815" s="19" cm="1">
        <f t="array" ref="H815">_xlfn.XLOOKUP(MONTH(G815) &amp; YEAR(G815),MONTH($B$6:$B$38) &amp; YEAR($B$6:$B$38),$C$6:$C$38)</f>
        <v>3.08</v>
      </c>
    </row>
    <row r="816" spans="6:8" x14ac:dyDescent="0.3">
      <c r="F816" s="19">
        <v>811</v>
      </c>
      <c r="G816" s="22">
        <v>45120</v>
      </c>
      <c r="H816" s="19" cm="1">
        <f t="array" ref="H816">_xlfn.XLOOKUP(MONTH(G816) &amp; YEAR(G816),MONTH($B$6:$B$38) &amp; YEAR($B$6:$B$38),$C$6:$C$38)</f>
        <v>3.08</v>
      </c>
    </row>
    <row r="817" spans="6:8" x14ac:dyDescent="0.3">
      <c r="F817" s="19">
        <v>812</v>
      </c>
      <c r="G817" s="22">
        <v>45119</v>
      </c>
      <c r="H817" s="19" cm="1">
        <f t="array" ref="H817">_xlfn.XLOOKUP(MONTH(G817) &amp; YEAR(G817),MONTH($B$6:$B$38) &amp; YEAR($B$6:$B$38),$C$6:$C$38)</f>
        <v>3.08</v>
      </c>
    </row>
    <row r="818" spans="6:8" x14ac:dyDescent="0.3">
      <c r="F818" s="19">
        <v>813</v>
      </c>
      <c r="G818" s="22">
        <v>45118</v>
      </c>
      <c r="H818" s="19" cm="1">
        <f t="array" ref="H818">_xlfn.XLOOKUP(MONTH(G818) &amp; YEAR(G818),MONTH($B$6:$B$38) &amp; YEAR($B$6:$B$38),$C$6:$C$38)</f>
        <v>3.08</v>
      </c>
    </row>
    <row r="819" spans="6:8" x14ac:dyDescent="0.3">
      <c r="F819" s="19">
        <v>814</v>
      </c>
      <c r="G819" s="22">
        <v>45117</v>
      </c>
      <c r="H819" s="19" cm="1">
        <f t="array" ref="H819">_xlfn.XLOOKUP(MONTH(G819) &amp; YEAR(G819),MONTH($B$6:$B$38) &amp; YEAR($B$6:$B$38),$C$6:$C$38)</f>
        <v>3.08</v>
      </c>
    </row>
    <row r="820" spans="6:8" x14ac:dyDescent="0.3">
      <c r="F820" s="19">
        <v>815</v>
      </c>
      <c r="G820" s="22">
        <v>45116</v>
      </c>
      <c r="H820" s="19" cm="1">
        <f t="array" ref="H820">_xlfn.XLOOKUP(MONTH(G820) &amp; YEAR(G820),MONTH($B$6:$B$38) &amp; YEAR($B$6:$B$38),$C$6:$C$38)</f>
        <v>3.08</v>
      </c>
    </row>
    <row r="821" spans="6:8" x14ac:dyDescent="0.3">
      <c r="F821" s="19">
        <v>816</v>
      </c>
      <c r="G821" s="22">
        <v>45115</v>
      </c>
      <c r="H821" s="19" cm="1">
        <f t="array" ref="H821">_xlfn.XLOOKUP(MONTH(G821) &amp; YEAR(G821),MONTH($B$6:$B$38) &amp; YEAR($B$6:$B$38),$C$6:$C$38)</f>
        <v>3.08</v>
      </c>
    </row>
    <row r="822" spans="6:8" x14ac:dyDescent="0.3">
      <c r="F822" s="19">
        <v>817</v>
      </c>
      <c r="G822" s="22">
        <v>45114</v>
      </c>
      <c r="H822" s="19" cm="1">
        <f t="array" ref="H822">_xlfn.XLOOKUP(MONTH(G822) &amp; YEAR(G822),MONTH($B$6:$B$38) &amp; YEAR($B$6:$B$38),$C$6:$C$38)</f>
        <v>3.08</v>
      </c>
    </row>
    <row r="823" spans="6:8" x14ac:dyDescent="0.3">
      <c r="F823" s="19">
        <v>818</v>
      </c>
      <c r="G823" s="22">
        <v>45113</v>
      </c>
      <c r="H823" s="19" cm="1">
        <f t="array" ref="H823">_xlfn.XLOOKUP(MONTH(G823) &amp; YEAR(G823),MONTH($B$6:$B$38) &amp; YEAR($B$6:$B$38),$C$6:$C$38)</f>
        <v>3.08</v>
      </c>
    </row>
    <row r="824" spans="6:8" x14ac:dyDescent="0.3">
      <c r="F824" s="19">
        <v>819</v>
      </c>
      <c r="G824" s="22">
        <v>45112</v>
      </c>
      <c r="H824" s="19" cm="1">
        <f t="array" ref="H824">_xlfn.XLOOKUP(MONTH(G824) &amp; YEAR(G824),MONTH($B$6:$B$38) &amp; YEAR($B$6:$B$38),$C$6:$C$38)</f>
        <v>3.08</v>
      </c>
    </row>
    <row r="825" spans="6:8" x14ac:dyDescent="0.3">
      <c r="F825" s="19">
        <v>820</v>
      </c>
      <c r="G825" s="22">
        <v>45111</v>
      </c>
      <c r="H825" s="19" cm="1">
        <f t="array" ref="H825">_xlfn.XLOOKUP(MONTH(G825) &amp; YEAR(G825),MONTH($B$6:$B$38) &amp; YEAR($B$6:$B$38),$C$6:$C$38)</f>
        <v>3.08</v>
      </c>
    </row>
    <row r="826" spans="6:8" x14ac:dyDescent="0.3">
      <c r="F826" s="19">
        <v>821</v>
      </c>
      <c r="G826" s="22">
        <v>45110</v>
      </c>
      <c r="H826" s="19" cm="1">
        <f t="array" ref="H826">_xlfn.XLOOKUP(MONTH(G826) &amp; YEAR(G826),MONTH($B$6:$B$38) &amp; YEAR($B$6:$B$38),$C$6:$C$38)</f>
        <v>3.08</v>
      </c>
    </row>
    <row r="827" spans="6:8" x14ac:dyDescent="0.3">
      <c r="F827" s="19">
        <v>822</v>
      </c>
      <c r="G827" s="22">
        <v>45109</v>
      </c>
      <c r="H827" s="19" cm="1">
        <f t="array" ref="H827">_xlfn.XLOOKUP(MONTH(G827) &amp; YEAR(G827),MONTH($B$6:$B$38) &amp; YEAR($B$6:$B$38),$C$6:$C$38)</f>
        <v>3.08</v>
      </c>
    </row>
    <row r="828" spans="6:8" x14ac:dyDescent="0.3">
      <c r="F828" s="19">
        <v>823</v>
      </c>
      <c r="G828" s="22">
        <v>45108</v>
      </c>
      <c r="H828" s="19" cm="1">
        <f t="array" ref="H828">_xlfn.XLOOKUP(MONTH(G828) &amp; YEAR(G828),MONTH($B$6:$B$38) &amp; YEAR($B$6:$B$38),$C$6:$C$38)</f>
        <v>3.08</v>
      </c>
    </row>
    <row r="829" spans="6:8" x14ac:dyDescent="0.3">
      <c r="F829" s="19">
        <v>824</v>
      </c>
      <c r="G829" s="22">
        <v>45107</v>
      </c>
      <c r="H829" s="19" cm="1">
        <f t="array" ref="H829">_xlfn.XLOOKUP(MONTH(G829) &amp; YEAR(G829),MONTH($B$6:$B$38) &amp; YEAR($B$6:$B$38),$C$6:$C$38)</f>
        <v>3.52</v>
      </c>
    </row>
    <row r="830" spans="6:8" x14ac:dyDescent="0.3">
      <c r="F830" s="19">
        <v>825</v>
      </c>
      <c r="G830" s="22">
        <v>45106</v>
      </c>
      <c r="H830" s="19" cm="1">
        <f t="array" ref="H830">_xlfn.XLOOKUP(MONTH(G830) &amp; YEAR(G830),MONTH($B$6:$B$38) &amp; YEAR($B$6:$B$38),$C$6:$C$38)</f>
        <v>3.52</v>
      </c>
    </row>
    <row r="831" spans="6:8" x14ac:dyDescent="0.3">
      <c r="F831" s="19">
        <v>826</v>
      </c>
      <c r="G831" s="22">
        <v>45105</v>
      </c>
      <c r="H831" s="19" cm="1">
        <f t="array" ref="H831">_xlfn.XLOOKUP(MONTH(G831) &amp; YEAR(G831),MONTH($B$6:$B$38) &amp; YEAR($B$6:$B$38),$C$6:$C$38)</f>
        <v>3.52</v>
      </c>
    </row>
    <row r="832" spans="6:8" x14ac:dyDescent="0.3">
      <c r="F832" s="19">
        <v>827</v>
      </c>
      <c r="G832" s="22">
        <v>45104</v>
      </c>
      <c r="H832" s="19" cm="1">
        <f t="array" ref="H832">_xlfn.XLOOKUP(MONTH(G832) &amp; YEAR(G832),MONTH($B$6:$B$38) &amp; YEAR($B$6:$B$38),$C$6:$C$38)</f>
        <v>3.52</v>
      </c>
    </row>
    <row r="833" spans="6:8" x14ac:dyDescent="0.3">
      <c r="F833" s="19">
        <v>828</v>
      </c>
      <c r="G833" s="22">
        <v>45103</v>
      </c>
      <c r="H833" s="19" cm="1">
        <f t="array" ref="H833">_xlfn.XLOOKUP(MONTH(G833) &amp; YEAR(G833),MONTH($B$6:$B$38) &amp; YEAR($B$6:$B$38),$C$6:$C$38)</f>
        <v>3.52</v>
      </c>
    </row>
    <row r="834" spans="6:8" x14ac:dyDescent="0.3">
      <c r="F834" s="19">
        <v>829</v>
      </c>
      <c r="G834" s="22">
        <v>45102</v>
      </c>
      <c r="H834" s="19" cm="1">
        <f t="array" ref="H834">_xlfn.XLOOKUP(MONTH(G834) &amp; YEAR(G834),MONTH($B$6:$B$38) &amp; YEAR($B$6:$B$38),$C$6:$C$38)</f>
        <v>3.52</v>
      </c>
    </row>
    <row r="835" spans="6:8" x14ac:dyDescent="0.3">
      <c r="F835" s="19">
        <v>830</v>
      </c>
      <c r="G835" s="22">
        <v>45101</v>
      </c>
      <c r="H835" s="19" cm="1">
        <f t="array" ref="H835">_xlfn.XLOOKUP(MONTH(G835) &amp; YEAR(G835),MONTH($B$6:$B$38) &amp; YEAR($B$6:$B$38),$C$6:$C$38)</f>
        <v>3.52</v>
      </c>
    </row>
    <row r="836" spans="6:8" x14ac:dyDescent="0.3">
      <c r="F836" s="19">
        <v>831</v>
      </c>
      <c r="G836" s="22">
        <v>45100</v>
      </c>
      <c r="H836" s="19" cm="1">
        <f t="array" ref="H836">_xlfn.XLOOKUP(MONTH(G836) &amp; YEAR(G836),MONTH($B$6:$B$38) &amp; YEAR($B$6:$B$38),$C$6:$C$38)</f>
        <v>3.52</v>
      </c>
    </row>
    <row r="837" spans="6:8" x14ac:dyDescent="0.3">
      <c r="F837" s="19">
        <v>832</v>
      </c>
      <c r="G837" s="22">
        <v>45099</v>
      </c>
      <c r="H837" s="19" cm="1">
        <f t="array" ref="H837">_xlfn.XLOOKUP(MONTH(G837) &amp; YEAR(G837),MONTH($B$6:$B$38) &amp; YEAR($B$6:$B$38),$C$6:$C$38)</f>
        <v>3.52</v>
      </c>
    </row>
    <row r="838" spans="6:8" x14ac:dyDescent="0.3">
      <c r="F838" s="19">
        <v>833</v>
      </c>
      <c r="G838" s="22">
        <v>45098</v>
      </c>
      <c r="H838" s="19" cm="1">
        <f t="array" ref="H838">_xlfn.XLOOKUP(MONTH(G838) &amp; YEAR(G838),MONTH($B$6:$B$38) &amp; YEAR($B$6:$B$38),$C$6:$C$38)</f>
        <v>3.52</v>
      </c>
    </row>
    <row r="839" spans="6:8" x14ac:dyDescent="0.3">
      <c r="F839" s="19">
        <v>834</v>
      </c>
      <c r="G839" s="22">
        <v>45097</v>
      </c>
      <c r="H839" s="19" cm="1">
        <f t="array" ref="H839">_xlfn.XLOOKUP(MONTH(G839) &amp; YEAR(G839),MONTH($B$6:$B$38) &amp; YEAR($B$6:$B$38),$C$6:$C$38)</f>
        <v>3.52</v>
      </c>
    </row>
    <row r="840" spans="6:8" x14ac:dyDescent="0.3">
      <c r="F840" s="19">
        <v>835</v>
      </c>
      <c r="G840" s="22">
        <v>45096</v>
      </c>
      <c r="H840" s="19" cm="1">
        <f t="array" ref="H840">_xlfn.XLOOKUP(MONTH(G840) &amp; YEAR(G840),MONTH($B$6:$B$38) &amp; YEAR($B$6:$B$38),$C$6:$C$38)</f>
        <v>3.52</v>
      </c>
    </row>
    <row r="841" spans="6:8" x14ac:dyDescent="0.3">
      <c r="F841" s="19">
        <v>836</v>
      </c>
      <c r="G841" s="22">
        <v>45095</v>
      </c>
      <c r="H841" s="19" cm="1">
        <f t="array" ref="H841">_xlfn.XLOOKUP(MONTH(G841) &amp; YEAR(G841),MONTH($B$6:$B$38) &amp; YEAR($B$6:$B$38),$C$6:$C$38)</f>
        <v>3.52</v>
      </c>
    </row>
    <row r="842" spans="6:8" x14ac:dyDescent="0.3">
      <c r="F842" s="19">
        <v>837</v>
      </c>
      <c r="G842" s="22">
        <v>45094</v>
      </c>
      <c r="H842" s="19" cm="1">
        <f t="array" ref="H842">_xlfn.XLOOKUP(MONTH(G842) &amp; YEAR(G842),MONTH($B$6:$B$38) &amp; YEAR($B$6:$B$38),$C$6:$C$38)</f>
        <v>3.52</v>
      </c>
    </row>
    <row r="843" spans="6:8" x14ac:dyDescent="0.3">
      <c r="F843" s="19">
        <v>838</v>
      </c>
      <c r="G843" s="22">
        <v>45093</v>
      </c>
      <c r="H843" s="19" cm="1">
        <f t="array" ref="H843">_xlfn.XLOOKUP(MONTH(G843) &amp; YEAR(G843),MONTH($B$6:$B$38) &amp; YEAR($B$6:$B$38),$C$6:$C$38)</f>
        <v>3.52</v>
      </c>
    </row>
    <row r="844" spans="6:8" x14ac:dyDescent="0.3">
      <c r="F844" s="19">
        <v>839</v>
      </c>
      <c r="G844" s="22">
        <v>45092</v>
      </c>
      <c r="H844" s="19" cm="1">
        <f t="array" ref="H844">_xlfn.XLOOKUP(MONTH(G844) &amp; YEAR(G844),MONTH($B$6:$B$38) &amp; YEAR($B$6:$B$38),$C$6:$C$38)</f>
        <v>3.52</v>
      </c>
    </row>
    <row r="845" spans="6:8" x14ac:dyDescent="0.3">
      <c r="F845" s="19">
        <v>840</v>
      </c>
      <c r="G845" s="22">
        <v>45091</v>
      </c>
      <c r="H845" s="19" cm="1">
        <f t="array" ref="H845">_xlfn.XLOOKUP(MONTH(G845) &amp; YEAR(G845),MONTH($B$6:$B$38) &amp; YEAR($B$6:$B$38),$C$6:$C$38)</f>
        <v>3.52</v>
      </c>
    </row>
    <row r="846" spans="6:8" x14ac:dyDescent="0.3">
      <c r="F846" s="19">
        <v>841</v>
      </c>
      <c r="G846" s="22">
        <v>45090</v>
      </c>
      <c r="H846" s="19" cm="1">
        <f t="array" ref="H846">_xlfn.XLOOKUP(MONTH(G846) &amp; YEAR(G846),MONTH($B$6:$B$38) &amp; YEAR($B$6:$B$38),$C$6:$C$38)</f>
        <v>3.52</v>
      </c>
    </row>
    <row r="847" spans="6:8" x14ac:dyDescent="0.3">
      <c r="F847" s="19">
        <v>842</v>
      </c>
      <c r="G847" s="22">
        <v>45089</v>
      </c>
      <c r="H847" s="19" cm="1">
        <f t="array" ref="H847">_xlfn.XLOOKUP(MONTH(G847) &amp; YEAR(G847),MONTH($B$6:$B$38) &amp; YEAR($B$6:$B$38),$C$6:$C$38)</f>
        <v>3.52</v>
      </c>
    </row>
    <row r="848" spans="6:8" x14ac:dyDescent="0.3">
      <c r="F848" s="19">
        <v>843</v>
      </c>
      <c r="G848" s="22">
        <v>45088</v>
      </c>
      <c r="H848" s="19" cm="1">
        <f t="array" ref="H848">_xlfn.XLOOKUP(MONTH(G848) &amp; YEAR(G848),MONTH($B$6:$B$38) &amp; YEAR($B$6:$B$38),$C$6:$C$38)</f>
        <v>3.52</v>
      </c>
    </row>
    <row r="849" spans="6:8" x14ac:dyDescent="0.3">
      <c r="F849" s="19">
        <v>844</v>
      </c>
      <c r="G849" s="22">
        <v>45087</v>
      </c>
      <c r="H849" s="19" cm="1">
        <f t="array" ref="H849">_xlfn.XLOOKUP(MONTH(G849) &amp; YEAR(G849),MONTH($B$6:$B$38) &amp; YEAR($B$6:$B$38),$C$6:$C$38)</f>
        <v>3.52</v>
      </c>
    </row>
    <row r="850" spans="6:8" x14ac:dyDescent="0.3">
      <c r="F850" s="19">
        <v>845</v>
      </c>
      <c r="G850" s="22">
        <v>45086</v>
      </c>
      <c r="H850" s="19" cm="1">
        <f t="array" ref="H850">_xlfn.XLOOKUP(MONTH(G850) &amp; YEAR(G850),MONTH($B$6:$B$38) &amp; YEAR($B$6:$B$38),$C$6:$C$38)</f>
        <v>3.52</v>
      </c>
    </row>
    <row r="851" spans="6:8" x14ac:dyDescent="0.3">
      <c r="F851" s="19">
        <v>846</v>
      </c>
      <c r="G851" s="22">
        <v>45085</v>
      </c>
      <c r="H851" s="19" cm="1">
        <f t="array" ref="H851">_xlfn.XLOOKUP(MONTH(G851) &amp; YEAR(G851),MONTH($B$6:$B$38) &amp; YEAR($B$6:$B$38),$C$6:$C$38)</f>
        <v>3.52</v>
      </c>
    </row>
    <row r="852" spans="6:8" x14ac:dyDescent="0.3">
      <c r="F852" s="19">
        <v>847</v>
      </c>
      <c r="G852" s="22">
        <v>45084</v>
      </c>
      <c r="H852" s="19" cm="1">
        <f t="array" ref="H852">_xlfn.XLOOKUP(MONTH(G852) &amp; YEAR(G852),MONTH($B$6:$B$38) &amp; YEAR($B$6:$B$38),$C$6:$C$38)</f>
        <v>3.52</v>
      </c>
    </row>
    <row r="853" spans="6:8" x14ac:dyDescent="0.3">
      <c r="F853" s="19">
        <v>848</v>
      </c>
      <c r="G853" s="22">
        <v>45083</v>
      </c>
      <c r="H853" s="19" cm="1">
        <f t="array" ref="H853">_xlfn.XLOOKUP(MONTH(G853) &amp; YEAR(G853),MONTH($B$6:$B$38) &amp; YEAR($B$6:$B$38),$C$6:$C$38)</f>
        <v>3.52</v>
      </c>
    </row>
    <row r="854" spans="6:8" x14ac:dyDescent="0.3">
      <c r="F854" s="19">
        <v>849</v>
      </c>
      <c r="G854" s="22">
        <v>45082</v>
      </c>
      <c r="H854" s="19" cm="1">
        <f t="array" ref="H854">_xlfn.XLOOKUP(MONTH(G854) &amp; YEAR(G854),MONTH($B$6:$B$38) &amp; YEAR($B$6:$B$38),$C$6:$C$38)</f>
        <v>3.52</v>
      </c>
    </row>
    <row r="855" spans="6:8" x14ac:dyDescent="0.3">
      <c r="F855" s="19">
        <v>850</v>
      </c>
      <c r="G855" s="22">
        <v>45081</v>
      </c>
      <c r="H855" s="19" cm="1">
        <f t="array" ref="H855">_xlfn.XLOOKUP(MONTH(G855) &amp; YEAR(G855),MONTH($B$6:$B$38) &amp; YEAR($B$6:$B$38),$C$6:$C$38)</f>
        <v>3.52</v>
      </c>
    </row>
    <row r="856" spans="6:8" x14ac:dyDescent="0.3">
      <c r="F856" s="19">
        <v>851</v>
      </c>
      <c r="G856" s="22">
        <v>45080</v>
      </c>
      <c r="H856" s="19" cm="1">
        <f t="array" ref="H856">_xlfn.XLOOKUP(MONTH(G856) &amp; YEAR(G856),MONTH($B$6:$B$38) &amp; YEAR($B$6:$B$38),$C$6:$C$38)</f>
        <v>3.52</v>
      </c>
    </row>
    <row r="857" spans="6:8" x14ac:dyDescent="0.3">
      <c r="F857" s="19">
        <v>852</v>
      </c>
      <c r="G857" s="22">
        <v>45079</v>
      </c>
      <c r="H857" s="19" cm="1">
        <f t="array" ref="H857">_xlfn.XLOOKUP(MONTH(G857) &amp; YEAR(G857),MONTH($B$6:$B$38) &amp; YEAR($B$6:$B$38),$C$6:$C$38)</f>
        <v>3.52</v>
      </c>
    </row>
    <row r="858" spans="6:8" x14ac:dyDescent="0.3">
      <c r="F858" s="19">
        <v>853</v>
      </c>
      <c r="G858" s="22">
        <v>45078</v>
      </c>
      <c r="H858" s="19" cm="1">
        <f t="array" ref="H858">_xlfn.XLOOKUP(MONTH(G858) &amp; YEAR(G858),MONTH($B$6:$B$38) &amp; YEAR($B$6:$B$38),$C$6:$C$38)</f>
        <v>3.52</v>
      </c>
    </row>
    <row r="859" spans="6:8" x14ac:dyDescent="0.3">
      <c r="F859" s="19">
        <v>854</v>
      </c>
      <c r="G859" s="22">
        <v>45077</v>
      </c>
      <c r="H859" s="19" cm="1">
        <f t="array" ref="H859">_xlfn.XLOOKUP(MONTH(G859) &amp; YEAR(G859),MONTH($B$6:$B$38) &amp; YEAR($B$6:$B$38),$C$6:$C$38)</f>
        <v>4</v>
      </c>
    </row>
    <row r="860" spans="6:8" x14ac:dyDescent="0.3">
      <c r="F860" s="19">
        <v>855</v>
      </c>
      <c r="G860" s="22">
        <v>45076</v>
      </c>
      <c r="H860" s="19" cm="1">
        <f t="array" ref="H860">_xlfn.XLOOKUP(MONTH(G860) &amp; YEAR(G860),MONTH($B$6:$B$38) &amp; YEAR($B$6:$B$38),$C$6:$C$38)</f>
        <v>4</v>
      </c>
    </row>
    <row r="861" spans="6:8" x14ac:dyDescent="0.3">
      <c r="F861" s="19">
        <v>856</v>
      </c>
      <c r="G861" s="22">
        <v>45075</v>
      </c>
      <c r="H861" s="19" cm="1">
        <f t="array" ref="H861">_xlfn.XLOOKUP(MONTH(G861) &amp; YEAR(G861),MONTH($B$6:$B$38) &amp; YEAR($B$6:$B$38),$C$6:$C$38)</f>
        <v>4</v>
      </c>
    </row>
    <row r="862" spans="6:8" x14ac:dyDescent="0.3">
      <c r="F862" s="19">
        <v>857</v>
      </c>
      <c r="G862" s="22">
        <v>45074</v>
      </c>
      <c r="H862" s="19" cm="1">
        <f t="array" ref="H862">_xlfn.XLOOKUP(MONTH(G862) &amp; YEAR(G862),MONTH($B$6:$B$38) &amp; YEAR($B$6:$B$38),$C$6:$C$38)</f>
        <v>4</v>
      </c>
    </row>
    <row r="863" spans="6:8" x14ac:dyDescent="0.3">
      <c r="F863" s="19">
        <v>858</v>
      </c>
      <c r="G863" s="22">
        <v>45073</v>
      </c>
      <c r="H863" s="19" cm="1">
        <f t="array" ref="H863">_xlfn.XLOOKUP(MONTH(G863) &amp; YEAR(G863),MONTH($B$6:$B$38) &amp; YEAR($B$6:$B$38),$C$6:$C$38)</f>
        <v>4</v>
      </c>
    </row>
    <row r="864" spans="6:8" x14ac:dyDescent="0.3">
      <c r="F864" s="19">
        <v>859</v>
      </c>
      <c r="G864" s="22">
        <v>45072</v>
      </c>
      <c r="H864" s="19" cm="1">
        <f t="array" ref="H864">_xlfn.XLOOKUP(MONTH(G864) &amp; YEAR(G864),MONTH($B$6:$B$38) &amp; YEAR($B$6:$B$38),$C$6:$C$38)</f>
        <v>4</v>
      </c>
    </row>
    <row r="865" spans="6:8" x14ac:dyDescent="0.3">
      <c r="F865" s="19">
        <v>860</v>
      </c>
      <c r="G865" s="22">
        <v>45071</v>
      </c>
      <c r="H865" s="19" cm="1">
        <f t="array" ref="H865">_xlfn.XLOOKUP(MONTH(G865) &amp; YEAR(G865),MONTH($B$6:$B$38) &amp; YEAR($B$6:$B$38),$C$6:$C$38)</f>
        <v>4</v>
      </c>
    </row>
    <row r="866" spans="6:8" x14ac:dyDescent="0.3">
      <c r="F866" s="19">
        <v>861</v>
      </c>
      <c r="G866" s="22">
        <v>45070</v>
      </c>
      <c r="H866" s="19" cm="1">
        <f t="array" ref="H866">_xlfn.XLOOKUP(MONTH(G866) &amp; YEAR(G866),MONTH($B$6:$B$38) &amp; YEAR($B$6:$B$38),$C$6:$C$38)</f>
        <v>4</v>
      </c>
    </row>
    <row r="867" spans="6:8" x14ac:dyDescent="0.3">
      <c r="F867" s="19">
        <v>862</v>
      </c>
      <c r="G867" s="22">
        <v>45069</v>
      </c>
      <c r="H867" s="19" cm="1">
        <f t="array" ref="H867">_xlfn.XLOOKUP(MONTH(G867) &amp; YEAR(G867),MONTH($B$6:$B$38) &amp; YEAR($B$6:$B$38),$C$6:$C$38)</f>
        <v>4</v>
      </c>
    </row>
    <row r="868" spans="6:8" x14ac:dyDescent="0.3">
      <c r="F868" s="19">
        <v>863</v>
      </c>
      <c r="G868" s="22">
        <v>45068</v>
      </c>
      <c r="H868" s="19" cm="1">
        <f t="array" ref="H868">_xlfn.XLOOKUP(MONTH(G868) &amp; YEAR(G868),MONTH($B$6:$B$38) &amp; YEAR($B$6:$B$38),$C$6:$C$38)</f>
        <v>4</v>
      </c>
    </row>
    <row r="869" spans="6:8" x14ac:dyDescent="0.3">
      <c r="F869" s="19">
        <v>864</v>
      </c>
      <c r="G869" s="22">
        <v>45067</v>
      </c>
      <c r="H869" s="19" cm="1">
        <f t="array" ref="H869">_xlfn.XLOOKUP(MONTH(G869) &amp; YEAR(G869),MONTH($B$6:$B$38) &amp; YEAR($B$6:$B$38),$C$6:$C$38)</f>
        <v>4</v>
      </c>
    </row>
    <row r="870" spans="6:8" x14ac:dyDescent="0.3">
      <c r="F870" s="19">
        <v>865</v>
      </c>
      <c r="G870" s="22">
        <v>45066</v>
      </c>
      <c r="H870" s="19" cm="1">
        <f t="array" ref="H870">_xlfn.XLOOKUP(MONTH(G870) &amp; YEAR(G870),MONTH($B$6:$B$38) &amp; YEAR($B$6:$B$38),$C$6:$C$38)</f>
        <v>4</v>
      </c>
    </row>
    <row r="871" spans="6:8" x14ac:dyDescent="0.3">
      <c r="F871" s="19">
        <v>866</v>
      </c>
      <c r="G871" s="22">
        <v>45065</v>
      </c>
      <c r="H871" s="19" cm="1">
        <f t="array" ref="H871">_xlfn.XLOOKUP(MONTH(G871) &amp; YEAR(G871),MONTH($B$6:$B$38) &amp; YEAR($B$6:$B$38),$C$6:$C$38)</f>
        <v>4</v>
      </c>
    </row>
    <row r="872" spans="6:8" x14ac:dyDescent="0.3">
      <c r="F872" s="19">
        <v>867</v>
      </c>
      <c r="G872" s="22">
        <v>45064</v>
      </c>
      <c r="H872" s="19" cm="1">
        <f t="array" ref="H872">_xlfn.XLOOKUP(MONTH(G872) &amp; YEAR(G872),MONTH($B$6:$B$38) &amp; YEAR($B$6:$B$38),$C$6:$C$38)</f>
        <v>4</v>
      </c>
    </row>
    <row r="873" spans="6:8" x14ac:dyDescent="0.3">
      <c r="F873" s="19">
        <v>868</v>
      </c>
      <c r="G873" s="22">
        <v>45063</v>
      </c>
      <c r="H873" s="19" cm="1">
        <f t="array" ref="H873">_xlfn.XLOOKUP(MONTH(G873) &amp; YEAR(G873),MONTH($B$6:$B$38) &amp; YEAR($B$6:$B$38),$C$6:$C$38)</f>
        <v>4</v>
      </c>
    </row>
    <row r="874" spans="6:8" x14ac:dyDescent="0.3">
      <c r="F874" s="19">
        <v>869</v>
      </c>
      <c r="G874" s="22">
        <v>45062</v>
      </c>
      <c r="H874" s="19" cm="1">
        <f t="array" ref="H874">_xlfn.XLOOKUP(MONTH(G874) &amp; YEAR(G874),MONTH($B$6:$B$38) &amp; YEAR($B$6:$B$38),$C$6:$C$38)</f>
        <v>4</v>
      </c>
    </row>
    <row r="875" spans="6:8" x14ac:dyDescent="0.3">
      <c r="F875" s="19">
        <v>870</v>
      </c>
      <c r="G875" s="22">
        <v>45061</v>
      </c>
      <c r="H875" s="19" cm="1">
        <f t="array" ref="H875">_xlfn.XLOOKUP(MONTH(G875) &amp; YEAR(G875),MONTH($B$6:$B$38) &amp; YEAR($B$6:$B$38),$C$6:$C$38)</f>
        <v>4</v>
      </c>
    </row>
    <row r="876" spans="6:8" x14ac:dyDescent="0.3">
      <c r="F876" s="19">
        <v>871</v>
      </c>
      <c r="G876" s="22">
        <v>45060</v>
      </c>
      <c r="H876" s="19" cm="1">
        <f t="array" ref="H876">_xlfn.XLOOKUP(MONTH(G876) &amp; YEAR(G876),MONTH($B$6:$B$38) &amp; YEAR($B$6:$B$38),$C$6:$C$38)</f>
        <v>4</v>
      </c>
    </row>
    <row r="877" spans="6:8" x14ac:dyDescent="0.3">
      <c r="F877" s="19">
        <v>872</v>
      </c>
      <c r="G877" s="22">
        <v>45059</v>
      </c>
      <c r="H877" s="19" cm="1">
        <f t="array" ref="H877">_xlfn.XLOOKUP(MONTH(G877) &amp; YEAR(G877),MONTH($B$6:$B$38) &amp; YEAR($B$6:$B$38),$C$6:$C$38)</f>
        <v>4</v>
      </c>
    </row>
    <row r="878" spans="6:8" x14ac:dyDescent="0.3">
      <c r="F878" s="19">
        <v>873</v>
      </c>
      <c r="G878" s="22">
        <v>45058</v>
      </c>
      <c r="H878" s="19" cm="1">
        <f t="array" ref="H878">_xlfn.XLOOKUP(MONTH(G878) &amp; YEAR(G878),MONTH($B$6:$B$38) &amp; YEAR($B$6:$B$38),$C$6:$C$38)</f>
        <v>4</v>
      </c>
    </row>
    <row r="879" spans="6:8" x14ac:dyDescent="0.3">
      <c r="F879" s="19">
        <v>874</v>
      </c>
      <c r="G879" s="22">
        <v>45057</v>
      </c>
      <c r="H879" s="19" cm="1">
        <f t="array" ref="H879">_xlfn.XLOOKUP(MONTH(G879) &amp; YEAR(G879),MONTH($B$6:$B$38) &amp; YEAR($B$6:$B$38),$C$6:$C$38)</f>
        <v>4</v>
      </c>
    </row>
    <row r="880" spans="6:8" x14ac:dyDescent="0.3">
      <c r="F880" s="19">
        <v>875</v>
      </c>
      <c r="G880" s="22">
        <v>45056</v>
      </c>
      <c r="H880" s="19" cm="1">
        <f t="array" ref="H880">_xlfn.XLOOKUP(MONTH(G880) &amp; YEAR(G880),MONTH($B$6:$B$38) &amp; YEAR($B$6:$B$38),$C$6:$C$38)</f>
        <v>4</v>
      </c>
    </row>
    <row r="881" spans="6:8" x14ac:dyDescent="0.3">
      <c r="F881" s="19">
        <v>876</v>
      </c>
      <c r="G881" s="22">
        <v>45055</v>
      </c>
      <c r="H881" s="19" cm="1">
        <f t="array" ref="H881">_xlfn.XLOOKUP(MONTH(G881) &amp; YEAR(G881),MONTH($B$6:$B$38) &amp; YEAR($B$6:$B$38),$C$6:$C$38)</f>
        <v>4</v>
      </c>
    </row>
    <row r="882" spans="6:8" x14ac:dyDescent="0.3">
      <c r="F882" s="19">
        <v>877</v>
      </c>
      <c r="G882" s="22">
        <v>45054</v>
      </c>
      <c r="H882" s="19" cm="1">
        <f t="array" ref="H882">_xlfn.XLOOKUP(MONTH(G882) &amp; YEAR(G882),MONTH($B$6:$B$38) &amp; YEAR($B$6:$B$38),$C$6:$C$38)</f>
        <v>4</v>
      </c>
    </row>
    <row r="883" spans="6:8" x14ac:dyDescent="0.3">
      <c r="F883" s="19">
        <v>878</v>
      </c>
      <c r="G883" s="22">
        <v>45053</v>
      </c>
      <c r="H883" s="19" cm="1">
        <f t="array" ref="H883">_xlfn.XLOOKUP(MONTH(G883) &amp; YEAR(G883),MONTH($B$6:$B$38) &amp; YEAR($B$6:$B$38),$C$6:$C$38)</f>
        <v>4</v>
      </c>
    </row>
    <row r="884" spans="6:8" x14ac:dyDescent="0.3">
      <c r="F884" s="19">
        <v>879</v>
      </c>
      <c r="G884" s="22">
        <v>45052</v>
      </c>
      <c r="H884" s="19" cm="1">
        <f t="array" ref="H884">_xlfn.XLOOKUP(MONTH(G884) &amp; YEAR(G884),MONTH($B$6:$B$38) &amp; YEAR($B$6:$B$38),$C$6:$C$38)</f>
        <v>4</v>
      </c>
    </row>
    <row r="885" spans="6:8" x14ac:dyDescent="0.3">
      <c r="F885" s="19">
        <v>880</v>
      </c>
      <c r="G885" s="22">
        <v>45051</v>
      </c>
      <c r="H885" s="19" cm="1">
        <f t="array" ref="H885">_xlfn.XLOOKUP(MONTH(G885) &amp; YEAR(G885),MONTH($B$6:$B$38) &amp; YEAR($B$6:$B$38),$C$6:$C$38)</f>
        <v>4</v>
      </c>
    </row>
    <row r="886" spans="6:8" x14ac:dyDescent="0.3">
      <c r="F886" s="19">
        <v>881</v>
      </c>
      <c r="G886" s="22">
        <v>45050</v>
      </c>
      <c r="H886" s="19" cm="1">
        <f t="array" ref="H886">_xlfn.XLOOKUP(MONTH(G886) &amp; YEAR(G886),MONTH($B$6:$B$38) &amp; YEAR($B$6:$B$38),$C$6:$C$38)</f>
        <v>4</v>
      </c>
    </row>
    <row r="887" spans="6:8" x14ac:dyDescent="0.3">
      <c r="F887" s="19">
        <v>882</v>
      </c>
      <c r="G887" s="22">
        <v>45049</v>
      </c>
      <c r="H887" s="19" cm="1">
        <f t="array" ref="H887">_xlfn.XLOOKUP(MONTH(G887) &amp; YEAR(G887),MONTH($B$6:$B$38) &amp; YEAR($B$6:$B$38),$C$6:$C$38)</f>
        <v>4</v>
      </c>
    </row>
    <row r="888" spans="6:8" x14ac:dyDescent="0.3">
      <c r="F888" s="19">
        <v>883</v>
      </c>
      <c r="G888" s="22">
        <v>45048</v>
      </c>
      <c r="H888" s="19" cm="1">
        <f t="array" ref="H888">_xlfn.XLOOKUP(MONTH(G888) &amp; YEAR(G888),MONTH($B$6:$B$38) &amp; YEAR($B$6:$B$38),$C$6:$C$38)</f>
        <v>4</v>
      </c>
    </row>
    <row r="889" spans="6:8" x14ac:dyDescent="0.3">
      <c r="F889" s="19">
        <v>884</v>
      </c>
      <c r="G889" s="22">
        <v>45047</v>
      </c>
      <c r="H889" s="19" cm="1">
        <f t="array" ref="H889">_xlfn.XLOOKUP(MONTH(G889) &amp; YEAR(G889),MONTH($B$6:$B$38) &amp; YEAR($B$6:$B$38),$C$6:$C$38)</f>
        <v>4</v>
      </c>
    </row>
    <row r="890" spans="6:8" x14ac:dyDescent="0.3">
      <c r="F890" s="19">
        <v>885</v>
      </c>
      <c r="G890" s="22">
        <v>45046</v>
      </c>
      <c r="H890" s="19" cm="1">
        <f t="array" ref="H890">_xlfn.XLOOKUP(MONTH(G890) &amp; YEAR(G890),MONTH($B$6:$B$38) &amp; YEAR($B$6:$B$38),$C$6:$C$38)</f>
        <v>4.33</v>
      </c>
    </row>
    <row r="891" spans="6:8" x14ac:dyDescent="0.3">
      <c r="F891" s="19">
        <v>886</v>
      </c>
      <c r="G891" s="22">
        <v>45045</v>
      </c>
      <c r="H891" s="19" cm="1">
        <f t="array" ref="H891">_xlfn.XLOOKUP(MONTH(G891) &amp; YEAR(G891),MONTH($B$6:$B$38) &amp; YEAR($B$6:$B$38),$C$6:$C$38)</f>
        <v>4.33</v>
      </c>
    </row>
    <row r="892" spans="6:8" x14ac:dyDescent="0.3">
      <c r="F892" s="19">
        <v>887</v>
      </c>
      <c r="G892" s="22">
        <v>45044</v>
      </c>
      <c r="H892" s="19" cm="1">
        <f t="array" ref="H892">_xlfn.XLOOKUP(MONTH(G892) &amp; YEAR(G892),MONTH($B$6:$B$38) &amp; YEAR($B$6:$B$38),$C$6:$C$38)</f>
        <v>4.33</v>
      </c>
    </row>
    <row r="893" spans="6:8" x14ac:dyDescent="0.3">
      <c r="F893" s="19">
        <v>888</v>
      </c>
      <c r="G893" s="22">
        <v>45043</v>
      </c>
      <c r="H893" s="19" cm="1">
        <f t="array" ref="H893">_xlfn.XLOOKUP(MONTH(G893) &amp; YEAR(G893),MONTH($B$6:$B$38) &amp; YEAR($B$6:$B$38),$C$6:$C$38)</f>
        <v>4.33</v>
      </c>
    </row>
    <row r="894" spans="6:8" x14ac:dyDescent="0.3">
      <c r="F894" s="19">
        <v>889</v>
      </c>
      <c r="G894" s="22">
        <v>45042</v>
      </c>
      <c r="H894" s="19" cm="1">
        <f t="array" ref="H894">_xlfn.XLOOKUP(MONTH(G894) &amp; YEAR(G894),MONTH($B$6:$B$38) &amp; YEAR($B$6:$B$38),$C$6:$C$38)</f>
        <v>4.33</v>
      </c>
    </row>
    <row r="895" spans="6:8" x14ac:dyDescent="0.3">
      <c r="F895" s="19">
        <v>890</v>
      </c>
      <c r="G895" s="22">
        <v>45041</v>
      </c>
      <c r="H895" s="19" cm="1">
        <f t="array" ref="H895">_xlfn.XLOOKUP(MONTH(G895) &amp; YEAR(G895),MONTH($B$6:$B$38) &amp; YEAR($B$6:$B$38),$C$6:$C$38)</f>
        <v>4.33</v>
      </c>
    </row>
    <row r="896" spans="6:8" x14ac:dyDescent="0.3">
      <c r="F896" s="19">
        <v>891</v>
      </c>
      <c r="G896" s="22">
        <v>45040</v>
      </c>
      <c r="H896" s="19" cm="1">
        <f t="array" ref="H896">_xlfn.XLOOKUP(MONTH(G896) &amp; YEAR(G896),MONTH($B$6:$B$38) &amp; YEAR($B$6:$B$38),$C$6:$C$38)</f>
        <v>4.33</v>
      </c>
    </row>
    <row r="897" spans="6:8" x14ac:dyDescent="0.3">
      <c r="F897" s="19">
        <v>892</v>
      </c>
      <c r="G897" s="22">
        <v>45039</v>
      </c>
      <c r="H897" s="19" cm="1">
        <f t="array" ref="H897">_xlfn.XLOOKUP(MONTH(G897) &amp; YEAR(G897),MONTH($B$6:$B$38) &amp; YEAR($B$6:$B$38),$C$6:$C$38)</f>
        <v>4.33</v>
      </c>
    </row>
    <row r="898" spans="6:8" x14ac:dyDescent="0.3">
      <c r="F898" s="19">
        <v>893</v>
      </c>
      <c r="G898" s="22">
        <v>45038</v>
      </c>
      <c r="H898" s="19" cm="1">
        <f t="array" ref="H898">_xlfn.XLOOKUP(MONTH(G898) &amp; YEAR(G898),MONTH($B$6:$B$38) &amp; YEAR($B$6:$B$38),$C$6:$C$38)</f>
        <v>4.33</v>
      </c>
    </row>
    <row r="899" spans="6:8" x14ac:dyDescent="0.3">
      <c r="F899" s="19">
        <v>894</v>
      </c>
      <c r="G899" s="22">
        <v>45037</v>
      </c>
      <c r="H899" s="19" cm="1">
        <f t="array" ref="H899">_xlfn.XLOOKUP(MONTH(G899) &amp; YEAR(G899),MONTH($B$6:$B$38) &amp; YEAR($B$6:$B$38),$C$6:$C$38)</f>
        <v>4.33</v>
      </c>
    </row>
    <row r="900" spans="6:8" x14ac:dyDescent="0.3">
      <c r="F900" s="19">
        <v>895</v>
      </c>
      <c r="G900" s="22">
        <v>45036</v>
      </c>
      <c r="H900" s="19" cm="1">
        <f t="array" ref="H900">_xlfn.XLOOKUP(MONTH(G900) &amp; YEAR(G900),MONTH($B$6:$B$38) &amp; YEAR($B$6:$B$38),$C$6:$C$38)</f>
        <v>4.33</v>
      </c>
    </row>
    <row r="901" spans="6:8" x14ac:dyDescent="0.3">
      <c r="F901" s="19">
        <v>896</v>
      </c>
      <c r="G901" s="22">
        <v>45035</v>
      </c>
      <c r="H901" s="19" cm="1">
        <f t="array" ref="H901">_xlfn.XLOOKUP(MONTH(G901) &amp; YEAR(G901),MONTH($B$6:$B$38) &amp; YEAR($B$6:$B$38),$C$6:$C$38)</f>
        <v>4.33</v>
      </c>
    </row>
    <row r="902" spans="6:8" x14ac:dyDescent="0.3">
      <c r="F902" s="19">
        <v>897</v>
      </c>
      <c r="G902" s="22">
        <v>45034</v>
      </c>
      <c r="H902" s="19" cm="1">
        <f t="array" ref="H902">_xlfn.XLOOKUP(MONTH(G902) &amp; YEAR(G902),MONTH($B$6:$B$38) &amp; YEAR($B$6:$B$38),$C$6:$C$38)</f>
        <v>4.33</v>
      </c>
    </row>
    <row r="903" spans="6:8" x14ac:dyDescent="0.3">
      <c r="F903" s="19">
        <v>898</v>
      </c>
      <c r="G903" s="22">
        <v>45033</v>
      </c>
      <c r="H903" s="19" cm="1">
        <f t="array" ref="H903">_xlfn.XLOOKUP(MONTH(G903) &amp; YEAR(G903),MONTH($B$6:$B$38) &amp; YEAR($B$6:$B$38),$C$6:$C$38)</f>
        <v>4.33</v>
      </c>
    </row>
    <row r="904" spans="6:8" x14ac:dyDescent="0.3">
      <c r="F904" s="19">
        <v>899</v>
      </c>
      <c r="G904" s="22">
        <v>45032</v>
      </c>
      <c r="H904" s="19" cm="1">
        <f t="array" ref="H904">_xlfn.XLOOKUP(MONTH(G904) &amp; YEAR(G904),MONTH($B$6:$B$38) &amp; YEAR($B$6:$B$38),$C$6:$C$38)</f>
        <v>4.33</v>
      </c>
    </row>
    <row r="905" spans="6:8" x14ac:dyDescent="0.3">
      <c r="F905" s="19">
        <v>900</v>
      </c>
      <c r="G905" s="22">
        <v>45031</v>
      </c>
      <c r="H905" s="19" cm="1">
        <f t="array" ref="H905">_xlfn.XLOOKUP(MONTH(G905) &amp; YEAR(G905),MONTH($B$6:$B$38) &amp; YEAR($B$6:$B$38),$C$6:$C$38)</f>
        <v>4.33</v>
      </c>
    </row>
    <row r="906" spans="6:8" x14ac:dyDescent="0.3">
      <c r="F906" s="19">
        <v>901</v>
      </c>
      <c r="G906" s="22">
        <v>45030</v>
      </c>
      <c r="H906" s="19" cm="1">
        <f t="array" ref="H906">_xlfn.XLOOKUP(MONTH(G906) &amp; YEAR(G906),MONTH($B$6:$B$38) &amp; YEAR($B$6:$B$38),$C$6:$C$38)</f>
        <v>4.33</v>
      </c>
    </row>
    <row r="907" spans="6:8" x14ac:dyDescent="0.3">
      <c r="F907" s="19">
        <v>902</v>
      </c>
      <c r="G907" s="22">
        <v>45029</v>
      </c>
      <c r="H907" s="19" cm="1">
        <f t="array" ref="H907">_xlfn.XLOOKUP(MONTH(G907) &amp; YEAR(G907),MONTH($B$6:$B$38) &amp; YEAR($B$6:$B$38),$C$6:$C$38)</f>
        <v>4.33</v>
      </c>
    </row>
    <row r="908" spans="6:8" x14ac:dyDescent="0.3">
      <c r="F908" s="19">
        <v>903</v>
      </c>
      <c r="G908" s="22">
        <v>45028</v>
      </c>
      <c r="H908" s="19" cm="1">
        <f t="array" ref="H908">_xlfn.XLOOKUP(MONTH(G908) &amp; YEAR(G908),MONTH($B$6:$B$38) &amp; YEAR($B$6:$B$38),$C$6:$C$38)</f>
        <v>4.33</v>
      </c>
    </row>
    <row r="909" spans="6:8" x14ac:dyDescent="0.3">
      <c r="F909" s="19">
        <v>904</v>
      </c>
      <c r="G909" s="22">
        <v>45027</v>
      </c>
      <c r="H909" s="19" cm="1">
        <f t="array" ref="H909">_xlfn.XLOOKUP(MONTH(G909) &amp; YEAR(G909),MONTH($B$6:$B$38) &amp; YEAR($B$6:$B$38),$C$6:$C$38)</f>
        <v>4.33</v>
      </c>
    </row>
    <row r="910" spans="6:8" x14ac:dyDescent="0.3">
      <c r="F910" s="19">
        <v>905</v>
      </c>
      <c r="G910" s="22">
        <v>45026</v>
      </c>
      <c r="H910" s="19" cm="1">
        <f t="array" ref="H910">_xlfn.XLOOKUP(MONTH(G910) &amp; YEAR(G910),MONTH($B$6:$B$38) &amp; YEAR($B$6:$B$38),$C$6:$C$38)</f>
        <v>4.33</v>
      </c>
    </row>
    <row r="911" spans="6:8" x14ac:dyDescent="0.3">
      <c r="F911" s="19">
        <v>906</v>
      </c>
      <c r="G911" s="22">
        <v>45025</v>
      </c>
      <c r="H911" s="19" cm="1">
        <f t="array" ref="H911">_xlfn.XLOOKUP(MONTH(G911) &amp; YEAR(G911),MONTH($B$6:$B$38) &amp; YEAR($B$6:$B$38),$C$6:$C$38)</f>
        <v>4.33</v>
      </c>
    </row>
    <row r="912" spans="6:8" x14ac:dyDescent="0.3">
      <c r="F912" s="19">
        <v>907</v>
      </c>
      <c r="G912" s="22">
        <v>45024</v>
      </c>
      <c r="H912" s="19" cm="1">
        <f t="array" ref="H912">_xlfn.XLOOKUP(MONTH(G912) &amp; YEAR(G912),MONTH($B$6:$B$38) &amp; YEAR($B$6:$B$38),$C$6:$C$38)</f>
        <v>4.33</v>
      </c>
    </row>
    <row r="913" spans="6:8" x14ac:dyDescent="0.3">
      <c r="F913" s="19">
        <v>908</v>
      </c>
      <c r="G913" s="22">
        <v>45023</v>
      </c>
      <c r="H913" s="19" cm="1">
        <f t="array" ref="H913">_xlfn.XLOOKUP(MONTH(G913) &amp; YEAR(G913),MONTH($B$6:$B$38) &amp; YEAR($B$6:$B$38),$C$6:$C$38)</f>
        <v>4.33</v>
      </c>
    </row>
    <row r="914" spans="6:8" x14ac:dyDescent="0.3">
      <c r="F914" s="19">
        <v>909</v>
      </c>
      <c r="G914" s="22">
        <v>45022</v>
      </c>
      <c r="H914" s="19" cm="1">
        <f t="array" ref="H914">_xlfn.XLOOKUP(MONTH(G914) &amp; YEAR(G914),MONTH($B$6:$B$38) &amp; YEAR($B$6:$B$38),$C$6:$C$38)</f>
        <v>4.33</v>
      </c>
    </row>
    <row r="915" spans="6:8" x14ac:dyDescent="0.3">
      <c r="F915" s="19">
        <v>910</v>
      </c>
      <c r="G915" s="22">
        <v>45021</v>
      </c>
      <c r="H915" s="19" cm="1">
        <f t="array" ref="H915">_xlfn.XLOOKUP(MONTH(G915) &amp; YEAR(G915),MONTH($B$6:$B$38) &amp; YEAR($B$6:$B$38),$C$6:$C$38)</f>
        <v>4.33</v>
      </c>
    </row>
    <row r="916" spans="6:8" x14ac:dyDescent="0.3">
      <c r="F916" s="19">
        <v>911</v>
      </c>
      <c r="G916" s="22">
        <v>45020</v>
      </c>
      <c r="H916" s="19" cm="1">
        <f t="array" ref="H916">_xlfn.XLOOKUP(MONTH(G916) &amp; YEAR(G916),MONTH($B$6:$B$38) &amp; YEAR($B$6:$B$38),$C$6:$C$38)</f>
        <v>4.33</v>
      </c>
    </row>
    <row r="917" spans="6:8" x14ac:dyDescent="0.3">
      <c r="F917" s="19">
        <v>912</v>
      </c>
      <c r="G917" s="22">
        <v>45019</v>
      </c>
      <c r="H917" s="19" cm="1">
        <f t="array" ref="H917">_xlfn.XLOOKUP(MONTH(G917) &amp; YEAR(G917),MONTH($B$6:$B$38) &amp; YEAR($B$6:$B$38),$C$6:$C$38)</f>
        <v>4.33</v>
      </c>
    </row>
    <row r="918" spans="6:8" x14ac:dyDescent="0.3">
      <c r="F918" s="19">
        <v>913</v>
      </c>
      <c r="G918" s="22">
        <v>45018</v>
      </c>
      <c r="H918" s="19" cm="1">
        <f t="array" ref="H918">_xlfn.XLOOKUP(MONTH(G918) &amp; YEAR(G918),MONTH($B$6:$B$38) &amp; YEAR($B$6:$B$38),$C$6:$C$38)</f>
        <v>4.33</v>
      </c>
    </row>
    <row r="919" spans="6:8" x14ac:dyDescent="0.3">
      <c r="F919" s="19">
        <v>914</v>
      </c>
      <c r="G919" s="22">
        <v>45017</v>
      </c>
      <c r="H919" s="19" cm="1">
        <f t="array" ref="H919">_xlfn.XLOOKUP(MONTH(G919) &amp; YEAR(G919),MONTH($B$6:$B$38) &amp; YEAR($B$6:$B$38),$C$6:$C$38)</f>
        <v>4.33</v>
      </c>
    </row>
    <row r="920" spans="6:8" x14ac:dyDescent="0.3">
      <c r="F920" s="19">
        <v>915</v>
      </c>
      <c r="G920" s="22">
        <v>45016</v>
      </c>
      <c r="H920" s="19" cm="1">
        <f t="array" ref="H920">_xlfn.XLOOKUP(MONTH(G920) &amp; YEAR(G920),MONTH($B$6:$B$38) &amp; YEAR($B$6:$B$38),$C$6:$C$38)</f>
        <v>4.97</v>
      </c>
    </row>
    <row r="921" spans="6:8" x14ac:dyDescent="0.3">
      <c r="F921" s="19">
        <v>916</v>
      </c>
      <c r="G921" s="22">
        <v>45015</v>
      </c>
      <c r="H921" s="19" cm="1">
        <f t="array" ref="H921">_xlfn.XLOOKUP(MONTH(G921) &amp; YEAR(G921),MONTH($B$6:$B$38) &amp; YEAR($B$6:$B$38),$C$6:$C$38)</f>
        <v>4.97</v>
      </c>
    </row>
    <row r="922" spans="6:8" x14ac:dyDescent="0.3">
      <c r="F922" s="19">
        <v>917</v>
      </c>
      <c r="G922" s="22">
        <v>45014</v>
      </c>
      <c r="H922" s="19" cm="1">
        <f t="array" ref="H922">_xlfn.XLOOKUP(MONTH(G922) &amp; YEAR(G922),MONTH($B$6:$B$38) &amp; YEAR($B$6:$B$38),$C$6:$C$38)</f>
        <v>4.97</v>
      </c>
    </row>
    <row r="923" spans="6:8" x14ac:dyDescent="0.3">
      <c r="F923" s="19">
        <v>918</v>
      </c>
      <c r="G923" s="22">
        <v>45013</v>
      </c>
      <c r="H923" s="19" cm="1">
        <f t="array" ref="H923">_xlfn.XLOOKUP(MONTH(G923) &amp; YEAR(G923),MONTH($B$6:$B$38) &amp; YEAR($B$6:$B$38),$C$6:$C$38)</f>
        <v>4.97</v>
      </c>
    </row>
    <row r="924" spans="6:8" x14ac:dyDescent="0.3">
      <c r="F924" s="19">
        <v>919</v>
      </c>
      <c r="G924" s="22">
        <v>45012</v>
      </c>
      <c r="H924" s="19" cm="1">
        <f t="array" ref="H924">_xlfn.XLOOKUP(MONTH(G924) &amp; YEAR(G924),MONTH($B$6:$B$38) &amp; YEAR($B$6:$B$38),$C$6:$C$38)</f>
        <v>4.97</v>
      </c>
    </row>
    <row r="925" spans="6:8" x14ac:dyDescent="0.3">
      <c r="F925" s="19">
        <v>920</v>
      </c>
      <c r="G925" s="22">
        <v>45011</v>
      </c>
      <c r="H925" s="19" cm="1">
        <f t="array" ref="H925">_xlfn.XLOOKUP(MONTH(G925) &amp; YEAR(G925),MONTH($B$6:$B$38) &amp; YEAR($B$6:$B$38),$C$6:$C$38)</f>
        <v>4.97</v>
      </c>
    </row>
    <row r="926" spans="6:8" x14ac:dyDescent="0.3">
      <c r="F926" s="19">
        <v>921</v>
      </c>
      <c r="G926" s="22">
        <v>45010</v>
      </c>
      <c r="H926" s="19" cm="1">
        <f t="array" ref="H926">_xlfn.XLOOKUP(MONTH(G926) &amp; YEAR(G926),MONTH($B$6:$B$38) &amp; YEAR($B$6:$B$38),$C$6:$C$38)</f>
        <v>4.97</v>
      </c>
    </row>
    <row r="927" spans="6:8" x14ac:dyDescent="0.3">
      <c r="F927" s="19">
        <v>922</v>
      </c>
      <c r="G927" s="22">
        <v>45009</v>
      </c>
      <c r="H927" s="19" cm="1">
        <f t="array" ref="H927">_xlfn.XLOOKUP(MONTH(G927) &amp; YEAR(G927),MONTH($B$6:$B$38) &amp; YEAR($B$6:$B$38),$C$6:$C$38)</f>
        <v>4.97</v>
      </c>
    </row>
    <row r="928" spans="6:8" x14ac:dyDescent="0.3">
      <c r="F928" s="19">
        <v>923</v>
      </c>
      <c r="G928" s="22">
        <v>45008</v>
      </c>
      <c r="H928" s="19" cm="1">
        <f t="array" ref="H928">_xlfn.XLOOKUP(MONTH(G928) &amp; YEAR(G928),MONTH($B$6:$B$38) &amp; YEAR($B$6:$B$38),$C$6:$C$38)</f>
        <v>4.97</v>
      </c>
    </row>
    <row r="929" spans="6:8" x14ac:dyDescent="0.3">
      <c r="F929" s="19">
        <v>924</v>
      </c>
      <c r="G929" s="22">
        <v>45007</v>
      </c>
      <c r="H929" s="19" cm="1">
        <f t="array" ref="H929">_xlfn.XLOOKUP(MONTH(G929) &amp; YEAR(G929),MONTH($B$6:$B$38) &amp; YEAR($B$6:$B$38),$C$6:$C$38)</f>
        <v>4.97</v>
      </c>
    </row>
    <row r="930" spans="6:8" x14ac:dyDescent="0.3">
      <c r="F930" s="19">
        <v>925</v>
      </c>
      <c r="G930" s="22">
        <v>45006</v>
      </c>
      <c r="H930" s="19" cm="1">
        <f t="array" ref="H930">_xlfn.XLOOKUP(MONTH(G930) &amp; YEAR(G930),MONTH($B$6:$B$38) &amp; YEAR($B$6:$B$38),$C$6:$C$38)</f>
        <v>4.97</v>
      </c>
    </row>
    <row r="931" spans="6:8" x14ac:dyDescent="0.3">
      <c r="F931" s="19">
        <v>926</v>
      </c>
      <c r="G931" s="22">
        <v>45005</v>
      </c>
      <c r="H931" s="19" cm="1">
        <f t="array" ref="H931">_xlfn.XLOOKUP(MONTH(G931) &amp; YEAR(G931),MONTH($B$6:$B$38) &amp; YEAR($B$6:$B$38),$C$6:$C$38)</f>
        <v>4.97</v>
      </c>
    </row>
    <row r="932" spans="6:8" x14ac:dyDescent="0.3">
      <c r="F932" s="19">
        <v>927</v>
      </c>
      <c r="G932" s="22">
        <v>45004</v>
      </c>
      <c r="H932" s="19" cm="1">
        <f t="array" ref="H932">_xlfn.XLOOKUP(MONTH(G932) &amp; YEAR(G932),MONTH($B$6:$B$38) &amp; YEAR($B$6:$B$38),$C$6:$C$38)</f>
        <v>4.97</v>
      </c>
    </row>
    <row r="933" spans="6:8" x14ac:dyDescent="0.3">
      <c r="F933" s="19">
        <v>928</v>
      </c>
      <c r="G933" s="22">
        <v>45003</v>
      </c>
      <c r="H933" s="19" cm="1">
        <f t="array" ref="H933">_xlfn.XLOOKUP(MONTH(G933) &amp; YEAR(G933),MONTH($B$6:$B$38) &amp; YEAR($B$6:$B$38),$C$6:$C$38)</f>
        <v>4.97</v>
      </c>
    </row>
    <row r="934" spans="6:8" x14ac:dyDescent="0.3">
      <c r="F934" s="19">
        <v>929</v>
      </c>
      <c r="G934" s="22">
        <v>45002</v>
      </c>
      <c r="H934" s="19" cm="1">
        <f t="array" ref="H934">_xlfn.XLOOKUP(MONTH(G934) &amp; YEAR(G934),MONTH($B$6:$B$38) &amp; YEAR($B$6:$B$38),$C$6:$C$38)</f>
        <v>4.97</v>
      </c>
    </row>
    <row r="935" spans="6:8" x14ac:dyDescent="0.3">
      <c r="F935" s="19">
        <v>930</v>
      </c>
      <c r="G935" s="22">
        <v>45001</v>
      </c>
      <c r="H935" s="19" cm="1">
        <f t="array" ref="H935">_xlfn.XLOOKUP(MONTH(G935) &amp; YEAR(G935),MONTH($B$6:$B$38) &amp; YEAR($B$6:$B$38),$C$6:$C$38)</f>
        <v>4.97</v>
      </c>
    </row>
    <row r="936" spans="6:8" x14ac:dyDescent="0.3">
      <c r="F936" s="19">
        <v>931</v>
      </c>
      <c r="G936" s="22">
        <v>45000</v>
      </c>
      <c r="H936" s="19" cm="1">
        <f t="array" ref="H936">_xlfn.XLOOKUP(MONTH(G936) &amp; YEAR(G936),MONTH($B$6:$B$38) &amp; YEAR($B$6:$B$38),$C$6:$C$38)</f>
        <v>4.97</v>
      </c>
    </row>
    <row r="937" spans="6:8" x14ac:dyDescent="0.3">
      <c r="F937" s="19">
        <v>932</v>
      </c>
      <c r="G937" s="22">
        <v>44999</v>
      </c>
      <c r="H937" s="19" cm="1">
        <f t="array" ref="H937">_xlfn.XLOOKUP(MONTH(G937) &amp; YEAR(G937),MONTH($B$6:$B$38) &amp; YEAR($B$6:$B$38),$C$6:$C$38)</f>
        <v>4.97</v>
      </c>
    </row>
    <row r="938" spans="6:8" x14ac:dyDescent="0.3">
      <c r="F938" s="19">
        <v>933</v>
      </c>
      <c r="G938" s="22">
        <v>44998</v>
      </c>
      <c r="H938" s="19" cm="1">
        <f t="array" ref="H938">_xlfn.XLOOKUP(MONTH(G938) &amp; YEAR(G938),MONTH($B$6:$B$38) &amp; YEAR($B$6:$B$38),$C$6:$C$38)</f>
        <v>4.97</v>
      </c>
    </row>
    <row r="939" spans="6:8" x14ac:dyDescent="0.3">
      <c r="F939" s="19">
        <v>934</v>
      </c>
      <c r="G939" s="22">
        <v>44997</v>
      </c>
      <c r="H939" s="19" cm="1">
        <f t="array" ref="H939">_xlfn.XLOOKUP(MONTH(G939) &amp; YEAR(G939),MONTH($B$6:$B$38) &amp; YEAR($B$6:$B$38),$C$6:$C$38)</f>
        <v>4.97</v>
      </c>
    </row>
    <row r="940" spans="6:8" x14ac:dyDescent="0.3">
      <c r="F940" s="19">
        <v>935</v>
      </c>
      <c r="G940" s="22">
        <v>44996</v>
      </c>
      <c r="H940" s="19" cm="1">
        <f t="array" ref="H940">_xlfn.XLOOKUP(MONTH(G940) &amp; YEAR(G940),MONTH($B$6:$B$38) &amp; YEAR($B$6:$B$38),$C$6:$C$38)</f>
        <v>4.97</v>
      </c>
    </row>
    <row r="941" spans="6:8" x14ac:dyDescent="0.3">
      <c r="F941" s="19">
        <v>936</v>
      </c>
      <c r="G941" s="22">
        <v>44995</v>
      </c>
      <c r="H941" s="19" cm="1">
        <f t="array" ref="H941">_xlfn.XLOOKUP(MONTH(G941) &amp; YEAR(G941),MONTH($B$6:$B$38) &amp; YEAR($B$6:$B$38),$C$6:$C$38)</f>
        <v>4.97</v>
      </c>
    </row>
    <row r="942" spans="6:8" x14ac:dyDescent="0.3">
      <c r="F942" s="19">
        <v>937</v>
      </c>
      <c r="G942" s="22">
        <v>44994</v>
      </c>
      <c r="H942" s="19" cm="1">
        <f t="array" ref="H942">_xlfn.XLOOKUP(MONTH(G942) &amp; YEAR(G942),MONTH($B$6:$B$38) &amp; YEAR($B$6:$B$38),$C$6:$C$38)</f>
        <v>4.97</v>
      </c>
    </row>
    <row r="943" spans="6:8" x14ac:dyDescent="0.3">
      <c r="F943" s="19">
        <v>938</v>
      </c>
      <c r="G943" s="22">
        <v>44993</v>
      </c>
      <c r="H943" s="19" cm="1">
        <f t="array" ref="H943">_xlfn.XLOOKUP(MONTH(G943) &amp; YEAR(G943),MONTH($B$6:$B$38) &amp; YEAR($B$6:$B$38),$C$6:$C$38)</f>
        <v>4.97</v>
      </c>
    </row>
    <row r="944" spans="6:8" x14ac:dyDescent="0.3">
      <c r="F944" s="19">
        <v>939</v>
      </c>
      <c r="G944" s="22">
        <v>44992</v>
      </c>
      <c r="H944" s="19" cm="1">
        <f t="array" ref="H944">_xlfn.XLOOKUP(MONTH(G944) &amp; YEAR(G944),MONTH($B$6:$B$38) &amp; YEAR($B$6:$B$38),$C$6:$C$38)</f>
        <v>4.97</v>
      </c>
    </row>
    <row r="945" spans="6:8" x14ac:dyDescent="0.3">
      <c r="F945" s="19">
        <v>940</v>
      </c>
      <c r="G945" s="22">
        <v>44991</v>
      </c>
      <c r="H945" s="19" cm="1">
        <f t="array" ref="H945">_xlfn.XLOOKUP(MONTH(G945) &amp; YEAR(G945),MONTH($B$6:$B$38) &amp; YEAR($B$6:$B$38),$C$6:$C$38)</f>
        <v>4.97</v>
      </c>
    </row>
    <row r="946" spans="6:8" x14ac:dyDescent="0.3">
      <c r="F946" s="19">
        <v>941</v>
      </c>
      <c r="G946" s="22">
        <v>44990</v>
      </c>
      <c r="H946" s="19" cm="1">
        <f t="array" ref="H946">_xlfn.XLOOKUP(MONTH(G946) &amp; YEAR(G946),MONTH($B$6:$B$38) &amp; YEAR($B$6:$B$38),$C$6:$C$38)</f>
        <v>4.97</v>
      </c>
    </row>
    <row r="947" spans="6:8" x14ac:dyDescent="0.3">
      <c r="F947" s="19">
        <v>942</v>
      </c>
      <c r="G947" s="22">
        <v>44989</v>
      </c>
      <c r="H947" s="19" cm="1">
        <f t="array" ref="H947">_xlfn.XLOOKUP(MONTH(G947) &amp; YEAR(G947),MONTH($B$6:$B$38) &amp; YEAR($B$6:$B$38),$C$6:$C$38)</f>
        <v>4.97</v>
      </c>
    </row>
    <row r="948" spans="6:8" x14ac:dyDescent="0.3">
      <c r="F948" s="19">
        <v>943</v>
      </c>
      <c r="G948" s="22">
        <v>44988</v>
      </c>
      <c r="H948" s="19" cm="1">
        <f t="array" ref="H948">_xlfn.XLOOKUP(MONTH(G948) &amp; YEAR(G948),MONTH($B$6:$B$38) &amp; YEAR($B$6:$B$38),$C$6:$C$38)</f>
        <v>4.97</v>
      </c>
    </row>
    <row r="949" spans="6:8" x14ac:dyDescent="0.3">
      <c r="F949" s="19">
        <v>944</v>
      </c>
      <c r="G949" s="22">
        <v>44987</v>
      </c>
      <c r="H949" s="19" cm="1">
        <f t="array" ref="H949">_xlfn.XLOOKUP(MONTH(G949) &amp; YEAR(G949),MONTH($B$6:$B$38) &amp; YEAR($B$6:$B$38),$C$6:$C$38)</f>
        <v>4.97</v>
      </c>
    </row>
    <row r="950" spans="6:8" x14ac:dyDescent="0.3">
      <c r="F950" s="19">
        <v>945</v>
      </c>
      <c r="G950" s="22">
        <v>44986</v>
      </c>
      <c r="H950" s="19" cm="1">
        <f t="array" ref="H950">_xlfn.XLOOKUP(MONTH(G950) &amp; YEAR(G950),MONTH($B$6:$B$38) &amp; YEAR($B$6:$B$38),$C$6:$C$38)</f>
        <v>4.97</v>
      </c>
    </row>
    <row r="951" spans="6:8" x14ac:dyDescent="0.3">
      <c r="F951" s="19">
        <v>946</v>
      </c>
      <c r="G951" s="22">
        <v>44985</v>
      </c>
      <c r="H951" s="19" cm="1">
        <f t="array" ref="H951">_xlfn.XLOOKUP(MONTH(G951) &amp; YEAR(G951),MONTH($B$6:$B$38) &amp; YEAR($B$6:$B$38),$C$6:$C$38)</f>
        <v>5.47</v>
      </c>
    </row>
    <row r="952" spans="6:8" x14ac:dyDescent="0.3">
      <c r="F952" s="19">
        <v>947</v>
      </c>
      <c r="G952" s="22">
        <v>44984</v>
      </c>
      <c r="H952" s="19" cm="1">
        <f t="array" ref="H952">_xlfn.XLOOKUP(MONTH(G952) &amp; YEAR(G952),MONTH($B$6:$B$38) &amp; YEAR($B$6:$B$38),$C$6:$C$38)</f>
        <v>5.47</v>
      </c>
    </row>
    <row r="953" spans="6:8" x14ac:dyDescent="0.3">
      <c r="F953" s="19">
        <v>948</v>
      </c>
      <c r="G953" s="22">
        <v>44983</v>
      </c>
      <c r="H953" s="19" cm="1">
        <f t="array" ref="H953">_xlfn.XLOOKUP(MONTH(G953) &amp; YEAR(G953),MONTH($B$6:$B$38) &amp; YEAR($B$6:$B$38),$C$6:$C$38)</f>
        <v>5.47</v>
      </c>
    </row>
    <row r="954" spans="6:8" x14ac:dyDescent="0.3">
      <c r="F954" s="19">
        <v>949</v>
      </c>
      <c r="G954" s="22">
        <v>44982</v>
      </c>
      <c r="H954" s="19" cm="1">
        <f t="array" ref="H954">_xlfn.XLOOKUP(MONTH(G954) &amp; YEAR(G954),MONTH($B$6:$B$38) &amp; YEAR($B$6:$B$38),$C$6:$C$38)</f>
        <v>5.47</v>
      </c>
    </row>
    <row r="955" spans="6:8" x14ac:dyDescent="0.3">
      <c r="F955" s="19">
        <v>950</v>
      </c>
      <c r="G955" s="22">
        <v>44981</v>
      </c>
      <c r="H955" s="19" cm="1">
        <f t="array" ref="H955">_xlfn.XLOOKUP(MONTH(G955) &amp; YEAR(G955),MONTH($B$6:$B$38) &amp; YEAR($B$6:$B$38),$C$6:$C$38)</f>
        <v>5.47</v>
      </c>
    </row>
    <row r="956" spans="6:8" x14ac:dyDescent="0.3">
      <c r="F956" s="19">
        <v>951</v>
      </c>
      <c r="G956" s="22">
        <v>44980</v>
      </c>
      <c r="H956" s="19" cm="1">
        <f t="array" ref="H956">_xlfn.XLOOKUP(MONTH(G956) &amp; YEAR(G956),MONTH($B$6:$B$38) &amp; YEAR($B$6:$B$38),$C$6:$C$38)</f>
        <v>5.47</v>
      </c>
    </row>
    <row r="957" spans="6:8" x14ac:dyDescent="0.3">
      <c r="F957" s="19">
        <v>952</v>
      </c>
      <c r="G957" s="22">
        <v>44979</v>
      </c>
      <c r="H957" s="19" cm="1">
        <f t="array" ref="H957">_xlfn.XLOOKUP(MONTH(G957) &amp; YEAR(G957),MONTH($B$6:$B$38) &amp; YEAR($B$6:$B$38),$C$6:$C$38)</f>
        <v>5.47</v>
      </c>
    </row>
    <row r="958" spans="6:8" x14ac:dyDescent="0.3">
      <c r="F958" s="19">
        <v>953</v>
      </c>
      <c r="G958" s="22">
        <v>44978</v>
      </c>
      <c r="H958" s="19" cm="1">
        <f t="array" ref="H958">_xlfn.XLOOKUP(MONTH(G958) &amp; YEAR(G958),MONTH($B$6:$B$38) &amp; YEAR($B$6:$B$38),$C$6:$C$38)</f>
        <v>5.47</v>
      </c>
    </row>
    <row r="959" spans="6:8" x14ac:dyDescent="0.3">
      <c r="F959" s="19">
        <v>954</v>
      </c>
      <c r="G959" s="22">
        <v>44977</v>
      </c>
      <c r="H959" s="19" cm="1">
        <f t="array" ref="H959">_xlfn.XLOOKUP(MONTH(G959) &amp; YEAR(G959),MONTH($B$6:$B$38) &amp; YEAR($B$6:$B$38),$C$6:$C$38)</f>
        <v>5.47</v>
      </c>
    </row>
    <row r="960" spans="6:8" x14ac:dyDescent="0.3">
      <c r="F960" s="19">
        <v>955</v>
      </c>
      <c r="G960" s="22">
        <v>44976</v>
      </c>
      <c r="H960" s="19" cm="1">
        <f t="array" ref="H960">_xlfn.XLOOKUP(MONTH(G960) &amp; YEAR(G960),MONTH($B$6:$B$38) &amp; YEAR($B$6:$B$38),$C$6:$C$38)</f>
        <v>5.47</v>
      </c>
    </row>
    <row r="961" spans="6:8" x14ac:dyDescent="0.3">
      <c r="F961" s="19">
        <v>956</v>
      </c>
      <c r="G961" s="22">
        <v>44975</v>
      </c>
      <c r="H961" s="19" cm="1">
        <f t="array" ref="H961">_xlfn.XLOOKUP(MONTH(G961) &amp; YEAR(G961),MONTH($B$6:$B$38) &amp; YEAR($B$6:$B$38),$C$6:$C$38)</f>
        <v>5.47</v>
      </c>
    </row>
    <row r="962" spans="6:8" x14ac:dyDescent="0.3">
      <c r="F962" s="19">
        <v>957</v>
      </c>
      <c r="G962" s="22">
        <v>44974</v>
      </c>
      <c r="H962" s="19" cm="1">
        <f t="array" ref="H962">_xlfn.XLOOKUP(MONTH(G962) &amp; YEAR(G962),MONTH($B$6:$B$38) &amp; YEAR($B$6:$B$38),$C$6:$C$38)</f>
        <v>5.47</v>
      </c>
    </row>
    <row r="963" spans="6:8" x14ac:dyDescent="0.3">
      <c r="F963" s="19">
        <v>958</v>
      </c>
      <c r="G963" s="22">
        <v>44973</v>
      </c>
      <c r="H963" s="19" cm="1">
        <f t="array" ref="H963">_xlfn.XLOOKUP(MONTH(G963) &amp; YEAR(G963),MONTH($B$6:$B$38) &amp; YEAR($B$6:$B$38),$C$6:$C$38)</f>
        <v>5.47</v>
      </c>
    </row>
    <row r="964" spans="6:8" x14ac:dyDescent="0.3">
      <c r="F964" s="19">
        <v>959</v>
      </c>
      <c r="G964" s="22">
        <v>44972</v>
      </c>
      <c r="H964" s="19" cm="1">
        <f t="array" ref="H964">_xlfn.XLOOKUP(MONTH(G964) &amp; YEAR(G964),MONTH($B$6:$B$38) &amp; YEAR($B$6:$B$38),$C$6:$C$38)</f>
        <v>5.47</v>
      </c>
    </row>
    <row r="965" spans="6:8" x14ac:dyDescent="0.3">
      <c r="F965" s="19">
        <v>960</v>
      </c>
      <c r="G965" s="22">
        <v>44971</v>
      </c>
      <c r="H965" s="19" cm="1">
        <f t="array" ref="H965">_xlfn.XLOOKUP(MONTH(G965) &amp; YEAR(G965),MONTH($B$6:$B$38) &amp; YEAR($B$6:$B$38),$C$6:$C$38)</f>
        <v>5.47</v>
      </c>
    </row>
    <row r="966" spans="6:8" x14ac:dyDescent="0.3">
      <c r="F966" s="19">
        <v>961</v>
      </c>
      <c r="G966" s="22">
        <v>44970</v>
      </c>
      <c r="H966" s="19" cm="1">
        <f t="array" ref="H966">_xlfn.XLOOKUP(MONTH(G966) &amp; YEAR(G966),MONTH($B$6:$B$38) &amp; YEAR($B$6:$B$38),$C$6:$C$38)</f>
        <v>5.47</v>
      </c>
    </row>
    <row r="967" spans="6:8" x14ac:dyDescent="0.3">
      <c r="F967" s="19">
        <v>962</v>
      </c>
      <c r="G967" s="22">
        <v>44969</v>
      </c>
      <c r="H967" s="19" cm="1">
        <f t="array" ref="H967">_xlfn.XLOOKUP(MONTH(G967) &amp; YEAR(G967),MONTH($B$6:$B$38) &amp; YEAR($B$6:$B$38),$C$6:$C$38)</f>
        <v>5.47</v>
      </c>
    </row>
    <row r="968" spans="6:8" x14ac:dyDescent="0.3">
      <c r="F968" s="19">
        <v>963</v>
      </c>
      <c r="G968" s="22">
        <v>44968</v>
      </c>
      <c r="H968" s="19" cm="1">
        <f t="array" ref="H968">_xlfn.XLOOKUP(MONTH(G968) &amp; YEAR(G968),MONTH($B$6:$B$38) &amp; YEAR($B$6:$B$38),$C$6:$C$38)</f>
        <v>5.47</v>
      </c>
    </row>
    <row r="969" spans="6:8" x14ac:dyDescent="0.3">
      <c r="F969" s="19">
        <v>964</v>
      </c>
      <c r="G969" s="22">
        <v>44967</v>
      </c>
      <c r="H969" s="19" cm="1">
        <f t="array" ref="H969">_xlfn.XLOOKUP(MONTH(G969) &amp; YEAR(G969),MONTH($B$6:$B$38) &amp; YEAR($B$6:$B$38),$C$6:$C$38)</f>
        <v>5.47</v>
      </c>
    </row>
    <row r="970" spans="6:8" x14ac:dyDescent="0.3">
      <c r="F970" s="19">
        <v>965</v>
      </c>
      <c r="G970" s="22">
        <v>44966</v>
      </c>
      <c r="H970" s="19" cm="1">
        <f t="array" ref="H970">_xlfn.XLOOKUP(MONTH(G970) &amp; YEAR(G970),MONTH($B$6:$B$38) &amp; YEAR($B$6:$B$38),$C$6:$C$38)</f>
        <v>5.47</v>
      </c>
    </row>
    <row r="971" spans="6:8" x14ac:dyDescent="0.3">
      <c r="F971" s="19">
        <v>966</v>
      </c>
      <c r="G971" s="22">
        <v>44965</v>
      </c>
      <c r="H971" s="19" cm="1">
        <f t="array" ref="H971">_xlfn.XLOOKUP(MONTH(G971) &amp; YEAR(G971),MONTH($B$6:$B$38) &amp; YEAR($B$6:$B$38),$C$6:$C$38)</f>
        <v>5.47</v>
      </c>
    </row>
    <row r="972" spans="6:8" x14ac:dyDescent="0.3">
      <c r="F972" s="19">
        <v>967</v>
      </c>
      <c r="G972" s="22">
        <v>44964</v>
      </c>
      <c r="H972" s="19" cm="1">
        <f t="array" ref="H972">_xlfn.XLOOKUP(MONTH(G972) &amp; YEAR(G972),MONTH($B$6:$B$38) &amp; YEAR($B$6:$B$38),$C$6:$C$38)</f>
        <v>5.47</v>
      </c>
    </row>
    <row r="973" spans="6:8" x14ac:dyDescent="0.3">
      <c r="F973" s="19">
        <v>968</v>
      </c>
      <c r="G973" s="22">
        <v>44963</v>
      </c>
      <c r="H973" s="19" cm="1">
        <f t="array" ref="H973">_xlfn.XLOOKUP(MONTH(G973) &amp; YEAR(G973),MONTH($B$6:$B$38) &amp; YEAR($B$6:$B$38),$C$6:$C$38)</f>
        <v>5.47</v>
      </c>
    </row>
    <row r="974" spans="6:8" x14ac:dyDescent="0.3">
      <c r="F974" s="19">
        <v>969</v>
      </c>
      <c r="G974" s="22">
        <v>44962</v>
      </c>
      <c r="H974" s="19" cm="1">
        <f t="array" ref="H974">_xlfn.XLOOKUP(MONTH(G974) &amp; YEAR(G974),MONTH($B$6:$B$38) &amp; YEAR($B$6:$B$38),$C$6:$C$38)</f>
        <v>5.47</v>
      </c>
    </row>
    <row r="975" spans="6:8" x14ac:dyDescent="0.3">
      <c r="F975" s="19">
        <v>970</v>
      </c>
      <c r="G975" s="22">
        <v>44961</v>
      </c>
      <c r="H975" s="19" cm="1">
        <f t="array" ref="H975">_xlfn.XLOOKUP(MONTH(G975) &amp; YEAR(G975),MONTH($B$6:$B$38) &amp; YEAR($B$6:$B$38),$C$6:$C$38)</f>
        <v>5.47</v>
      </c>
    </row>
    <row r="976" spans="6:8" x14ac:dyDescent="0.3">
      <c r="F976" s="19">
        <v>971</v>
      </c>
      <c r="G976" s="22">
        <v>44960</v>
      </c>
      <c r="H976" s="19" cm="1">
        <f t="array" ref="H976">_xlfn.XLOOKUP(MONTH(G976) &amp; YEAR(G976),MONTH($B$6:$B$38) &amp; YEAR($B$6:$B$38),$C$6:$C$38)</f>
        <v>5.47</v>
      </c>
    </row>
    <row r="977" spans="6:8" x14ac:dyDescent="0.3">
      <c r="F977" s="19">
        <v>972</v>
      </c>
      <c r="G977" s="22">
        <v>44959</v>
      </c>
      <c r="H977" s="19" cm="1">
        <f t="array" ref="H977">_xlfn.XLOOKUP(MONTH(G977) &amp; YEAR(G977),MONTH($B$6:$B$38) &amp; YEAR($B$6:$B$38),$C$6:$C$38)</f>
        <v>5.47</v>
      </c>
    </row>
    <row r="978" spans="6:8" x14ac:dyDescent="0.3">
      <c r="F978" s="19">
        <v>973</v>
      </c>
      <c r="G978" s="22">
        <v>44958</v>
      </c>
      <c r="H978" s="19" cm="1">
        <f t="array" ref="H978">_xlfn.XLOOKUP(MONTH(G978) &amp; YEAR(G978),MONTH($B$6:$B$38) &amp; YEAR($B$6:$B$38),$C$6:$C$38)</f>
        <v>5.47</v>
      </c>
    </row>
    <row r="979" spans="6:8" x14ac:dyDescent="0.3">
      <c r="F979" s="19">
        <v>974</v>
      </c>
      <c r="G979" s="22">
        <v>44957</v>
      </c>
      <c r="H979" s="19" cm="1">
        <f t="array" ref="H979">_xlfn.XLOOKUP(MONTH(G979) &amp; YEAR(G979),MONTH($B$6:$B$38) &amp; YEAR($B$6:$B$38),$C$6:$C$38)</f>
        <v>5.28</v>
      </c>
    </row>
    <row r="980" spans="6:8" x14ac:dyDescent="0.3">
      <c r="F980" s="19">
        <v>975</v>
      </c>
      <c r="G980" s="22">
        <v>44956</v>
      </c>
      <c r="H980" s="19" cm="1">
        <f t="array" ref="H980">_xlfn.XLOOKUP(MONTH(G980) &amp; YEAR(G980),MONTH($B$6:$B$38) &amp; YEAR($B$6:$B$38),$C$6:$C$38)</f>
        <v>5.28</v>
      </c>
    </row>
    <row r="981" spans="6:8" x14ac:dyDescent="0.3">
      <c r="F981" s="19">
        <v>976</v>
      </c>
      <c r="G981" s="22">
        <v>44955</v>
      </c>
      <c r="H981" s="19" cm="1">
        <f t="array" ref="H981">_xlfn.XLOOKUP(MONTH(G981) &amp; YEAR(G981),MONTH($B$6:$B$38) &amp; YEAR($B$6:$B$38),$C$6:$C$38)</f>
        <v>5.28</v>
      </c>
    </row>
    <row r="982" spans="6:8" x14ac:dyDescent="0.3">
      <c r="F982" s="19">
        <v>977</v>
      </c>
      <c r="G982" s="22">
        <v>44954</v>
      </c>
      <c r="H982" s="19" cm="1">
        <f t="array" ref="H982">_xlfn.XLOOKUP(MONTH(G982) &amp; YEAR(G982),MONTH($B$6:$B$38) &amp; YEAR($B$6:$B$38),$C$6:$C$38)</f>
        <v>5.28</v>
      </c>
    </row>
    <row r="983" spans="6:8" x14ac:dyDescent="0.3">
      <c r="F983" s="19">
        <v>978</v>
      </c>
      <c r="G983" s="22">
        <v>44953</v>
      </c>
      <c r="H983" s="19" cm="1">
        <f t="array" ref="H983">_xlfn.XLOOKUP(MONTH(G983) &amp; YEAR(G983),MONTH($B$6:$B$38) &amp; YEAR($B$6:$B$38),$C$6:$C$38)</f>
        <v>5.28</v>
      </c>
    </row>
    <row r="984" spans="6:8" x14ac:dyDescent="0.3">
      <c r="F984" s="19">
        <v>979</v>
      </c>
      <c r="G984" s="22">
        <v>44952</v>
      </c>
      <c r="H984" s="19" cm="1">
        <f t="array" ref="H984">_xlfn.XLOOKUP(MONTH(G984) &amp; YEAR(G984),MONTH($B$6:$B$38) &amp; YEAR($B$6:$B$38),$C$6:$C$38)</f>
        <v>5.28</v>
      </c>
    </row>
    <row r="985" spans="6:8" x14ac:dyDescent="0.3">
      <c r="F985" s="19">
        <v>980</v>
      </c>
      <c r="G985" s="22">
        <v>44951</v>
      </c>
      <c r="H985" s="19" cm="1">
        <f t="array" ref="H985">_xlfn.XLOOKUP(MONTH(G985) &amp; YEAR(G985),MONTH($B$6:$B$38) &amp; YEAR($B$6:$B$38),$C$6:$C$38)</f>
        <v>5.28</v>
      </c>
    </row>
    <row r="986" spans="6:8" x14ac:dyDescent="0.3">
      <c r="F986" s="19">
        <v>981</v>
      </c>
      <c r="G986" s="22">
        <v>44950</v>
      </c>
      <c r="H986" s="19" cm="1">
        <f t="array" ref="H986">_xlfn.XLOOKUP(MONTH(G986) &amp; YEAR(G986),MONTH($B$6:$B$38) &amp; YEAR($B$6:$B$38),$C$6:$C$38)</f>
        <v>5.28</v>
      </c>
    </row>
    <row r="987" spans="6:8" x14ac:dyDescent="0.3">
      <c r="F987" s="19">
        <v>982</v>
      </c>
      <c r="G987" s="22">
        <v>44949</v>
      </c>
      <c r="H987" s="19" cm="1">
        <f t="array" ref="H987">_xlfn.XLOOKUP(MONTH(G987) &amp; YEAR(G987),MONTH($B$6:$B$38) &amp; YEAR($B$6:$B$38),$C$6:$C$38)</f>
        <v>5.28</v>
      </c>
    </row>
    <row r="988" spans="6:8" x14ac:dyDescent="0.3">
      <c r="F988" s="19">
        <v>983</v>
      </c>
      <c r="G988" s="22">
        <v>44948</v>
      </c>
      <c r="H988" s="19" cm="1">
        <f t="array" ref="H988">_xlfn.XLOOKUP(MONTH(G988) &amp; YEAR(G988),MONTH($B$6:$B$38) &amp; YEAR($B$6:$B$38),$C$6:$C$38)</f>
        <v>5.28</v>
      </c>
    </row>
    <row r="989" spans="6:8" x14ac:dyDescent="0.3">
      <c r="F989" s="19">
        <v>984</v>
      </c>
      <c r="G989" s="22">
        <v>44947</v>
      </c>
      <c r="H989" s="19" cm="1">
        <f t="array" ref="H989">_xlfn.XLOOKUP(MONTH(G989) &amp; YEAR(G989),MONTH($B$6:$B$38) &amp; YEAR($B$6:$B$38),$C$6:$C$38)</f>
        <v>5.28</v>
      </c>
    </row>
    <row r="990" spans="6:8" x14ac:dyDescent="0.3">
      <c r="F990" s="19">
        <v>985</v>
      </c>
      <c r="G990" s="22">
        <v>44946</v>
      </c>
      <c r="H990" s="19" cm="1">
        <f t="array" ref="H990">_xlfn.XLOOKUP(MONTH(G990) &amp; YEAR(G990),MONTH($B$6:$B$38) &amp; YEAR($B$6:$B$38),$C$6:$C$38)</f>
        <v>5.28</v>
      </c>
    </row>
    <row r="991" spans="6:8" x14ac:dyDescent="0.3">
      <c r="F991" s="19">
        <v>986</v>
      </c>
      <c r="G991" s="22">
        <v>44945</v>
      </c>
      <c r="H991" s="19" cm="1">
        <f t="array" ref="H991">_xlfn.XLOOKUP(MONTH(G991) &amp; YEAR(G991),MONTH($B$6:$B$38) &amp; YEAR($B$6:$B$38),$C$6:$C$38)</f>
        <v>5.28</v>
      </c>
    </row>
    <row r="992" spans="6:8" x14ac:dyDescent="0.3">
      <c r="F992" s="19">
        <v>987</v>
      </c>
      <c r="G992" s="22">
        <v>44944</v>
      </c>
      <c r="H992" s="19" cm="1">
        <f t="array" ref="H992">_xlfn.XLOOKUP(MONTH(G992) &amp; YEAR(G992),MONTH($B$6:$B$38) &amp; YEAR($B$6:$B$38),$C$6:$C$38)</f>
        <v>5.28</v>
      </c>
    </row>
    <row r="993" spans="6:8" x14ac:dyDescent="0.3">
      <c r="F993" s="19">
        <v>988</v>
      </c>
      <c r="G993" s="22">
        <v>44943</v>
      </c>
      <c r="H993" s="19" cm="1">
        <f t="array" ref="H993">_xlfn.XLOOKUP(MONTH(G993) &amp; YEAR(G993),MONTH($B$6:$B$38) &amp; YEAR($B$6:$B$38),$C$6:$C$38)</f>
        <v>5.28</v>
      </c>
    </row>
    <row r="994" spans="6:8" x14ac:dyDescent="0.3">
      <c r="F994" s="19">
        <v>989</v>
      </c>
      <c r="G994" s="22">
        <v>44942</v>
      </c>
      <c r="H994" s="19" cm="1">
        <f t="array" ref="H994">_xlfn.XLOOKUP(MONTH(G994) &amp; YEAR(G994),MONTH($B$6:$B$38) &amp; YEAR($B$6:$B$38),$C$6:$C$38)</f>
        <v>5.28</v>
      </c>
    </row>
    <row r="995" spans="6:8" x14ac:dyDescent="0.3">
      <c r="F995" s="19">
        <v>990</v>
      </c>
      <c r="G995" s="22">
        <v>44941</v>
      </c>
      <c r="H995" s="19" cm="1">
        <f t="array" ref="H995">_xlfn.XLOOKUP(MONTH(G995) &amp; YEAR(G995),MONTH($B$6:$B$38) &amp; YEAR($B$6:$B$38),$C$6:$C$38)</f>
        <v>5.28</v>
      </c>
    </row>
    <row r="996" spans="6:8" x14ac:dyDescent="0.3">
      <c r="F996" s="19">
        <v>991</v>
      </c>
      <c r="G996" s="22">
        <v>44940</v>
      </c>
      <c r="H996" s="19" cm="1">
        <f t="array" ref="H996">_xlfn.XLOOKUP(MONTH(G996) &amp; YEAR(G996),MONTH($B$6:$B$38) &amp; YEAR($B$6:$B$38),$C$6:$C$38)</f>
        <v>5.28</v>
      </c>
    </row>
    <row r="997" spans="6:8" x14ac:dyDescent="0.3">
      <c r="F997" s="19">
        <v>992</v>
      </c>
      <c r="G997" s="22">
        <v>44939</v>
      </c>
      <c r="H997" s="19" cm="1">
        <f t="array" ref="H997">_xlfn.XLOOKUP(MONTH(G997) &amp; YEAR(G997),MONTH($B$6:$B$38) &amp; YEAR($B$6:$B$38),$C$6:$C$38)</f>
        <v>5.28</v>
      </c>
    </row>
    <row r="998" spans="6:8" x14ac:dyDescent="0.3">
      <c r="F998" s="19">
        <v>993</v>
      </c>
      <c r="G998" s="22">
        <v>44938</v>
      </c>
      <c r="H998" s="19" cm="1">
        <f t="array" ref="H998">_xlfn.XLOOKUP(MONTH(G998) &amp; YEAR(G998),MONTH($B$6:$B$38) &amp; YEAR($B$6:$B$38),$C$6:$C$38)</f>
        <v>5.28</v>
      </c>
    </row>
    <row r="999" spans="6:8" x14ac:dyDescent="0.3">
      <c r="F999" s="19">
        <v>994</v>
      </c>
      <c r="G999" s="22">
        <v>44937</v>
      </c>
      <c r="H999" s="19" cm="1">
        <f t="array" ref="H999">_xlfn.XLOOKUP(MONTH(G999) &amp; YEAR(G999),MONTH($B$6:$B$38) &amp; YEAR($B$6:$B$38),$C$6:$C$38)</f>
        <v>5.28</v>
      </c>
    </row>
    <row r="1000" spans="6:8" x14ac:dyDescent="0.3">
      <c r="F1000" s="19">
        <v>995</v>
      </c>
      <c r="G1000" s="22">
        <v>44936</v>
      </c>
      <c r="H1000" s="19" cm="1">
        <f t="array" ref="H1000">_xlfn.XLOOKUP(MONTH(G1000) &amp; YEAR(G1000),MONTH($B$6:$B$38) &amp; YEAR($B$6:$B$38),$C$6:$C$38)</f>
        <v>5.28</v>
      </c>
    </row>
    <row r="1001" spans="6:8" x14ac:dyDescent="0.3">
      <c r="F1001" s="19">
        <v>996</v>
      </c>
      <c r="G1001" s="22">
        <v>44935</v>
      </c>
      <c r="H1001" s="19" cm="1">
        <f t="array" ref="H1001">_xlfn.XLOOKUP(MONTH(G1001) &amp; YEAR(G1001),MONTH($B$6:$B$38) &amp; YEAR($B$6:$B$38),$C$6:$C$38)</f>
        <v>5.28</v>
      </c>
    </row>
    <row r="1002" spans="6:8" x14ac:dyDescent="0.3">
      <c r="F1002" s="19">
        <v>997</v>
      </c>
      <c r="G1002" s="22">
        <v>44934</v>
      </c>
      <c r="H1002" s="19" cm="1">
        <f t="array" ref="H1002">_xlfn.XLOOKUP(MONTH(G1002) &amp; YEAR(G1002),MONTH($B$6:$B$38) &amp; YEAR($B$6:$B$38),$C$6:$C$38)</f>
        <v>5.28</v>
      </c>
    </row>
    <row r="1003" spans="6:8" x14ac:dyDescent="0.3">
      <c r="F1003" s="19">
        <v>998</v>
      </c>
      <c r="G1003" s="22">
        <v>44933</v>
      </c>
      <c r="H1003" s="19" cm="1">
        <f t="array" ref="H1003">_xlfn.XLOOKUP(MONTH(G1003) &amp; YEAR(G1003),MONTH($B$6:$B$38) &amp; YEAR($B$6:$B$38),$C$6:$C$38)</f>
        <v>5.28</v>
      </c>
    </row>
    <row r="1004" spans="6:8" x14ac:dyDescent="0.3">
      <c r="F1004" s="19">
        <v>999</v>
      </c>
      <c r="G1004" s="22">
        <v>44932</v>
      </c>
      <c r="H1004" s="19" cm="1">
        <f t="array" ref="H1004">_xlfn.XLOOKUP(MONTH(G1004) &amp; YEAR(G1004),MONTH($B$6:$B$38) &amp; YEAR($B$6:$B$38),$C$6:$C$38)</f>
        <v>5.28</v>
      </c>
    </row>
    <row r="1005" spans="6:8" x14ac:dyDescent="0.3">
      <c r="F1005" s="19">
        <v>1000</v>
      </c>
      <c r="G1005" s="22">
        <v>44931</v>
      </c>
      <c r="H1005" s="19" cm="1">
        <f t="array" ref="H1005">_xlfn.XLOOKUP(MONTH(G1005) &amp; YEAR(G1005),MONTH($B$6:$B$38) &amp; YEAR($B$6:$B$38),$C$6:$C$38)</f>
        <v>5.28</v>
      </c>
    </row>
    <row r="1006" spans="6:8" x14ac:dyDescent="0.3">
      <c r="F1006" s="19">
        <v>1001</v>
      </c>
      <c r="G1006" s="22">
        <v>44930</v>
      </c>
      <c r="H1006" s="19" cm="1">
        <f t="array" ref="H1006">_xlfn.XLOOKUP(MONTH(G1006) &amp; YEAR(G1006),MONTH($B$6:$B$38) &amp; YEAR($B$6:$B$38),$C$6:$C$38)</f>
        <v>5.28</v>
      </c>
    </row>
    <row r="1007" spans="6:8" x14ac:dyDescent="0.3">
      <c r="F1007" s="19">
        <v>1002</v>
      </c>
      <c r="G1007" s="22">
        <v>44929</v>
      </c>
      <c r="H1007" s="19" cm="1">
        <f t="array" ref="H1007">_xlfn.XLOOKUP(MONTH(G1007) &amp; YEAR(G1007),MONTH($B$6:$B$38) &amp; YEAR($B$6:$B$38),$C$6:$C$38)</f>
        <v>5.28</v>
      </c>
    </row>
    <row r="1008" spans="6:8" x14ac:dyDescent="0.3">
      <c r="F1008" s="19">
        <v>1003</v>
      </c>
      <c r="G1008" s="22">
        <v>44928</v>
      </c>
      <c r="H1008" s="19" cm="1">
        <f t="array" ref="H1008">_xlfn.XLOOKUP(MONTH(G1008) &amp; YEAR(G1008),MONTH($B$6:$B$38) &amp; YEAR($B$6:$B$38),$C$6:$C$38)</f>
        <v>5.28</v>
      </c>
    </row>
    <row r="1009" spans="6:8" x14ac:dyDescent="0.3">
      <c r="F1009" s="19">
        <v>1004</v>
      </c>
      <c r="G1009" s="22">
        <v>44927</v>
      </c>
      <c r="H1009" s="19" cm="1">
        <f t="array" ref="H1009">_xlfn.XLOOKUP(MONTH(G1009) &amp; YEAR(G1009),MONTH($B$6:$B$38) &amp; YEAR($B$6:$B$38),$C$6:$C$38)</f>
        <v>5.28</v>
      </c>
    </row>
  </sheetData>
  <mergeCells count="3">
    <mergeCell ref="A3:D3"/>
    <mergeCell ref="B5"/>
    <mergeCell ref="C5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F861-2982-4AE6-97EC-E25217853CF2}">
  <dimension ref="A3:H1009"/>
  <sheetViews>
    <sheetView zoomScale="116" zoomScaleNormal="77" workbookViewId="0">
      <selection activeCell="F6" sqref="F6:H1009"/>
    </sheetView>
  </sheetViews>
  <sheetFormatPr defaultRowHeight="14.4" x14ac:dyDescent="0.3"/>
  <cols>
    <col min="1" max="1" width="4.6640625" bestFit="1" customWidth="1"/>
    <col min="2" max="2" width="21.6640625" bestFit="1" customWidth="1"/>
    <col min="3" max="3" width="15.33203125" bestFit="1" customWidth="1"/>
    <col min="4" max="4" width="9.109375" customWidth="1"/>
    <col min="6" max="6" width="6.44140625" bestFit="1" customWidth="1"/>
    <col min="7" max="7" width="13.44140625" bestFit="1" customWidth="1"/>
    <col min="8" max="8" width="15.33203125" bestFit="1" customWidth="1"/>
    <col min="12" max="12" width="13.44140625" bestFit="1" customWidth="1"/>
    <col min="13" max="13" width="12.5546875" bestFit="1" customWidth="1"/>
    <col min="14" max="14" width="11.5546875" bestFit="1" customWidth="1"/>
    <col min="15" max="15" width="9.33203125" bestFit="1" customWidth="1"/>
    <col min="16" max="17" width="13.44140625" bestFit="1" customWidth="1"/>
    <col min="18" max="18" width="13.5546875" bestFit="1" customWidth="1"/>
    <col min="19" max="20" width="12.44140625" bestFit="1" customWidth="1"/>
    <col min="21" max="21" width="11.44140625" bestFit="1" customWidth="1"/>
    <col min="22" max="23" width="14.109375" bestFit="1" customWidth="1"/>
    <col min="24" max="24" width="14.6640625" bestFit="1" customWidth="1"/>
  </cols>
  <sheetData>
    <row r="3" spans="1:8" ht="20.399999999999999" x14ac:dyDescent="0.35">
      <c r="A3" s="40" t="s">
        <v>3</v>
      </c>
      <c r="B3" s="40"/>
      <c r="C3" s="40"/>
      <c r="D3" s="40"/>
    </row>
    <row r="5" spans="1:8" ht="15.6" x14ac:dyDescent="0.3">
      <c r="A5" s="1" t="s">
        <v>4</v>
      </c>
      <c r="B5" s="1" t="s">
        <v>5</v>
      </c>
      <c r="C5" s="1" t="s">
        <v>3</v>
      </c>
      <c r="F5" s="16" t="str">
        <f>A5</f>
        <v>NO</v>
      </c>
      <c r="G5" s="16" t="str">
        <f t="shared" ref="G5:H5" si="0">B5</f>
        <v>Tanggal</v>
      </c>
      <c r="H5" s="16" t="str">
        <f t="shared" si="0"/>
        <v>BI-7Day-RR</v>
      </c>
    </row>
    <row r="6" spans="1:8" ht="15.6" x14ac:dyDescent="0.3">
      <c r="A6" s="2">
        <v>1</v>
      </c>
      <c r="B6" s="17">
        <v>45917</v>
      </c>
      <c r="C6" s="11">
        <v>4.75</v>
      </c>
      <c r="D6" s="32"/>
      <c r="F6" s="19">
        <v>1</v>
      </c>
      <c r="G6" s="22">
        <v>45930</v>
      </c>
      <c r="H6" s="19">
        <f>_xlfn.XLOOKUP(G6,$B$6:$B$39,$C$6:$C$39,,-1)</f>
        <v>4.75</v>
      </c>
    </row>
    <row r="7" spans="1:8" ht="15.6" x14ac:dyDescent="0.3">
      <c r="A7" s="2">
        <v>2</v>
      </c>
      <c r="B7" s="17">
        <v>45889</v>
      </c>
      <c r="C7" s="11">
        <v>5</v>
      </c>
      <c r="F7" s="19">
        <v>2</v>
      </c>
      <c r="G7" s="22">
        <v>45929</v>
      </c>
      <c r="H7" s="19">
        <f t="shared" ref="H7:H70" si="1">_xlfn.XLOOKUP(G7,$B$6:$B$39,$C$6:$C$39,,-1)</f>
        <v>4.75</v>
      </c>
    </row>
    <row r="8" spans="1:8" ht="15.6" x14ac:dyDescent="0.3">
      <c r="A8" s="2">
        <v>3</v>
      </c>
      <c r="B8" s="17">
        <v>45854</v>
      </c>
      <c r="C8" s="12">
        <v>5.25</v>
      </c>
      <c r="F8" s="19">
        <v>3</v>
      </c>
      <c r="G8" s="22">
        <v>45928</v>
      </c>
      <c r="H8" s="19">
        <f t="shared" si="1"/>
        <v>4.75</v>
      </c>
    </row>
    <row r="9" spans="1:8" ht="15.6" x14ac:dyDescent="0.3">
      <c r="A9" s="2">
        <v>4</v>
      </c>
      <c r="B9" s="17">
        <v>45826</v>
      </c>
      <c r="C9" s="11">
        <v>5.5</v>
      </c>
      <c r="F9" s="19">
        <v>4</v>
      </c>
      <c r="G9" s="22">
        <v>45927</v>
      </c>
      <c r="H9" s="19">
        <f t="shared" si="1"/>
        <v>4.75</v>
      </c>
    </row>
    <row r="10" spans="1:8" ht="15.6" x14ac:dyDescent="0.3">
      <c r="A10" s="2">
        <v>5</v>
      </c>
      <c r="B10" s="17">
        <v>45798</v>
      </c>
      <c r="C10" s="11">
        <v>5.5</v>
      </c>
      <c r="F10" s="19">
        <v>5</v>
      </c>
      <c r="G10" s="22">
        <v>45926</v>
      </c>
      <c r="H10" s="19">
        <f t="shared" si="1"/>
        <v>4.75</v>
      </c>
    </row>
    <row r="11" spans="1:8" ht="15.6" x14ac:dyDescent="0.3">
      <c r="A11" s="2">
        <v>6</v>
      </c>
      <c r="B11" s="17">
        <v>45770</v>
      </c>
      <c r="C11" s="11">
        <v>5.75</v>
      </c>
      <c r="F11" s="19">
        <v>6</v>
      </c>
      <c r="G11" s="22">
        <v>45925</v>
      </c>
      <c r="H11" s="19">
        <f t="shared" si="1"/>
        <v>4.75</v>
      </c>
    </row>
    <row r="12" spans="1:8" ht="15.6" x14ac:dyDescent="0.3">
      <c r="A12" s="2">
        <v>7</v>
      </c>
      <c r="B12" s="17">
        <v>45735</v>
      </c>
      <c r="C12" s="11">
        <v>5.75</v>
      </c>
      <c r="F12" s="19">
        <v>7</v>
      </c>
      <c r="G12" s="22">
        <v>45924</v>
      </c>
      <c r="H12" s="19">
        <f t="shared" si="1"/>
        <v>4.75</v>
      </c>
    </row>
    <row r="13" spans="1:8" ht="15.6" x14ac:dyDescent="0.3">
      <c r="A13" s="2">
        <v>8</v>
      </c>
      <c r="B13" s="17">
        <v>45707</v>
      </c>
      <c r="C13" s="11">
        <v>5.75</v>
      </c>
      <c r="F13" s="19">
        <v>8</v>
      </c>
      <c r="G13" s="22">
        <v>45923</v>
      </c>
      <c r="H13" s="19">
        <f t="shared" si="1"/>
        <v>4.75</v>
      </c>
    </row>
    <row r="14" spans="1:8" ht="15.6" x14ac:dyDescent="0.3">
      <c r="A14" s="2">
        <v>9</v>
      </c>
      <c r="B14" s="17">
        <v>45672</v>
      </c>
      <c r="C14" s="11">
        <v>5.75</v>
      </c>
      <c r="F14" s="19">
        <v>9</v>
      </c>
      <c r="G14" s="22">
        <v>45922</v>
      </c>
      <c r="H14" s="19">
        <f t="shared" si="1"/>
        <v>4.75</v>
      </c>
    </row>
    <row r="15" spans="1:8" ht="15.6" x14ac:dyDescent="0.3">
      <c r="A15" s="2">
        <v>10</v>
      </c>
      <c r="B15" s="17">
        <v>45644</v>
      </c>
      <c r="C15" s="11">
        <v>6</v>
      </c>
      <c r="F15" s="19">
        <v>10</v>
      </c>
      <c r="G15" s="22">
        <v>45921</v>
      </c>
      <c r="H15" s="19">
        <f t="shared" si="1"/>
        <v>4.75</v>
      </c>
    </row>
    <row r="16" spans="1:8" ht="15.6" x14ac:dyDescent="0.3">
      <c r="A16" s="2">
        <v>11</v>
      </c>
      <c r="B16" s="17">
        <v>45616</v>
      </c>
      <c r="C16" s="11">
        <v>6</v>
      </c>
      <c r="F16" s="19">
        <v>11</v>
      </c>
      <c r="G16" s="22">
        <v>45920</v>
      </c>
      <c r="H16" s="19">
        <f t="shared" si="1"/>
        <v>4.75</v>
      </c>
    </row>
    <row r="17" spans="1:8" ht="15.6" x14ac:dyDescent="0.3">
      <c r="A17" s="2">
        <v>12</v>
      </c>
      <c r="B17" s="17">
        <v>45581</v>
      </c>
      <c r="C17" s="11">
        <v>6</v>
      </c>
      <c r="F17" s="19">
        <v>12</v>
      </c>
      <c r="G17" s="22">
        <v>45919</v>
      </c>
      <c r="H17" s="19">
        <f t="shared" si="1"/>
        <v>4.75</v>
      </c>
    </row>
    <row r="18" spans="1:8" ht="15.6" x14ac:dyDescent="0.3">
      <c r="A18" s="2">
        <v>13</v>
      </c>
      <c r="B18" s="17">
        <v>45553</v>
      </c>
      <c r="C18" s="11">
        <v>6</v>
      </c>
      <c r="F18" s="19">
        <v>13</v>
      </c>
      <c r="G18" s="22">
        <v>45918</v>
      </c>
      <c r="H18" s="19">
        <f t="shared" si="1"/>
        <v>4.75</v>
      </c>
    </row>
    <row r="19" spans="1:8" ht="15.6" x14ac:dyDescent="0.3">
      <c r="A19" s="2">
        <v>14</v>
      </c>
      <c r="B19" s="17">
        <v>45525</v>
      </c>
      <c r="C19" s="11">
        <v>6.25</v>
      </c>
      <c r="F19" s="19">
        <v>14</v>
      </c>
      <c r="G19" s="22">
        <v>45917</v>
      </c>
      <c r="H19" s="19">
        <f t="shared" si="1"/>
        <v>4.75</v>
      </c>
    </row>
    <row r="20" spans="1:8" ht="15.6" x14ac:dyDescent="0.3">
      <c r="A20" s="2">
        <v>15</v>
      </c>
      <c r="B20" s="17">
        <v>45521</v>
      </c>
      <c r="C20" s="11">
        <v>6.25</v>
      </c>
      <c r="F20" s="19">
        <v>15</v>
      </c>
      <c r="G20" s="22">
        <v>45916</v>
      </c>
      <c r="H20" s="19">
        <f t="shared" si="1"/>
        <v>5</v>
      </c>
    </row>
    <row r="21" spans="1:8" ht="15.6" x14ac:dyDescent="0.3">
      <c r="A21" s="2">
        <v>16</v>
      </c>
      <c r="B21" s="17">
        <v>45463</v>
      </c>
      <c r="C21" s="11">
        <v>6.25</v>
      </c>
      <c r="F21" s="19">
        <v>16</v>
      </c>
      <c r="G21" s="22">
        <v>45915</v>
      </c>
      <c r="H21" s="19">
        <f t="shared" si="1"/>
        <v>5</v>
      </c>
    </row>
    <row r="22" spans="1:8" ht="15.6" x14ac:dyDescent="0.3">
      <c r="A22" s="2">
        <v>17</v>
      </c>
      <c r="B22" s="17">
        <v>45434</v>
      </c>
      <c r="C22" s="26">
        <v>6.25</v>
      </c>
      <c r="F22" s="19">
        <v>17</v>
      </c>
      <c r="G22" s="22">
        <v>45914</v>
      </c>
      <c r="H22" s="19">
        <f t="shared" si="1"/>
        <v>5</v>
      </c>
    </row>
    <row r="23" spans="1:8" ht="15.6" x14ac:dyDescent="0.3">
      <c r="A23" s="2">
        <v>18</v>
      </c>
      <c r="B23" s="17">
        <v>45406</v>
      </c>
      <c r="C23" s="11">
        <v>6.25</v>
      </c>
      <c r="F23" s="19">
        <v>18</v>
      </c>
      <c r="G23" s="22">
        <v>45913</v>
      </c>
      <c r="H23" s="19">
        <f t="shared" si="1"/>
        <v>5</v>
      </c>
    </row>
    <row r="24" spans="1:8" ht="15.6" x14ac:dyDescent="0.3">
      <c r="A24" s="2">
        <v>19</v>
      </c>
      <c r="B24" s="27">
        <v>45371</v>
      </c>
      <c r="C24" s="11">
        <v>6</v>
      </c>
      <c r="F24" s="19">
        <v>19</v>
      </c>
      <c r="G24" s="22">
        <v>45912</v>
      </c>
      <c r="H24" s="19">
        <f t="shared" si="1"/>
        <v>5</v>
      </c>
    </row>
    <row r="25" spans="1:8" ht="15.6" x14ac:dyDescent="0.3">
      <c r="A25" s="2">
        <v>20</v>
      </c>
      <c r="B25" s="17">
        <v>45343</v>
      </c>
      <c r="C25" s="11">
        <v>6</v>
      </c>
      <c r="F25" s="19">
        <v>20</v>
      </c>
      <c r="G25" s="22">
        <v>45911</v>
      </c>
      <c r="H25" s="19">
        <f t="shared" si="1"/>
        <v>5</v>
      </c>
    </row>
    <row r="26" spans="1:8" ht="15.6" x14ac:dyDescent="0.3">
      <c r="A26" s="2">
        <v>21</v>
      </c>
      <c r="B26" s="17">
        <v>45308</v>
      </c>
      <c r="C26" s="11">
        <v>6</v>
      </c>
      <c r="F26" s="19">
        <v>21</v>
      </c>
      <c r="G26" s="22">
        <v>45910</v>
      </c>
      <c r="H26" s="19">
        <f t="shared" si="1"/>
        <v>5</v>
      </c>
    </row>
    <row r="27" spans="1:8" ht="15.6" x14ac:dyDescent="0.3">
      <c r="A27" s="2">
        <v>22</v>
      </c>
      <c r="B27" s="17">
        <v>45281</v>
      </c>
      <c r="C27" s="11">
        <v>6</v>
      </c>
      <c r="F27" s="19">
        <v>22</v>
      </c>
      <c r="G27" s="22">
        <v>45909</v>
      </c>
      <c r="H27" s="19">
        <f t="shared" si="1"/>
        <v>5</v>
      </c>
    </row>
    <row r="28" spans="1:8" ht="15.6" x14ac:dyDescent="0.3">
      <c r="A28" s="2">
        <v>23</v>
      </c>
      <c r="B28" s="17">
        <v>45253</v>
      </c>
      <c r="C28" s="11">
        <v>6</v>
      </c>
      <c r="F28" s="19">
        <v>23</v>
      </c>
      <c r="G28" s="22">
        <v>45908</v>
      </c>
      <c r="H28" s="19">
        <f t="shared" si="1"/>
        <v>5</v>
      </c>
    </row>
    <row r="29" spans="1:8" ht="15.6" x14ac:dyDescent="0.3">
      <c r="A29" s="2">
        <v>24</v>
      </c>
      <c r="B29" s="17">
        <v>45218</v>
      </c>
      <c r="C29" s="11">
        <v>6</v>
      </c>
      <c r="F29" s="19">
        <v>24</v>
      </c>
      <c r="G29" s="22">
        <v>45907</v>
      </c>
      <c r="H29" s="19">
        <f t="shared" si="1"/>
        <v>5</v>
      </c>
    </row>
    <row r="30" spans="1:8" ht="15.6" x14ac:dyDescent="0.3">
      <c r="A30" s="2">
        <v>25</v>
      </c>
      <c r="B30" s="17">
        <v>45190</v>
      </c>
      <c r="C30" s="11">
        <v>5.75</v>
      </c>
      <c r="F30" s="19">
        <v>25</v>
      </c>
      <c r="G30" s="22">
        <v>45906</v>
      </c>
      <c r="H30" s="19">
        <f t="shared" si="1"/>
        <v>5</v>
      </c>
    </row>
    <row r="31" spans="1:8" ht="15.6" x14ac:dyDescent="0.3">
      <c r="A31" s="2">
        <v>26</v>
      </c>
      <c r="B31" s="17">
        <v>45162</v>
      </c>
      <c r="C31" s="11">
        <v>5.75</v>
      </c>
      <c r="F31" s="19">
        <v>26</v>
      </c>
      <c r="G31" s="22">
        <v>45905</v>
      </c>
      <c r="H31" s="19">
        <f t="shared" si="1"/>
        <v>5</v>
      </c>
    </row>
    <row r="32" spans="1:8" ht="15.6" x14ac:dyDescent="0.3">
      <c r="A32" s="2">
        <v>27</v>
      </c>
      <c r="B32" s="17">
        <v>45132</v>
      </c>
      <c r="C32" s="11">
        <v>5.75</v>
      </c>
      <c r="F32" s="19">
        <v>27</v>
      </c>
      <c r="G32" s="22">
        <v>45904</v>
      </c>
      <c r="H32" s="19">
        <f t="shared" si="1"/>
        <v>5</v>
      </c>
    </row>
    <row r="33" spans="1:8" ht="15.6" x14ac:dyDescent="0.3">
      <c r="A33" s="2">
        <v>28</v>
      </c>
      <c r="B33" s="17">
        <v>45099</v>
      </c>
      <c r="C33" s="11">
        <v>5.75</v>
      </c>
      <c r="F33" s="19">
        <v>28</v>
      </c>
      <c r="G33" s="22">
        <v>45903</v>
      </c>
      <c r="H33" s="19">
        <f t="shared" si="1"/>
        <v>5</v>
      </c>
    </row>
    <row r="34" spans="1:8" ht="15.6" x14ac:dyDescent="0.3">
      <c r="A34" s="2">
        <v>29</v>
      </c>
      <c r="B34" s="17">
        <v>45071</v>
      </c>
      <c r="C34" s="11">
        <v>5.75</v>
      </c>
      <c r="F34" s="19">
        <v>29</v>
      </c>
      <c r="G34" s="22">
        <v>45902</v>
      </c>
      <c r="H34" s="19">
        <f t="shared" si="1"/>
        <v>5</v>
      </c>
    </row>
    <row r="35" spans="1:8" ht="15.6" x14ac:dyDescent="0.3">
      <c r="A35" s="2">
        <v>30</v>
      </c>
      <c r="B35" s="17">
        <v>45034</v>
      </c>
      <c r="C35" s="11">
        <v>5.75</v>
      </c>
      <c r="F35" s="19">
        <v>30</v>
      </c>
      <c r="G35" s="22">
        <v>45901</v>
      </c>
      <c r="H35" s="19">
        <f t="shared" si="1"/>
        <v>5</v>
      </c>
    </row>
    <row r="36" spans="1:8" ht="15.6" x14ac:dyDescent="0.3">
      <c r="A36" s="2">
        <v>31</v>
      </c>
      <c r="B36" s="17">
        <v>45001</v>
      </c>
      <c r="C36" s="11">
        <v>5.75</v>
      </c>
      <c r="F36" s="19">
        <v>31</v>
      </c>
      <c r="G36" s="22">
        <v>45900</v>
      </c>
      <c r="H36" s="19">
        <f t="shared" si="1"/>
        <v>5</v>
      </c>
    </row>
    <row r="37" spans="1:8" ht="15.6" x14ac:dyDescent="0.3">
      <c r="A37" s="2">
        <v>32</v>
      </c>
      <c r="B37" s="17">
        <v>44973</v>
      </c>
      <c r="C37" s="11">
        <v>5.75</v>
      </c>
      <c r="F37" s="19">
        <v>32</v>
      </c>
      <c r="G37" s="22">
        <v>45899</v>
      </c>
      <c r="H37" s="19">
        <f t="shared" si="1"/>
        <v>5</v>
      </c>
    </row>
    <row r="38" spans="1:8" ht="15.6" x14ac:dyDescent="0.3">
      <c r="A38" s="2">
        <v>33</v>
      </c>
      <c r="B38" s="17">
        <v>44945</v>
      </c>
      <c r="C38" s="11">
        <v>5.75</v>
      </c>
      <c r="F38" s="19">
        <v>33</v>
      </c>
      <c r="G38" s="22">
        <v>45898</v>
      </c>
      <c r="H38" s="19">
        <f t="shared" si="1"/>
        <v>5</v>
      </c>
    </row>
    <row r="39" spans="1:8" ht="15.6" x14ac:dyDescent="0.3">
      <c r="A39" s="2">
        <v>34</v>
      </c>
      <c r="B39" s="17">
        <v>44917</v>
      </c>
      <c r="C39" s="11">
        <v>5.5</v>
      </c>
      <c r="F39" s="19">
        <v>34</v>
      </c>
      <c r="G39" s="22">
        <v>45897</v>
      </c>
      <c r="H39" s="19">
        <f t="shared" si="1"/>
        <v>5</v>
      </c>
    </row>
    <row r="40" spans="1:8" ht="15.6" x14ac:dyDescent="0.3">
      <c r="F40" s="19">
        <v>35</v>
      </c>
      <c r="G40" s="22">
        <v>45896</v>
      </c>
      <c r="H40" s="19">
        <f t="shared" si="1"/>
        <v>5</v>
      </c>
    </row>
    <row r="41" spans="1:8" ht="15.6" x14ac:dyDescent="0.3">
      <c r="F41" s="19">
        <v>36</v>
      </c>
      <c r="G41" s="22">
        <v>45895</v>
      </c>
      <c r="H41" s="19">
        <f t="shared" si="1"/>
        <v>5</v>
      </c>
    </row>
    <row r="42" spans="1:8" ht="15.6" x14ac:dyDescent="0.3">
      <c r="F42" s="19">
        <v>37</v>
      </c>
      <c r="G42" s="22">
        <v>45894</v>
      </c>
      <c r="H42" s="19">
        <f t="shared" si="1"/>
        <v>5</v>
      </c>
    </row>
    <row r="43" spans="1:8" ht="15.6" x14ac:dyDescent="0.3">
      <c r="F43" s="19">
        <v>38</v>
      </c>
      <c r="G43" s="22">
        <v>45893</v>
      </c>
      <c r="H43" s="19">
        <f t="shared" si="1"/>
        <v>5</v>
      </c>
    </row>
    <row r="44" spans="1:8" ht="15.6" x14ac:dyDescent="0.3">
      <c r="F44" s="19">
        <v>39</v>
      </c>
      <c r="G44" s="22">
        <v>45892</v>
      </c>
      <c r="H44" s="19">
        <f t="shared" si="1"/>
        <v>5</v>
      </c>
    </row>
    <row r="45" spans="1:8" ht="15.6" x14ac:dyDescent="0.3">
      <c r="F45" s="19">
        <v>40</v>
      </c>
      <c r="G45" s="22">
        <v>45891</v>
      </c>
      <c r="H45" s="19">
        <f t="shared" si="1"/>
        <v>5</v>
      </c>
    </row>
    <row r="46" spans="1:8" ht="15.6" x14ac:dyDescent="0.3">
      <c r="F46" s="19">
        <v>41</v>
      </c>
      <c r="G46" s="22">
        <v>45890</v>
      </c>
      <c r="H46" s="19">
        <f t="shared" si="1"/>
        <v>5</v>
      </c>
    </row>
    <row r="47" spans="1:8" ht="15.6" x14ac:dyDescent="0.3">
      <c r="F47" s="19">
        <v>42</v>
      </c>
      <c r="G47" s="22">
        <v>45889</v>
      </c>
      <c r="H47" s="19">
        <f t="shared" si="1"/>
        <v>5</v>
      </c>
    </row>
    <row r="48" spans="1:8" ht="15.6" x14ac:dyDescent="0.3">
      <c r="F48" s="19">
        <v>43</v>
      </c>
      <c r="G48" s="22">
        <v>45888</v>
      </c>
      <c r="H48" s="19">
        <f t="shared" si="1"/>
        <v>5.25</v>
      </c>
    </row>
    <row r="49" spans="6:8" ht="15.6" x14ac:dyDescent="0.3">
      <c r="F49" s="19">
        <v>44</v>
      </c>
      <c r="G49" s="22">
        <v>45887</v>
      </c>
      <c r="H49" s="19">
        <f t="shared" si="1"/>
        <v>5.25</v>
      </c>
    </row>
    <row r="50" spans="6:8" ht="15.6" x14ac:dyDescent="0.3">
      <c r="F50" s="19">
        <v>45</v>
      </c>
      <c r="G50" s="22">
        <v>45886</v>
      </c>
      <c r="H50" s="19">
        <f t="shared" si="1"/>
        <v>5.25</v>
      </c>
    </row>
    <row r="51" spans="6:8" ht="15.6" x14ac:dyDescent="0.3">
      <c r="F51" s="19">
        <v>46</v>
      </c>
      <c r="G51" s="22">
        <v>45885</v>
      </c>
      <c r="H51" s="19">
        <f t="shared" si="1"/>
        <v>5.25</v>
      </c>
    </row>
    <row r="52" spans="6:8" ht="15.6" x14ac:dyDescent="0.3">
      <c r="F52" s="19">
        <v>47</v>
      </c>
      <c r="G52" s="22">
        <v>45884</v>
      </c>
      <c r="H52" s="19">
        <f t="shared" si="1"/>
        <v>5.25</v>
      </c>
    </row>
    <row r="53" spans="6:8" ht="15.6" x14ac:dyDescent="0.3">
      <c r="F53" s="19">
        <v>48</v>
      </c>
      <c r="G53" s="22">
        <v>45883</v>
      </c>
      <c r="H53" s="19">
        <f t="shared" si="1"/>
        <v>5.25</v>
      </c>
    </row>
    <row r="54" spans="6:8" ht="15.6" x14ac:dyDescent="0.3">
      <c r="F54" s="19">
        <v>49</v>
      </c>
      <c r="G54" s="22">
        <v>45882</v>
      </c>
      <c r="H54" s="19">
        <f t="shared" si="1"/>
        <v>5.25</v>
      </c>
    </row>
    <row r="55" spans="6:8" ht="15.6" x14ac:dyDescent="0.3">
      <c r="F55" s="19">
        <v>50</v>
      </c>
      <c r="G55" s="22">
        <v>45881</v>
      </c>
      <c r="H55" s="19">
        <f t="shared" si="1"/>
        <v>5.25</v>
      </c>
    </row>
    <row r="56" spans="6:8" ht="15.6" x14ac:dyDescent="0.3">
      <c r="F56" s="19">
        <v>51</v>
      </c>
      <c r="G56" s="22">
        <v>45880</v>
      </c>
      <c r="H56" s="19">
        <f t="shared" si="1"/>
        <v>5.25</v>
      </c>
    </row>
    <row r="57" spans="6:8" ht="15.6" x14ac:dyDescent="0.3">
      <c r="F57" s="19">
        <v>52</v>
      </c>
      <c r="G57" s="22">
        <v>45879</v>
      </c>
      <c r="H57" s="19">
        <f t="shared" si="1"/>
        <v>5.25</v>
      </c>
    </row>
    <row r="58" spans="6:8" ht="15.6" x14ac:dyDescent="0.3">
      <c r="F58" s="19">
        <v>53</v>
      </c>
      <c r="G58" s="22">
        <v>45878</v>
      </c>
      <c r="H58" s="19">
        <f t="shared" si="1"/>
        <v>5.25</v>
      </c>
    </row>
    <row r="59" spans="6:8" ht="15.6" x14ac:dyDescent="0.3">
      <c r="F59" s="19">
        <v>54</v>
      </c>
      <c r="G59" s="22">
        <v>45877</v>
      </c>
      <c r="H59" s="19">
        <f t="shared" si="1"/>
        <v>5.25</v>
      </c>
    </row>
    <row r="60" spans="6:8" ht="15.6" x14ac:dyDescent="0.3">
      <c r="F60" s="19">
        <v>55</v>
      </c>
      <c r="G60" s="22">
        <v>45876</v>
      </c>
      <c r="H60" s="19">
        <f t="shared" si="1"/>
        <v>5.25</v>
      </c>
    </row>
    <row r="61" spans="6:8" ht="15.6" x14ac:dyDescent="0.3">
      <c r="F61" s="19">
        <v>56</v>
      </c>
      <c r="G61" s="22">
        <v>45875</v>
      </c>
      <c r="H61" s="19">
        <f t="shared" si="1"/>
        <v>5.25</v>
      </c>
    </row>
    <row r="62" spans="6:8" ht="15.6" x14ac:dyDescent="0.3">
      <c r="F62" s="19">
        <v>57</v>
      </c>
      <c r="G62" s="22">
        <v>45874</v>
      </c>
      <c r="H62" s="19">
        <f t="shared" si="1"/>
        <v>5.25</v>
      </c>
    </row>
    <row r="63" spans="6:8" ht="15.6" x14ac:dyDescent="0.3">
      <c r="F63" s="19">
        <v>58</v>
      </c>
      <c r="G63" s="22">
        <v>45873</v>
      </c>
      <c r="H63" s="19">
        <f t="shared" si="1"/>
        <v>5.25</v>
      </c>
    </row>
    <row r="64" spans="6:8" ht="15.6" x14ac:dyDescent="0.3">
      <c r="F64" s="19">
        <v>59</v>
      </c>
      <c r="G64" s="22">
        <v>45872</v>
      </c>
      <c r="H64" s="19">
        <f t="shared" si="1"/>
        <v>5.25</v>
      </c>
    </row>
    <row r="65" spans="6:8" ht="15.6" x14ac:dyDescent="0.3">
      <c r="F65" s="19">
        <v>60</v>
      </c>
      <c r="G65" s="22">
        <v>45871</v>
      </c>
      <c r="H65" s="19">
        <f t="shared" si="1"/>
        <v>5.25</v>
      </c>
    </row>
    <row r="66" spans="6:8" ht="15.6" x14ac:dyDescent="0.3">
      <c r="F66" s="19">
        <v>61</v>
      </c>
      <c r="G66" s="22">
        <v>45870</v>
      </c>
      <c r="H66" s="19">
        <f t="shared" si="1"/>
        <v>5.25</v>
      </c>
    </row>
    <row r="67" spans="6:8" ht="15.6" x14ac:dyDescent="0.3">
      <c r="F67" s="19">
        <v>62</v>
      </c>
      <c r="G67" s="22">
        <v>45869</v>
      </c>
      <c r="H67" s="19">
        <f t="shared" si="1"/>
        <v>5.25</v>
      </c>
    </row>
    <row r="68" spans="6:8" ht="15.6" x14ac:dyDescent="0.3">
      <c r="F68" s="19">
        <v>63</v>
      </c>
      <c r="G68" s="22">
        <v>45868</v>
      </c>
      <c r="H68" s="19">
        <f t="shared" si="1"/>
        <v>5.25</v>
      </c>
    </row>
    <row r="69" spans="6:8" ht="15.6" x14ac:dyDescent="0.3">
      <c r="F69" s="19">
        <v>64</v>
      </c>
      <c r="G69" s="22">
        <v>45867</v>
      </c>
      <c r="H69" s="19">
        <f t="shared" si="1"/>
        <v>5.25</v>
      </c>
    </row>
    <row r="70" spans="6:8" ht="15.6" x14ac:dyDescent="0.3">
      <c r="F70" s="19">
        <v>65</v>
      </c>
      <c r="G70" s="22">
        <v>45866</v>
      </c>
      <c r="H70" s="19">
        <f t="shared" si="1"/>
        <v>5.25</v>
      </c>
    </row>
    <row r="71" spans="6:8" ht="15.6" x14ac:dyDescent="0.3">
      <c r="F71" s="19">
        <v>66</v>
      </c>
      <c r="G71" s="22">
        <v>45865</v>
      </c>
      <c r="H71" s="19">
        <f t="shared" ref="H71:H134" si="2">_xlfn.XLOOKUP(G71,$B$6:$B$39,$C$6:$C$39,,-1)</f>
        <v>5.25</v>
      </c>
    </row>
    <row r="72" spans="6:8" ht="15.6" x14ac:dyDescent="0.3">
      <c r="F72" s="19">
        <v>67</v>
      </c>
      <c r="G72" s="22">
        <v>45864</v>
      </c>
      <c r="H72" s="19">
        <f t="shared" si="2"/>
        <v>5.25</v>
      </c>
    </row>
    <row r="73" spans="6:8" ht="15.6" x14ac:dyDescent="0.3">
      <c r="F73" s="19">
        <v>68</v>
      </c>
      <c r="G73" s="22">
        <v>45863</v>
      </c>
      <c r="H73" s="19">
        <f t="shared" si="2"/>
        <v>5.25</v>
      </c>
    </row>
    <row r="74" spans="6:8" ht="15.6" x14ac:dyDescent="0.3">
      <c r="F74" s="19">
        <v>69</v>
      </c>
      <c r="G74" s="22">
        <v>45862</v>
      </c>
      <c r="H74" s="19">
        <f t="shared" si="2"/>
        <v>5.25</v>
      </c>
    </row>
    <row r="75" spans="6:8" ht="15.6" x14ac:dyDescent="0.3">
      <c r="F75" s="19">
        <v>70</v>
      </c>
      <c r="G75" s="22">
        <v>45861</v>
      </c>
      <c r="H75" s="19">
        <f t="shared" si="2"/>
        <v>5.25</v>
      </c>
    </row>
    <row r="76" spans="6:8" ht="15.6" x14ac:dyDescent="0.3">
      <c r="F76" s="19">
        <v>71</v>
      </c>
      <c r="G76" s="22">
        <v>45860</v>
      </c>
      <c r="H76" s="19">
        <f t="shared" si="2"/>
        <v>5.25</v>
      </c>
    </row>
    <row r="77" spans="6:8" ht="15.6" x14ac:dyDescent="0.3">
      <c r="F77" s="19">
        <v>72</v>
      </c>
      <c r="G77" s="22">
        <v>45859</v>
      </c>
      <c r="H77" s="19">
        <f t="shared" si="2"/>
        <v>5.25</v>
      </c>
    </row>
    <row r="78" spans="6:8" ht="15.6" x14ac:dyDescent="0.3">
      <c r="F78" s="19">
        <v>73</v>
      </c>
      <c r="G78" s="22">
        <v>45858</v>
      </c>
      <c r="H78" s="19">
        <f t="shared" si="2"/>
        <v>5.25</v>
      </c>
    </row>
    <row r="79" spans="6:8" ht="15.6" x14ac:dyDescent="0.3">
      <c r="F79" s="19">
        <v>74</v>
      </c>
      <c r="G79" s="22">
        <v>45857</v>
      </c>
      <c r="H79" s="19">
        <f t="shared" si="2"/>
        <v>5.25</v>
      </c>
    </row>
    <row r="80" spans="6:8" ht="15.6" x14ac:dyDescent="0.3">
      <c r="F80" s="19">
        <v>75</v>
      </c>
      <c r="G80" s="22">
        <v>45856</v>
      </c>
      <c r="H80" s="19">
        <f t="shared" si="2"/>
        <v>5.25</v>
      </c>
    </row>
    <row r="81" spans="6:8" ht="15.6" x14ac:dyDescent="0.3">
      <c r="F81" s="19">
        <v>76</v>
      </c>
      <c r="G81" s="22">
        <v>45855</v>
      </c>
      <c r="H81" s="19">
        <f t="shared" si="2"/>
        <v>5.25</v>
      </c>
    </row>
    <row r="82" spans="6:8" ht="15.6" x14ac:dyDescent="0.3">
      <c r="F82" s="19">
        <v>77</v>
      </c>
      <c r="G82" s="22">
        <v>45854</v>
      </c>
      <c r="H82" s="19">
        <f t="shared" si="2"/>
        <v>5.25</v>
      </c>
    </row>
    <row r="83" spans="6:8" ht="15.6" x14ac:dyDescent="0.3">
      <c r="F83" s="19">
        <v>78</v>
      </c>
      <c r="G83" s="22">
        <v>45853</v>
      </c>
      <c r="H83" s="19">
        <f t="shared" si="2"/>
        <v>5.5</v>
      </c>
    </row>
    <row r="84" spans="6:8" ht="15.6" x14ac:dyDescent="0.3">
      <c r="F84" s="19">
        <v>79</v>
      </c>
      <c r="G84" s="22">
        <v>45852</v>
      </c>
      <c r="H84" s="19">
        <f t="shared" si="2"/>
        <v>5.5</v>
      </c>
    </row>
    <row r="85" spans="6:8" ht="15.6" x14ac:dyDescent="0.3">
      <c r="F85" s="19">
        <v>80</v>
      </c>
      <c r="G85" s="22">
        <v>45851</v>
      </c>
      <c r="H85" s="19">
        <f t="shared" si="2"/>
        <v>5.5</v>
      </c>
    </row>
    <row r="86" spans="6:8" ht="15.6" x14ac:dyDescent="0.3">
      <c r="F86" s="19">
        <v>81</v>
      </c>
      <c r="G86" s="22">
        <v>45850</v>
      </c>
      <c r="H86" s="19">
        <f t="shared" si="2"/>
        <v>5.5</v>
      </c>
    </row>
    <row r="87" spans="6:8" ht="15.6" x14ac:dyDescent="0.3">
      <c r="F87" s="19">
        <v>82</v>
      </c>
      <c r="G87" s="22">
        <v>45849</v>
      </c>
      <c r="H87" s="19">
        <f t="shared" si="2"/>
        <v>5.5</v>
      </c>
    </row>
    <row r="88" spans="6:8" ht="15.6" x14ac:dyDescent="0.3">
      <c r="F88" s="19">
        <v>83</v>
      </c>
      <c r="G88" s="22">
        <v>45848</v>
      </c>
      <c r="H88" s="19">
        <f t="shared" si="2"/>
        <v>5.5</v>
      </c>
    </row>
    <row r="89" spans="6:8" ht="15.6" x14ac:dyDescent="0.3">
      <c r="F89" s="19">
        <v>84</v>
      </c>
      <c r="G89" s="22">
        <v>45847</v>
      </c>
      <c r="H89" s="19">
        <f t="shared" si="2"/>
        <v>5.5</v>
      </c>
    </row>
    <row r="90" spans="6:8" ht="15.6" x14ac:dyDescent="0.3">
      <c r="F90" s="19">
        <v>85</v>
      </c>
      <c r="G90" s="22">
        <v>45846</v>
      </c>
      <c r="H90" s="19">
        <f t="shared" si="2"/>
        <v>5.5</v>
      </c>
    </row>
    <row r="91" spans="6:8" ht="15.6" x14ac:dyDescent="0.3">
      <c r="F91" s="19">
        <v>86</v>
      </c>
      <c r="G91" s="22">
        <v>45845</v>
      </c>
      <c r="H91" s="19">
        <f t="shared" si="2"/>
        <v>5.5</v>
      </c>
    </row>
    <row r="92" spans="6:8" ht="15.6" x14ac:dyDescent="0.3">
      <c r="F92" s="19">
        <v>87</v>
      </c>
      <c r="G92" s="22">
        <v>45844</v>
      </c>
      <c r="H92" s="19">
        <f t="shared" si="2"/>
        <v>5.5</v>
      </c>
    </row>
    <row r="93" spans="6:8" ht="15.6" x14ac:dyDescent="0.3">
      <c r="F93" s="19">
        <v>88</v>
      </c>
      <c r="G93" s="22">
        <v>45843</v>
      </c>
      <c r="H93" s="19">
        <f t="shared" si="2"/>
        <v>5.5</v>
      </c>
    </row>
    <row r="94" spans="6:8" ht="15.6" x14ac:dyDescent="0.3">
      <c r="F94" s="19">
        <v>89</v>
      </c>
      <c r="G94" s="22">
        <v>45842</v>
      </c>
      <c r="H94" s="19">
        <f t="shared" si="2"/>
        <v>5.5</v>
      </c>
    </row>
    <row r="95" spans="6:8" ht="15.6" x14ac:dyDescent="0.3">
      <c r="F95" s="19">
        <v>90</v>
      </c>
      <c r="G95" s="22">
        <v>45841</v>
      </c>
      <c r="H95" s="19">
        <f t="shared" si="2"/>
        <v>5.5</v>
      </c>
    </row>
    <row r="96" spans="6:8" ht="15.6" x14ac:dyDescent="0.3">
      <c r="F96" s="19">
        <v>91</v>
      </c>
      <c r="G96" s="22">
        <v>45840</v>
      </c>
      <c r="H96" s="19">
        <f t="shared" si="2"/>
        <v>5.5</v>
      </c>
    </row>
    <row r="97" spans="6:8" ht="15.6" x14ac:dyDescent="0.3">
      <c r="F97" s="19">
        <v>92</v>
      </c>
      <c r="G97" s="22">
        <v>45839</v>
      </c>
      <c r="H97" s="19">
        <f t="shared" si="2"/>
        <v>5.5</v>
      </c>
    </row>
    <row r="98" spans="6:8" ht="15.6" x14ac:dyDescent="0.3">
      <c r="F98" s="19">
        <v>93</v>
      </c>
      <c r="G98" s="22">
        <v>45838</v>
      </c>
      <c r="H98" s="19">
        <f t="shared" si="2"/>
        <v>5.5</v>
      </c>
    </row>
    <row r="99" spans="6:8" ht="15.6" x14ac:dyDescent="0.3">
      <c r="F99" s="19">
        <v>94</v>
      </c>
      <c r="G99" s="22">
        <v>45837</v>
      </c>
      <c r="H99" s="19">
        <f t="shared" si="2"/>
        <v>5.5</v>
      </c>
    </row>
    <row r="100" spans="6:8" ht="15.6" x14ac:dyDescent="0.3">
      <c r="F100" s="19">
        <v>95</v>
      </c>
      <c r="G100" s="22">
        <v>45836</v>
      </c>
      <c r="H100" s="19">
        <f t="shared" si="2"/>
        <v>5.5</v>
      </c>
    </row>
    <row r="101" spans="6:8" ht="15.6" x14ac:dyDescent="0.3">
      <c r="F101" s="19">
        <v>96</v>
      </c>
      <c r="G101" s="22">
        <v>45835</v>
      </c>
      <c r="H101" s="19">
        <f t="shared" si="2"/>
        <v>5.5</v>
      </c>
    </row>
    <row r="102" spans="6:8" ht="15.6" x14ac:dyDescent="0.3">
      <c r="F102" s="19">
        <v>97</v>
      </c>
      <c r="G102" s="22">
        <v>45834</v>
      </c>
      <c r="H102" s="19">
        <f t="shared" si="2"/>
        <v>5.5</v>
      </c>
    </row>
    <row r="103" spans="6:8" ht="15.6" x14ac:dyDescent="0.3">
      <c r="F103" s="19">
        <v>98</v>
      </c>
      <c r="G103" s="22">
        <v>45833</v>
      </c>
      <c r="H103" s="19">
        <f t="shared" si="2"/>
        <v>5.5</v>
      </c>
    </row>
    <row r="104" spans="6:8" ht="15.6" x14ac:dyDescent="0.3">
      <c r="F104" s="19">
        <v>99</v>
      </c>
      <c r="G104" s="22">
        <v>45832</v>
      </c>
      <c r="H104" s="19">
        <f t="shared" si="2"/>
        <v>5.5</v>
      </c>
    </row>
    <row r="105" spans="6:8" ht="15.6" x14ac:dyDescent="0.3">
      <c r="F105" s="19">
        <v>100</v>
      </c>
      <c r="G105" s="22">
        <v>45831</v>
      </c>
      <c r="H105" s="19">
        <f t="shared" si="2"/>
        <v>5.5</v>
      </c>
    </row>
    <row r="106" spans="6:8" ht="15.6" x14ac:dyDescent="0.3">
      <c r="F106" s="19">
        <v>101</v>
      </c>
      <c r="G106" s="22">
        <v>45830</v>
      </c>
      <c r="H106" s="19">
        <f t="shared" si="2"/>
        <v>5.5</v>
      </c>
    </row>
    <row r="107" spans="6:8" ht="15.6" x14ac:dyDescent="0.3">
      <c r="F107" s="19">
        <v>102</v>
      </c>
      <c r="G107" s="22">
        <v>45829</v>
      </c>
      <c r="H107" s="19">
        <f t="shared" si="2"/>
        <v>5.5</v>
      </c>
    </row>
    <row r="108" spans="6:8" ht="15.6" x14ac:dyDescent="0.3">
      <c r="F108" s="19">
        <v>103</v>
      </c>
      <c r="G108" s="22">
        <v>45828</v>
      </c>
      <c r="H108" s="19">
        <f t="shared" si="2"/>
        <v>5.5</v>
      </c>
    </row>
    <row r="109" spans="6:8" ht="15.6" x14ac:dyDescent="0.3">
      <c r="F109" s="19">
        <v>104</v>
      </c>
      <c r="G109" s="22">
        <v>45827</v>
      </c>
      <c r="H109" s="19">
        <f t="shared" si="2"/>
        <v>5.5</v>
      </c>
    </row>
    <row r="110" spans="6:8" ht="15.6" x14ac:dyDescent="0.3">
      <c r="F110" s="19">
        <v>105</v>
      </c>
      <c r="G110" s="22">
        <v>45826</v>
      </c>
      <c r="H110" s="19">
        <f t="shared" si="2"/>
        <v>5.5</v>
      </c>
    </row>
    <row r="111" spans="6:8" ht="15.6" x14ac:dyDescent="0.3">
      <c r="F111" s="19">
        <v>106</v>
      </c>
      <c r="G111" s="22">
        <v>45825</v>
      </c>
      <c r="H111" s="19">
        <f t="shared" si="2"/>
        <v>5.5</v>
      </c>
    </row>
    <row r="112" spans="6:8" ht="15.6" x14ac:dyDescent="0.3">
      <c r="F112" s="19">
        <v>107</v>
      </c>
      <c r="G112" s="22">
        <v>45824</v>
      </c>
      <c r="H112" s="19">
        <f t="shared" si="2"/>
        <v>5.5</v>
      </c>
    </row>
    <row r="113" spans="6:8" ht="15.6" x14ac:dyDescent="0.3">
      <c r="F113" s="19">
        <v>108</v>
      </c>
      <c r="G113" s="22">
        <v>45823</v>
      </c>
      <c r="H113" s="19">
        <f t="shared" si="2"/>
        <v>5.5</v>
      </c>
    </row>
    <row r="114" spans="6:8" ht="15.6" x14ac:dyDescent="0.3">
      <c r="F114" s="19">
        <v>109</v>
      </c>
      <c r="G114" s="22">
        <v>45822</v>
      </c>
      <c r="H114" s="19">
        <f t="shared" si="2"/>
        <v>5.5</v>
      </c>
    </row>
    <row r="115" spans="6:8" ht="15.6" x14ac:dyDescent="0.3">
      <c r="F115" s="19">
        <v>110</v>
      </c>
      <c r="G115" s="22">
        <v>45821</v>
      </c>
      <c r="H115" s="19">
        <f t="shared" si="2"/>
        <v>5.5</v>
      </c>
    </row>
    <row r="116" spans="6:8" ht="15.6" x14ac:dyDescent="0.3">
      <c r="F116" s="19">
        <v>111</v>
      </c>
      <c r="G116" s="22">
        <v>45820</v>
      </c>
      <c r="H116" s="19">
        <f t="shared" si="2"/>
        <v>5.5</v>
      </c>
    </row>
    <row r="117" spans="6:8" ht="15.6" x14ac:dyDescent="0.3">
      <c r="F117" s="19">
        <v>112</v>
      </c>
      <c r="G117" s="22">
        <v>45819</v>
      </c>
      <c r="H117" s="19">
        <f t="shared" si="2"/>
        <v>5.5</v>
      </c>
    </row>
    <row r="118" spans="6:8" ht="15.6" x14ac:dyDescent="0.3">
      <c r="F118" s="19">
        <v>113</v>
      </c>
      <c r="G118" s="22">
        <v>45818</v>
      </c>
      <c r="H118" s="19">
        <f t="shared" si="2"/>
        <v>5.5</v>
      </c>
    </row>
    <row r="119" spans="6:8" ht="15.6" x14ac:dyDescent="0.3">
      <c r="F119" s="19">
        <v>114</v>
      </c>
      <c r="G119" s="22">
        <v>45817</v>
      </c>
      <c r="H119" s="19">
        <f t="shared" si="2"/>
        <v>5.5</v>
      </c>
    </row>
    <row r="120" spans="6:8" ht="15.6" x14ac:dyDescent="0.3">
      <c r="F120" s="19">
        <v>115</v>
      </c>
      <c r="G120" s="22">
        <v>45816</v>
      </c>
      <c r="H120" s="19">
        <f t="shared" si="2"/>
        <v>5.5</v>
      </c>
    </row>
    <row r="121" spans="6:8" ht="15.6" x14ac:dyDescent="0.3">
      <c r="F121" s="19">
        <v>116</v>
      </c>
      <c r="G121" s="22">
        <v>45815</v>
      </c>
      <c r="H121" s="19">
        <f t="shared" si="2"/>
        <v>5.5</v>
      </c>
    </row>
    <row r="122" spans="6:8" ht="15.6" x14ac:dyDescent="0.3">
      <c r="F122" s="19">
        <v>117</v>
      </c>
      <c r="G122" s="22">
        <v>45814</v>
      </c>
      <c r="H122" s="19">
        <f t="shared" si="2"/>
        <v>5.5</v>
      </c>
    </row>
    <row r="123" spans="6:8" ht="15.6" x14ac:dyDescent="0.3">
      <c r="F123" s="19">
        <v>118</v>
      </c>
      <c r="G123" s="22">
        <v>45813</v>
      </c>
      <c r="H123" s="19">
        <f t="shared" si="2"/>
        <v>5.5</v>
      </c>
    </row>
    <row r="124" spans="6:8" ht="15.6" x14ac:dyDescent="0.3">
      <c r="F124" s="19">
        <v>119</v>
      </c>
      <c r="G124" s="22">
        <v>45812</v>
      </c>
      <c r="H124" s="19">
        <f t="shared" si="2"/>
        <v>5.5</v>
      </c>
    </row>
    <row r="125" spans="6:8" ht="15.6" x14ac:dyDescent="0.3">
      <c r="F125" s="19">
        <v>120</v>
      </c>
      <c r="G125" s="22">
        <v>45811</v>
      </c>
      <c r="H125" s="19">
        <f t="shared" si="2"/>
        <v>5.5</v>
      </c>
    </row>
    <row r="126" spans="6:8" ht="15.6" x14ac:dyDescent="0.3">
      <c r="F126" s="19">
        <v>121</v>
      </c>
      <c r="G126" s="22">
        <v>45810</v>
      </c>
      <c r="H126" s="19">
        <f t="shared" si="2"/>
        <v>5.5</v>
      </c>
    </row>
    <row r="127" spans="6:8" ht="15.6" x14ac:dyDescent="0.3">
      <c r="F127" s="19">
        <v>122</v>
      </c>
      <c r="G127" s="22">
        <v>45809</v>
      </c>
      <c r="H127" s="19">
        <f t="shared" si="2"/>
        <v>5.5</v>
      </c>
    </row>
    <row r="128" spans="6:8" ht="15.6" x14ac:dyDescent="0.3">
      <c r="F128" s="19">
        <v>123</v>
      </c>
      <c r="G128" s="22">
        <v>45808</v>
      </c>
      <c r="H128" s="19">
        <f t="shared" si="2"/>
        <v>5.5</v>
      </c>
    </row>
    <row r="129" spans="6:8" ht="15.6" x14ac:dyDescent="0.3">
      <c r="F129" s="19">
        <v>124</v>
      </c>
      <c r="G129" s="22">
        <v>45807</v>
      </c>
      <c r="H129" s="19">
        <f t="shared" si="2"/>
        <v>5.5</v>
      </c>
    </row>
    <row r="130" spans="6:8" ht="15.6" x14ac:dyDescent="0.3">
      <c r="F130" s="19">
        <v>125</v>
      </c>
      <c r="G130" s="22">
        <v>45806</v>
      </c>
      <c r="H130" s="19">
        <f t="shared" si="2"/>
        <v>5.5</v>
      </c>
    </row>
    <row r="131" spans="6:8" ht="15.6" x14ac:dyDescent="0.3">
      <c r="F131" s="19">
        <v>126</v>
      </c>
      <c r="G131" s="22">
        <v>45805</v>
      </c>
      <c r="H131" s="19">
        <f t="shared" si="2"/>
        <v>5.5</v>
      </c>
    </row>
    <row r="132" spans="6:8" ht="15.6" x14ac:dyDescent="0.3">
      <c r="F132" s="19">
        <v>127</v>
      </c>
      <c r="G132" s="22">
        <v>45804</v>
      </c>
      <c r="H132" s="19">
        <f t="shared" si="2"/>
        <v>5.5</v>
      </c>
    </row>
    <row r="133" spans="6:8" ht="15.6" x14ac:dyDescent="0.3">
      <c r="F133" s="19">
        <v>128</v>
      </c>
      <c r="G133" s="22">
        <v>45803</v>
      </c>
      <c r="H133" s="19">
        <f t="shared" si="2"/>
        <v>5.5</v>
      </c>
    </row>
    <row r="134" spans="6:8" ht="15.6" x14ac:dyDescent="0.3">
      <c r="F134" s="19">
        <v>129</v>
      </c>
      <c r="G134" s="22">
        <v>45802</v>
      </c>
      <c r="H134" s="19">
        <f t="shared" si="2"/>
        <v>5.5</v>
      </c>
    </row>
    <row r="135" spans="6:8" ht="15.6" x14ac:dyDescent="0.3">
      <c r="F135" s="19">
        <v>130</v>
      </c>
      <c r="G135" s="22">
        <v>45801</v>
      </c>
      <c r="H135" s="19">
        <f t="shared" ref="H135:H198" si="3">_xlfn.XLOOKUP(G135,$B$6:$B$39,$C$6:$C$39,,-1)</f>
        <v>5.5</v>
      </c>
    </row>
    <row r="136" spans="6:8" ht="15.6" x14ac:dyDescent="0.3">
      <c r="F136" s="19">
        <v>131</v>
      </c>
      <c r="G136" s="22">
        <v>45800</v>
      </c>
      <c r="H136" s="19">
        <f t="shared" si="3"/>
        <v>5.5</v>
      </c>
    </row>
    <row r="137" spans="6:8" ht="15.6" x14ac:dyDescent="0.3">
      <c r="F137" s="19">
        <v>132</v>
      </c>
      <c r="G137" s="22">
        <v>45799</v>
      </c>
      <c r="H137" s="19">
        <f t="shared" si="3"/>
        <v>5.5</v>
      </c>
    </row>
    <row r="138" spans="6:8" ht="15.6" x14ac:dyDescent="0.3">
      <c r="F138" s="19">
        <v>133</v>
      </c>
      <c r="G138" s="22">
        <v>45798</v>
      </c>
      <c r="H138" s="19">
        <f t="shared" si="3"/>
        <v>5.5</v>
      </c>
    </row>
    <row r="139" spans="6:8" ht="15.6" x14ac:dyDescent="0.3">
      <c r="F139" s="19">
        <v>134</v>
      </c>
      <c r="G139" s="22">
        <v>45797</v>
      </c>
      <c r="H139" s="19">
        <f t="shared" si="3"/>
        <v>5.75</v>
      </c>
    </row>
    <row r="140" spans="6:8" ht="15.6" x14ac:dyDescent="0.3">
      <c r="F140" s="19">
        <v>135</v>
      </c>
      <c r="G140" s="22">
        <v>45796</v>
      </c>
      <c r="H140" s="19">
        <f t="shared" si="3"/>
        <v>5.75</v>
      </c>
    </row>
    <row r="141" spans="6:8" ht="15.6" x14ac:dyDescent="0.3">
      <c r="F141" s="19">
        <v>136</v>
      </c>
      <c r="G141" s="22">
        <v>45795</v>
      </c>
      <c r="H141" s="19">
        <f t="shared" si="3"/>
        <v>5.75</v>
      </c>
    </row>
    <row r="142" spans="6:8" ht="15.6" x14ac:dyDescent="0.3">
      <c r="F142" s="19">
        <v>137</v>
      </c>
      <c r="G142" s="22">
        <v>45794</v>
      </c>
      <c r="H142" s="19">
        <f t="shared" si="3"/>
        <v>5.75</v>
      </c>
    </row>
    <row r="143" spans="6:8" ht="15.6" x14ac:dyDescent="0.3">
      <c r="F143" s="19">
        <v>138</v>
      </c>
      <c r="G143" s="22">
        <v>45793</v>
      </c>
      <c r="H143" s="19">
        <f t="shared" si="3"/>
        <v>5.75</v>
      </c>
    </row>
    <row r="144" spans="6:8" ht="15.6" x14ac:dyDescent="0.3">
      <c r="F144" s="19">
        <v>139</v>
      </c>
      <c r="G144" s="22">
        <v>45792</v>
      </c>
      <c r="H144" s="19">
        <f t="shared" si="3"/>
        <v>5.75</v>
      </c>
    </row>
    <row r="145" spans="6:8" ht="15.6" x14ac:dyDescent="0.3">
      <c r="F145" s="19">
        <v>140</v>
      </c>
      <c r="G145" s="22">
        <v>45791</v>
      </c>
      <c r="H145" s="19">
        <f t="shared" si="3"/>
        <v>5.75</v>
      </c>
    </row>
    <row r="146" spans="6:8" ht="15.6" x14ac:dyDescent="0.3">
      <c r="F146" s="19">
        <v>141</v>
      </c>
      <c r="G146" s="22">
        <v>45790</v>
      </c>
      <c r="H146" s="19">
        <f t="shared" si="3"/>
        <v>5.75</v>
      </c>
    </row>
    <row r="147" spans="6:8" ht="15.6" x14ac:dyDescent="0.3">
      <c r="F147" s="19">
        <v>142</v>
      </c>
      <c r="G147" s="22">
        <v>45789</v>
      </c>
      <c r="H147" s="19">
        <f t="shared" si="3"/>
        <v>5.75</v>
      </c>
    </row>
    <row r="148" spans="6:8" ht="15.6" x14ac:dyDescent="0.3">
      <c r="F148" s="19">
        <v>143</v>
      </c>
      <c r="G148" s="22">
        <v>45788</v>
      </c>
      <c r="H148" s="19">
        <f t="shared" si="3"/>
        <v>5.75</v>
      </c>
    </row>
    <row r="149" spans="6:8" ht="15.6" x14ac:dyDescent="0.3">
      <c r="F149" s="19">
        <v>144</v>
      </c>
      <c r="G149" s="22">
        <v>45787</v>
      </c>
      <c r="H149" s="19">
        <f t="shared" si="3"/>
        <v>5.75</v>
      </c>
    </row>
    <row r="150" spans="6:8" ht="15.6" x14ac:dyDescent="0.3">
      <c r="F150" s="19">
        <v>145</v>
      </c>
      <c r="G150" s="22">
        <v>45786</v>
      </c>
      <c r="H150" s="19">
        <f t="shared" si="3"/>
        <v>5.75</v>
      </c>
    </row>
    <row r="151" spans="6:8" ht="15.6" x14ac:dyDescent="0.3">
      <c r="F151" s="19">
        <v>146</v>
      </c>
      <c r="G151" s="22">
        <v>45785</v>
      </c>
      <c r="H151" s="19">
        <f t="shared" si="3"/>
        <v>5.75</v>
      </c>
    </row>
    <row r="152" spans="6:8" ht="15.6" x14ac:dyDescent="0.3">
      <c r="F152" s="19">
        <v>147</v>
      </c>
      <c r="G152" s="22">
        <v>45784</v>
      </c>
      <c r="H152" s="19">
        <f t="shared" si="3"/>
        <v>5.75</v>
      </c>
    </row>
    <row r="153" spans="6:8" ht="15.6" x14ac:dyDescent="0.3">
      <c r="F153" s="19">
        <v>148</v>
      </c>
      <c r="G153" s="22">
        <v>45783</v>
      </c>
      <c r="H153" s="19">
        <f t="shared" si="3"/>
        <v>5.75</v>
      </c>
    </row>
    <row r="154" spans="6:8" ht="15.6" x14ac:dyDescent="0.3">
      <c r="F154" s="19">
        <v>149</v>
      </c>
      <c r="G154" s="22">
        <v>45782</v>
      </c>
      <c r="H154" s="19">
        <f t="shared" si="3"/>
        <v>5.75</v>
      </c>
    </row>
    <row r="155" spans="6:8" ht="15.6" x14ac:dyDescent="0.3">
      <c r="F155" s="19">
        <v>150</v>
      </c>
      <c r="G155" s="22">
        <v>45781</v>
      </c>
      <c r="H155" s="19">
        <f t="shared" si="3"/>
        <v>5.75</v>
      </c>
    </row>
    <row r="156" spans="6:8" ht="15.6" x14ac:dyDescent="0.3">
      <c r="F156" s="19">
        <v>151</v>
      </c>
      <c r="G156" s="22">
        <v>45780</v>
      </c>
      <c r="H156" s="19">
        <f t="shared" si="3"/>
        <v>5.75</v>
      </c>
    </row>
    <row r="157" spans="6:8" ht="15.6" x14ac:dyDescent="0.3">
      <c r="F157" s="19">
        <v>152</v>
      </c>
      <c r="G157" s="22">
        <v>45779</v>
      </c>
      <c r="H157" s="19">
        <f t="shared" si="3"/>
        <v>5.75</v>
      </c>
    </row>
    <row r="158" spans="6:8" ht="15.6" x14ac:dyDescent="0.3">
      <c r="F158" s="19">
        <v>153</v>
      </c>
      <c r="G158" s="22">
        <v>45778</v>
      </c>
      <c r="H158" s="19">
        <f t="shared" si="3"/>
        <v>5.75</v>
      </c>
    </row>
    <row r="159" spans="6:8" ht="15.6" x14ac:dyDescent="0.3">
      <c r="F159" s="19">
        <v>154</v>
      </c>
      <c r="G159" s="22">
        <v>45777</v>
      </c>
      <c r="H159" s="19">
        <f t="shared" si="3"/>
        <v>5.75</v>
      </c>
    </row>
    <row r="160" spans="6:8" ht="15.6" x14ac:dyDescent="0.3">
      <c r="F160" s="19">
        <v>155</v>
      </c>
      <c r="G160" s="22">
        <v>45776</v>
      </c>
      <c r="H160" s="19">
        <f t="shared" si="3"/>
        <v>5.75</v>
      </c>
    </row>
    <row r="161" spans="6:8" ht="15.6" x14ac:dyDescent="0.3">
      <c r="F161" s="19">
        <v>156</v>
      </c>
      <c r="G161" s="22">
        <v>45775</v>
      </c>
      <c r="H161" s="19">
        <f t="shared" si="3"/>
        <v>5.75</v>
      </c>
    </row>
    <row r="162" spans="6:8" ht="15.6" x14ac:dyDescent="0.3">
      <c r="F162" s="19">
        <v>157</v>
      </c>
      <c r="G162" s="22">
        <v>45774</v>
      </c>
      <c r="H162" s="19">
        <f t="shared" si="3"/>
        <v>5.75</v>
      </c>
    </row>
    <row r="163" spans="6:8" ht="15.6" x14ac:dyDescent="0.3">
      <c r="F163" s="19">
        <v>158</v>
      </c>
      <c r="G163" s="22">
        <v>45773</v>
      </c>
      <c r="H163" s="19">
        <f t="shared" si="3"/>
        <v>5.75</v>
      </c>
    </row>
    <row r="164" spans="6:8" ht="15.6" x14ac:dyDescent="0.3">
      <c r="F164" s="19">
        <v>159</v>
      </c>
      <c r="G164" s="22">
        <v>45772</v>
      </c>
      <c r="H164" s="19">
        <f t="shared" si="3"/>
        <v>5.75</v>
      </c>
    </row>
    <row r="165" spans="6:8" ht="15.6" x14ac:dyDescent="0.3">
      <c r="F165" s="19">
        <v>160</v>
      </c>
      <c r="G165" s="22">
        <v>45771</v>
      </c>
      <c r="H165" s="19">
        <f t="shared" si="3"/>
        <v>5.75</v>
      </c>
    </row>
    <row r="166" spans="6:8" ht="15.6" x14ac:dyDescent="0.3">
      <c r="F166" s="19">
        <v>161</v>
      </c>
      <c r="G166" s="22">
        <v>45770</v>
      </c>
      <c r="H166" s="19">
        <f t="shared" si="3"/>
        <v>5.75</v>
      </c>
    </row>
    <row r="167" spans="6:8" ht="15.6" x14ac:dyDescent="0.3">
      <c r="F167" s="19">
        <v>162</v>
      </c>
      <c r="G167" s="22">
        <v>45769</v>
      </c>
      <c r="H167" s="19">
        <f t="shared" si="3"/>
        <v>5.75</v>
      </c>
    </row>
    <row r="168" spans="6:8" ht="15.6" x14ac:dyDescent="0.3">
      <c r="F168" s="19">
        <v>163</v>
      </c>
      <c r="G168" s="22">
        <v>45768</v>
      </c>
      <c r="H168" s="19">
        <f t="shared" si="3"/>
        <v>5.75</v>
      </c>
    </row>
    <row r="169" spans="6:8" ht="15.6" x14ac:dyDescent="0.3">
      <c r="F169" s="19">
        <v>164</v>
      </c>
      <c r="G169" s="22">
        <v>45767</v>
      </c>
      <c r="H169" s="19">
        <f t="shared" si="3"/>
        <v>5.75</v>
      </c>
    </row>
    <row r="170" spans="6:8" ht="15.6" x14ac:dyDescent="0.3">
      <c r="F170" s="19">
        <v>165</v>
      </c>
      <c r="G170" s="22">
        <v>45766</v>
      </c>
      <c r="H170" s="19">
        <f t="shared" si="3"/>
        <v>5.75</v>
      </c>
    </row>
    <row r="171" spans="6:8" ht="15.6" x14ac:dyDescent="0.3">
      <c r="F171" s="19">
        <v>166</v>
      </c>
      <c r="G171" s="22">
        <v>45765</v>
      </c>
      <c r="H171" s="19">
        <f t="shared" si="3"/>
        <v>5.75</v>
      </c>
    </row>
    <row r="172" spans="6:8" ht="15.6" x14ac:dyDescent="0.3">
      <c r="F172" s="19">
        <v>167</v>
      </c>
      <c r="G172" s="22">
        <v>45764</v>
      </c>
      <c r="H172" s="19">
        <f t="shared" si="3"/>
        <v>5.75</v>
      </c>
    </row>
    <row r="173" spans="6:8" ht="15.6" x14ac:dyDescent="0.3">
      <c r="F173" s="19">
        <v>168</v>
      </c>
      <c r="G173" s="22">
        <v>45763</v>
      </c>
      <c r="H173" s="19">
        <f t="shared" si="3"/>
        <v>5.75</v>
      </c>
    </row>
    <row r="174" spans="6:8" ht="15.6" x14ac:dyDescent="0.3">
      <c r="F174" s="19">
        <v>169</v>
      </c>
      <c r="G174" s="22">
        <v>45762</v>
      </c>
      <c r="H174" s="19">
        <f t="shared" si="3"/>
        <v>5.75</v>
      </c>
    </row>
    <row r="175" spans="6:8" ht="15.6" x14ac:dyDescent="0.3">
      <c r="F175" s="19">
        <v>170</v>
      </c>
      <c r="G175" s="22">
        <v>45761</v>
      </c>
      <c r="H175" s="19">
        <f t="shared" si="3"/>
        <v>5.75</v>
      </c>
    </row>
    <row r="176" spans="6:8" ht="15.6" x14ac:dyDescent="0.3">
      <c r="F176" s="19">
        <v>171</v>
      </c>
      <c r="G176" s="22">
        <v>45760</v>
      </c>
      <c r="H176" s="19">
        <f t="shared" si="3"/>
        <v>5.75</v>
      </c>
    </row>
    <row r="177" spans="6:8" ht="15.6" x14ac:dyDescent="0.3">
      <c r="F177" s="19">
        <v>172</v>
      </c>
      <c r="G177" s="22">
        <v>45759</v>
      </c>
      <c r="H177" s="19">
        <f t="shared" si="3"/>
        <v>5.75</v>
      </c>
    </row>
    <row r="178" spans="6:8" ht="15.6" x14ac:dyDescent="0.3">
      <c r="F178" s="19">
        <v>173</v>
      </c>
      <c r="G178" s="22">
        <v>45758</v>
      </c>
      <c r="H178" s="19">
        <f t="shared" si="3"/>
        <v>5.75</v>
      </c>
    </row>
    <row r="179" spans="6:8" ht="15.6" x14ac:dyDescent="0.3">
      <c r="F179" s="19">
        <v>174</v>
      </c>
      <c r="G179" s="22">
        <v>45757</v>
      </c>
      <c r="H179" s="19">
        <f t="shared" si="3"/>
        <v>5.75</v>
      </c>
    </row>
    <row r="180" spans="6:8" ht="15.6" x14ac:dyDescent="0.3">
      <c r="F180" s="19">
        <v>175</v>
      </c>
      <c r="G180" s="22">
        <v>45756</v>
      </c>
      <c r="H180" s="19">
        <f t="shared" si="3"/>
        <v>5.75</v>
      </c>
    </row>
    <row r="181" spans="6:8" ht="15.6" x14ac:dyDescent="0.3">
      <c r="F181" s="19">
        <v>176</v>
      </c>
      <c r="G181" s="22">
        <v>45755</v>
      </c>
      <c r="H181" s="19">
        <f t="shared" si="3"/>
        <v>5.75</v>
      </c>
    </row>
    <row r="182" spans="6:8" ht="15.6" x14ac:dyDescent="0.3">
      <c r="F182" s="19">
        <v>177</v>
      </c>
      <c r="G182" s="22">
        <v>45754</v>
      </c>
      <c r="H182" s="19">
        <f t="shared" si="3"/>
        <v>5.75</v>
      </c>
    </row>
    <row r="183" spans="6:8" ht="15.6" x14ac:dyDescent="0.3">
      <c r="F183" s="19">
        <v>178</v>
      </c>
      <c r="G183" s="22">
        <v>45753</v>
      </c>
      <c r="H183" s="19">
        <f t="shared" si="3"/>
        <v>5.75</v>
      </c>
    </row>
    <row r="184" spans="6:8" ht="15.6" x14ac:dyDescent="0.3">
      <c r="F184" s="19">
        <v>179</v>
      </c>
      <c r="G184" s="22">
        <v>45752</v>
      </c>
      <c r="H184" s="19">
        <f t="shared" si="3"/>
        <v>5.75</v>
      </c>
    </row>
    <row r="185" spans="6:8" ht="15.6" x14ac:dyDescent="0.3">
      <c r="F185" s="19">
        <v>180</v>
      </c>
      <c r="G185" s="22">
        <v>45751</v>
      </c>
      <c r="H185" s="19">
        <f t="shared" si="3"/>
        <v>5.75</v>
      </c>
    </row>
    <row r="186" spans="6:8" ht="15.6" x14ac:dyDescent="0.3">
      <c r="F186" s="19">
        <v>181</v>
      </c>
      <c r="G186" s="22">
        <v>45750</v>
      </c>
      <c r="H186" s="19">
        <f t="shared" si="3"/>
        <v>5.75</v>
      </c>
    </row>
    <row r="187" spans="6:8" ht="15.6" x14ac:dyDescent="0.3">
      <c r="F187" s="19">
        <v>182</v>
      </c>
      <c r="G187" s="22">
        <v>45749</v>
      </c>
      <c r="H187" s="19">
        <f t="shared" si="3"/>
        <v>5.75</v>
      </c>
    </row>
    <row r="188" spans="6:8" ht="15.6" x14ac:dyDescent="0.3">
      <c r="F188" s="19">
        <v>183</v>
      </c>
      <c r="G188" s="22">
        <v>45748</v>
      </c>
      <c r="H188" s="19">
        <f t="shared" si="3"/>
        <v>5.75</v>
      </c>
    </row>
    <row r="189" spans="6:8" ht="15.6" x14ac:dyDescent="0.3">
      <c r="F189" s="19">
        <v>184</v>
      </c>
      <c r="G189" s="22">
        <v>45747</v>
      </c>
      <c r="H189" s="19">
        <f t="shared" si="3"/>
        <v>5.75</v>
      </c>
    </row>
    <row r="190" spans="6:8" ht="15.6" x14ac:dyDescent="0.3">
      <c r="F190" s="19">
        <v>185</v>
      </c>
      <c r="G190" s="22">
        <v>45746</v>
      </c>
      <c r="H190" s="19">
        <f t="shared" si="3"/>
        <v>5.75</v>
      </c>
    </row>
    <row r="191" spans="6:8" ht="15.6" x14ac:dyDescent="0.3">
      <c r="F191" s="19">
        <v>186</v>
      </c>
      <c r="G191" s="22">
        <v>45745</v>
      </c>
      <c r="H191" s="19">
        <f t="shared" si="3"/>
        <v>5.75</v>
      </c>
    </row>
    <row r="192" spans="6:8" ht="15.6" x14ac:dyDescent="0.3">
      <c r="F192" s="19">
        <v>187</v>
      </c>
      <c r="G192" s="22">
        <v>45744</v>
      </c>
      <c r="H192" s="19">
        <f t="shared" si="3"/>
        <v>5.75</v>
      </c>
    </row>
    <row r="193" spans="6:8" ht="15.6" x14ac:dyDescent="0.3">
      <c r="F193" s="19">
        <v>188</v>
      </c>
      <c r="G193" s="22">
        <v>45743</v>
      </c>
      <c r="H193" s="19">
        <f t="shared" si="3"/>
        <v>5.75</v>
      </c>
    </row>
    <row r="194" spans="6:8" ht="15.6" x14ac:dyDescent="0.3">
      <c r="F194" s="19">
        <v>189</v>
      </c>
      <c r="G194" s="22">
        <v>45742</v>
      </c>
      <c r="H194" s="19">
        <f t="shared" si="3"/>
        <v>5.75</v>
      </c>
    </row>
    <row r="195" spans="6:8" ht="15.6" x14ac:dyDescent="0.3">
      <c r="F195" s="19">
        <v>190</v>
      </c>
      <c r="G195" s="22">
        <v>45741</v>
      </c>
      <c r="H195" s="19">
        <f t="shared" si="3"/>
        <v>5.75</v>
      </c>
    </row>
    <row r="196" spans="6:8" ht="15.6" x14ac:dyDescent="0.3">
      <c r="F196" s="19">
        <v>191</v>
      </c>
      <c r="G196" s="22">
        <v>45740</v>
      </c>
      <c r="H196" s="19">
        <f t="shared" si="3"/>
        <v>5.75</v>
      </c>
    </row>
    <row r="197" spans="6:8" ht="15.6" x14ac:dyDescent="0.3">
      <c r="F197" s="19">
        <v>192</v>
      </c>
      <c r="G197" s="22">
        <v>45739</v>
      </c>
      <c r="H197" s="19">
        <f t="shared" si="3"/>
        <v>5.75</v>
      </c>
    </row>
    <row r="198" spans="6:8" ht="15.6" x14ac:dyDescent="0.3">
      <c r="F198" s="19">
        <v>193</v>
      </c>
      <c r="G198" s="22">
        <v>45738</v>
      </c>
      <c r="H198" s="19">
        <f t="shared" si="3"/>
        <v>5.75</v>
      </c>
    </row>
    <row r="199" spans="6:8" ht="15.6" x14ac:dyDescent="0.3">
      <c r="F199" s="19">
        <v>194</v>
      </c>
      <c r="G199" s="22">
        <v>45737</v>
      </c>
      <c r="H199" s="19">
        <f t="shared" ref="H199:H262" si="4">_xlfn.XLOOKUP(G199,$B$6:$B$39,$C$6:$C$39,,-1)</f>
        <v>5.75</v>
      </c>
    </row>
    <row r="200" spans="6:8" ht="15.6" x14ac:dyDescent="0.3">
      <c r="F200" s="19">
        <v>195</v>
      </c>
      <c r="G200" s="22">
        <v>45736</v>
      </c>
      <c r="H200" s="19">
        <f t="shared" si="4"/>
        <v>5.75</v>
      </c>
    </row>
    <row r="201" spans="6:8" ht="15.6" x14ac:dyDescent="0.3">
      <c r="F201" s="19">
        <v>196</v>
      </c>
      <c r="G201" s="22">
        <v>45735</v>
      </c>
      <c r="H201" s="19">
        <f t="shared" si="4"/>
        <v>5.75</v>
      </c>
    </row>
    <row r="202" spans="6:8" ht="15.6" x14ac:dyDescent="0.3">
      <c r="F202" s="19">
        <v>197</v>
      </c>
      <c r="G202" s="22">
        <v>45734</v>
      </c>
      <c r="H202" s="19">
        <f t="shared" si="4"/>
        <v>5.75</v>
      </c>
    </row>
    <row r="203" spans="6:8" ht="15.6" x14ac:dyDescent="0.3">
      <c r="F203" s="19">
        <v>198</v>
      </c>
      <c r="G203" s="22">
        <v>45733</v>
      </c>
      <c r="H203" s="19">
        <f t="shared" si="4"/>
        <v>5.75</v>
      </c>
    </row>
    <row r="204" spans="6:8" ht="15.6" x14ac:dyDescent="0.3">
      <c r="F204" s="19">
        <v>199</v>
      </c>
      <c r="G204" s="22">
        <v>45732</v>
      </c>
      <c r="H204" s="19">
        <f t="shared" si="4"/>
        <v>5.75</v>
      </c>
    </row>
    <row r="205" spans="6:8" ht="15.6" x14ac:dyDescent="0.3">
      <c r="F205" s="19">
        <v>200</v>
      </c>
      <c r="G205" s="22">
        <v>45731</v>
      </c>
      <c r="H205" s="19">
        <f t="shared" si="4"/>
        <v>5.75</v>
      </c>
    </row>
    <row r="206" spans="6:8" ht="15.6" x14ac:dyDescent="0.3">
      <c r="F206" s="19">
        <v>201</v>
      </c>
      <c r="G206" s="22">
        <v>45730</v>
      </c>
      <c r="H206" s="19">
        <f t="shared" si="4"/>
        <v>5.75</v>
      </c>
    </row>
    <row r="207" spans="6:8" ht="15.6" x14ac:dyDescent="0.3">
      <c r="F207" s="19">
        <v>202</v>
      </c>
      <c r="G207" s="22">
        <v>45729</v>
      </c>
      <c r="H207" s="19">
        <f t="shared" si="4"/>
        <v>5.75</v>
      </c>
    </row>
    <row r="208" spans="6:8" ht="15.6" x14ac:dyDescent="0.3">
      <c r="F208" s="19">
        <v>203</v>
      </c>
      <c r="G208" s="22">
        <v>45728</v>
      </c>
      <c r="H208" s="19">
        <f t="shared" si="4"/>
        <v>5.75</v>
      </c>
    </row>
    <row r="209" spans="6:8" ht="15.6" x14ac:dyDescent="0.3">
      <c r="F209" s="19">
        <v>204</v>
      </c>
      <c r="G209" s="22">
        <v>45727</v>
      </c>
      <c r="H209" s="19">
        <f t="shared" si="4"/>
        <v>5.75</v>
      </c>
    </row>
    <row r="210" spans="6:8" ht="15.6" x14ac:dyDescent="0.3">
      <c r="F210" s="19">
        <v>205</v>
      </c>
      <c r="G210" s="22">
        <v>45726</v>
      </c>
      <c r="H210" s="19">
        <f t="shared" si="4"/>
        <v>5.75</v>
      </c>
    </row>
    <row r="211" spans="6:8" ht="15.6" x14ac:dyDescent="0.3">
      <c r="F211" s="19">
        <v>206</v>
      </c>
      <c r="G211" s="22">
        <v>45725</v>
      </c>
      <c r="H211" s="19">
        <f t="shared" si="4"/>
        <v>5.75</v>
      </c>
    </row>
    <row r="212" spans="6:8" ht="15.6" x14ac:dyDescent="0.3">
      <c r="F212" s="19">
        <v>207</v>
      </c>
      <c r="G212" s="22">
        <v>45724</v>
      </c>
      <c r="H212" s="19">
        <f t="shared" si="4"/>
        <v>5.75</v>
      </c>
    </row>
    <row r="213" spans="6:8" ht="15.6" x14ac:dyDescent="0.3">
      <c r="F213" s="19">
        <v>208</v>
      </c>
      <c r="G213" s="22">
        <v>45723</v>
      </c>
      <c r="H213" s="19">
        <f t="shared" si="4"/>
        <v>5.75</v>
      </c>
    </row>
    <row r="214" spans="6:8" ht="15.6" x14ac:dyDescent="0.3">
      <c r="F214" s="19">
        <v>209</v>
      </c>
      <c r="G214" s="22">
        <v>45722</v>
      </c>
      <c r="H214" s="19">
        <f t="shared" si="4"/>
        <v>5.75</v>
      </c>
    </row>
    <row r="215" spans="6:8" ht="15.6" x14ac:dyDescent="0.3">
      <c r="F215" s="19">
        <v>210</v>
      </c>
      <c r="G215" s="22">
        <v>45721</v>
      </c>
      <c r="H215" s="19">
        <f t="shared" si="4"/>
        <v>5.75</v>
      </c>
    </row>
    <row r="216" spans="6:8" ht="15.6" x14ac:dyDescent="0.3">
      <c r="F216" s="19">
        <v>211</v>
      </c>
      <c r="G216" s="22">
        <v>45720</v>
      </c>
      <c r="H216" s="19">
        <f t="shared" si="4"/>
        <v>5.75</v>
      </c>
    </row>
    <row r="217" spans="6:8" ht="15.6" x14ac:dyDescent="0.3">
      <c r="F217" s="19">
        <v>212</v>
      </c>
      <c r="G217" s="22">
        <v>45719</v>
      </c>
      <c r="H217" s="19">
        <f t="shared" si="4"/>
        <v>5.75</v>
      </c>
    </row>
    <row r="218" spans="6:8" ht="15.6" x14ac:dyDescent="0.3">
      <c r="F218" s="19">
        <v>213</v>
      </c>
      <c r="G218" s="22">
        <v>45718</v>
      </c>
      <c r="H218" s="19">
        <f t="shared" si="4"/>
        <v>5.75</v>
      </c>
    </row>
    <row r="219" spans="6:8" ht="15.6" x14ac:dyDescent="0.3">
      <c r="F219" s="19">
        <v>214</v>
      </c>
      <c r="G219" s="22">
        <v>45717</v>
      </c>
      <c r="H219" s="19">
        <f t="shared" si="4"/>
        <v>5.75</v>
      </c>
    </row>
    <row r="220" spans="6:8" ht="15.6" x14ac:dyDescent="0.3">
      <c r="F220" s="19">
        <v>215</v>
      </c>
      <c r="G220" s="22">
        <v>45716</v>
      </c>
      <c r="H220" s="19">
        <f t="shared" si="4"/>
        <v>5.75</v>
      </c>
    </row>
    <row r="221" spans="6:8" ht="15.6" x14ac:dyDescent="0.3">
      <c r="F221" s="19">
        <v>216</v>
      </c>
      <c r="G221" s="22">
        <v>45715</v>
      </c>
      <c r="H221" s="19">
        <f t="shared" si="4"/>
        <v>5.75</v>
      </c>
    </row>
    <row r="222" spans="6:8" ht="15.6" x14ac:dyDescent="0.3">
      <c r="F222" s="19">
        <v>217</v>
      </c>
      <c r="G222" s="22">
        <v>45714</v>
      </c>
      <c r="H222" s="19">
        <f t="shared" si="4"/>
        <v>5.75</v>
      </c>
    </row>
    <row r="223" spans="6:8" ht="15.6" x14ac:dyDescent="0.3">
      <c r="F223" s="19">
        <v>218</v>
      </c>
      <c r="G223" s="22">
        <v>45713</v>
      </c>
      <c r="H223" s="19">
        <f t="shared" si="4"/>
        <v>5.75</v>
      </c>
    </row>
    <row r="224" spans="6:8" ht="15.6" x14ac:dyDescent="0.3">
      <c r="F224" s="19">
        <v>219</v>
      </c>
      <c r="G224" s="22">
        <v>45712</v>
      </c>
      <c r="H224" s="19">
        <f t="shared" si="4"/>
        <v>5.75</v>
      </c>
    </row>
    <row r="225" spans="6:8" ht="15.6" x14ac:dyDescent="0.3">
      <c r="F225" s="19">
        <v>220</v>
      </c>
      <c r="G225" s="22">
        <v>45711</v>
      </c>
      <c r="H225" s="19">
        <f t="shared" si="4"/>
        <v>5.75</v>
      </c>
    </row>
    <row r="226" spans="6:8" ht="15.6" x14ac:dyDescent="0.3">
      <c r="F226" s="19">
        <v>221</v>
      </c>
      <c r="G226" s="22">
        <v>45710</v>
      </c>
      <c r="H226" s="19">
        <f t="shared" si="4"/>
        <v>5.75</v>
      </c>
    </row>
    <row r="227" spans="6:8" ht="15.6" x14ac:dyDescent="0.3">
      <c r="F227" s="19">
        <v>222</v>
      </c>
      <c r="G227" s="22">
        <v>45709</v>
      </c>
      <c r="H227" s="19">
        <f t="shared" si="4"/>
        <v>5.75</v>
      </c>
    </row>
    <row r="228" spans="6:8" ht="15.6" x14ac:dyDescent="0.3">
      <c r="F228" s="19">
        <v>223</v>
      </c>
      <c r="G228" s="22">
        <v>45708</v>
      </c>
      <c r="H228" s="19">
        <f t="shared" si="4"/>
        <v>5.75</v>
      </c>
    </row>
    <row r="229" spans="6:8" ht="15.6" x14ac:dyDescent="0.3">
      <c r="F229" s="19">
        <v>224</v>
      </c>
      <c r="G229" s="22">
        <v>45707</v>
      </c>
      <c r="H229" s="19">
        <f t="shared" si="4"/>
        <v>5.75</v>
      </c>
    </row>
    <row r="230" spans="6:8" ht="15.6" x14ac:dyDescent="0.3">
      <c r="F230" s="19">
        <v>225</v>
      </c>
      <c r="G230" s="22">
        <v>45706</v>
      </c>
      <c r="H230" s="19">
        <f t="shared" si="4"/>
        <v>5.75</v>
      </c>
    </row>
    <row r="231" spans="6:8" ht="15.6" x14ac:dyDescent="0.3">
      <c r="F231" s="19">
        <v>226</v>
      </c>
      <c r="G231" s="22">
        <v>45705</v>
      </c>
      <c r="H231" s="19">
        <f t="shared" si="4"/>
        <v>5.75</v>
      </c>
    </row>
    <row r="232" spans="6:8" ht="15.6" x14ac:dyDescent="0.3">
      <c r="F232" s="19">
        <v>227</v>
      </c>
      <c r="G232" s="22">
        <v>45704</v>
      </c>
      <c r="H232" s="19">
        <f t="shared" si="4"/>
        <v>5.75</v>
      </c>
    </row>
    <row r="233" spans="6:8" ht="15.6" x14ac:dyDescent="0.3">
      <c r="F233" s="19">
        <v>228</v>
      </c>
      <c r="G233" s="22">
        <v>45703</v>
      </c>
      <c r="H233" s="19">
        <f t="shared" si="4"/>
        <v>5.75</v>
      </c>
    </row>
    <row r="234" spans="6:8" ht="15.6" x14ac:dyDescent="0.3">
      <c r="F234" s="19">
        <v>229</v>
      </c>
      <c r="G234" s="22">
        <v>45702</v>
      </c>
      <c r="H234" s="19">
        <f t="shared" si="4"/>
        <v>5.75</v>
      </c>
    </row>
    <row r="235" spans="6:8" ht="15.6" x14ac:dyDescent="0.3">
      <c r="F235" s="19">
        <v>230</v>
      </c>
      <c r="G235" s="22">
        <v>45701</v>
      </c>
      <c r="H235" s="19">
        <f t="shared" si="4"/>
        <v>5.75</v>
      </c>
    </row>
    <row r="236" spans="6:8" ht="15.6" x14ac:dyDescent="0.3">
      <c r="F236" s="19">
        <v>231</v>
      </c>
      <c r="G236" s="22">
        <v>45700</v>
      </c>
      <c r="H236" s="19">
        <f t="shared" si="4"/>
        <v>5.75</v>
      </c>
    </row>
    <row r="237" spans="6:8" ht="15.6" x14ac:dyDescent="0.3">
      <c r="F237" s="19">
        <v>232</v>
      </c>
      <c r="G237" s="22">
        <v>45699</v>
      </c>
      <c r="H237" s="19">
        <f t="shared" si="4"/>
        <v>5.75</v>
      </c>
    </row>
    <row r="238" spans="6:8" ht="15.6" x14ac:dyDescent="0.3">
      <c r="F238" s="19">
        <v>233</v>
      </c>
      <c r="G238" s="22">
        <v>45698</v>
      </c>
      <c r="H238" s="19">
        <f t="shared" si="4"/>
        <v>5.75</v>
      </c>
    </row>
    <row r="239" spans="6:8" ht="15.6" x14ac:dyDescent="0.3">
      <c r="F239" s="19">
        <v>234</v>
      </c>
      <c r="G239" s="22">
        <v>45697</v>
      </c>
      <c r="H239" s="19">
        <f t="shared" si="4"/>
        <v>5.75</v>
      </c>
    </row>
    <row r="240" spans="6:8" ht="15.6" x14ac:dyDescent="0.3">
      <c r="F240" s="19">
        <v>235</v>
      </c>
      <c r="G240" s="22">
        <v>45696</v>
      </c>
      <c r="H240" s="19">
        <f t="shared" si="4"/>
        <v>5.75</v>
      </c>
    </row>
    <row r="241" spans="6:8" ht="15.6" x14ac:dyDescent="0.3">
      <c r="F241" s="19">
        <v>236</v>
      </c>
      <c r="G241" s="22">
        <v>45695</v>
      </c>
      <c r="H241" s="19">
        <f t="shared" si="4"/>
        <v>5.75</v>
      </c>
    </row>
    <row r="242" spans="6:8" ht="15.6" x14ac:dyDescent="0.3">
      <c r="F242" s="19">
        <v>237</v>
      </c>
      <c r="G242" s="22">
        <v>45694</v>
      </c>
      <c r="H242" s="19">
        <f t="shared" si="4"/>
        <v>5.75</v>
      </c>
    </row>
    <row r="243" spans="6:8" ht="15.6" x14ac:dyDescent="0.3">
      <c r="F243" s="19">
        <v>238</v>
      </c>
      <c r="G243" s="22">
        <v>45693</v>
      </c>
      <c r="H243" s="19">
        <f t="shared" si="4"/>
        <v>5.75</v>
      </c>
    </row>
    <row r="244" spans="6:8" ht="15.6" x14ac:dyDescent="0.3">
      <c r="F244" s="19">
        <v>239</v>
      </c>
      <c r="G244" s="22">
        <v>45692</v>
      </c>
      <c r="H244" s="19">
        <f t="shared" si="4"/>
        <v>5.75</v>
      </c>
    </row>
    <row r="245" spans="6:8" ht="15.6" x14ac:dyDescent="0.3">
      <c r="F245" s="19">
        <v>240</v>
      </c>
      <c r="G245" s="22">
        <v>45691</v>
      </c>
      <c r="H245" s="19">
        <f t="shared" si="4"/>
        <v>5.75</v>
      </c>
    </row>
    <row r="246" spans="6:8" ht="15.6" x14ac:dyDescent="0.3">
      <c r="F246" s="19">
        <v>241</v>
      </c>
      <c r="G246" s="22">
        <v>45690</v>
      </c>
      <c r="H246" s="19">
        <f t="shared" si="4"/>
        <v>5.75</v>
      </c>
    </row>
    <row r="247" spans="6:8" ht="15.6" x14ac:dyDescent="0.3">
      <c r="F247" s="19">
        <v>242</v>
      </c>
      <c r="G247" s="22">
        <v>45689</v>
      </c>
      <c r="H247" s="19">
        <f t="shared" si="4"/>
        <v>5.75</v>
      </c>
    </row>
    <row r="248" spans="6:8" ht="15.6" x14ac:dyDescent="0.3">
      <c r="F248" s="19">
        <v>243</v>
      </c>
      <c r="G248" s="22">
        <v>45688</v>
      </c>
      <c r="H248" s="19">
        <f t="shared" si="4"/>
        <v>5.75</v>
      </c>
    </row>
    <row r="249" spans="6:8" ht="15.6" x14ac:dyDescent="0.3">
      <c r="F249" s="19">
        <v>244</v>
      </c>
      <c r="G249" s="22">
        <v>45687</v>
      </c>
      <c r="H249" s="19">
        <f t="shared" si="4"/>
        <v>5.75</v>
      </c>
    </row>
    <row r="250" spans="6:8" ht="15.6" x14ac:dyDescent="0.3">
      <c r="F250" s="19">
        <v>245</v>
      </c>
      <c r="G250" s="22">
        <v>45686</v>
      </c>
      <c r="H250" s="19">
        <f t="shared" si="4"/>
        <v>5.75</v>
      </c>
    </row>
    <row r="251" spans="6:8" ht="15.6" x14ac:dyDescent="0.3">
      <c r="F251" s="19">
        <v>246</v>
      </c>
      <c r="G251" s="22">
        <v>45685</v>
      </c>
      <c r="H251" s="19">
        <f t="shared" si="4"/>
        <v>5.75</v>
      </c>
    </row>
    <row r="252" spans="6:8" ht="15.6" x14ac:dyDescent="0.3">
      <c r="F252" s="19">
        <v>247</v>
      </c>
      <c r="G252" s="22">
        <v>45684</v>
      </c>
      <c r="H252" s="19">
        <f t="shared" si="4"/>
        <v>5.75</v>
      </c>
    </row>
    <row r="253" spans="6:8" ht="15.6" x14ac:dyDescent="0.3">
      <c r="F253" s="19">
        <v>248</v>
      </c>
      <c r="G253" s="22">
        <v>45683</v>
      </c>
      <c r="H253" s="19">
        <f t="shared" si="4"/>
        <v>5.75</v>
      </c>
    </row>
    <row r="254" spans="6:8" ht="15.6" x14ac:dyDescent="0.3">
      <c r="F254" s="19">
        <v>249</v>
      </c>
      <c r="G254" s="22">
        <v>45682</v>
      </c>
      <c r="H254" s="19">
        <f t="shared" si="4"/>
        <v>5.75</v>
      </c>
    </row>
    <row r="255" spans="6:8" ht="15.6" x14ac:dyDescent="0.3">
      <c r="F255" s="19">
        <v>250</v>
      </c>
      <c r="G255" s="22">
        <v>45681</v>
      </c>
      <c r="H255" s="19">
        <f t="shared" si="4"/>
        <v>5.75</v>
      </c>
    </row>
    <row r="256" spans="6:8" ht="15.6" x14ac:dyDescent="0.3">
      <c r="F256" s="19">
        <v>251</v>
      </c>
      <c r="G256" s="22">
        <v>45680</v>
      </c>
      <c r="H256" s="19">
        <f t="shared" si="4"/>
        <v>5.75</v>
      </c>
    </row>
    <row r="257" spans="6:8" ht="15.6" x14ac:dyDescent="0.3">
      <c r="F257" s="19">
        <v>252</v>
      </c>
      <c r="G257" s="22">
        <v>45679</v>
      </c>
      <c r="H257" s="19">
        <f t="shared" si="4"/>
        <v>5.75</v>
      </c>
    </row>
    <row r="258" spans="6:8" ht="15.6" x14ac:dyDescent="0.3">
      <c r="F258" s="19">
        <v>253</v>
      </c>
      <c r="G258" s="22">
        <v>45678</v>
      </c>
      <c r="H258" s="19">
        <f t="shared" si="4"/>
        <v>5.75</v>
      </c>
    </row>
    <row r="259" spans="6:8" ht="15.6" x14ac:dyDescent="0.3">
      <c r="F259" s="19">
        <v>254</v>
      </c>
      <c r="G259" s="22">
        <v>45677</v>
      </c>
      <c r="H259" s="19">
        <f t="shared" si="4"/>
        <v>5.75</v>
      </c>
    </row>
    <row r="260" spans="6:8" ht="15.6" x14ac:dyDescent="0.3">
      <c r="F260" s="19">
        <v>255</v>
      </c>
      <c r="G260" s="22">
        <v>45676</v>
      </c>
      <c r="H260" s="19">
        <f t="shared" si="4"/>
        <v>5.75</v>
      </c>
    </row>
    <row r="261" spans="6:8" ht="15.6" x14ac:dyDescent="0.3">
      <c r="F261" s="19">
        <v>256</v>
      </c>
      <c r="G261" s="22">
        <v>45675</v>
      </c>
      <c r="H261" s="19">
        <f t="shared" si="4"/>
        <v>5.75</v>
      </c>
    </row>
    <row r="262" spans="6:8" ht="15.6" x14ac:dyDescent="0.3">
      <c r="F262" s="19">
        <v>257</v>
      </c>
      <c r="G262" s="22">
        <v>45674</v>
      </c>
      <c r="H262" s="19">
        <f t="shared" si="4"/>
        <v>5.75</v>
      </c>
    </row>
    <row r="263" spans="6:8" ht="15.6" x14ac:dyDescent="0.3">
      <c r="F263" s="19">
        <v>258</v>
      </c>
      <c r="G263" s="22">
        <v>45673</v>
      </c>
      <c r="H263" s="19">
        <f t="shared" ref="H263:H326" si="5">_xlfn.XLOOKUP(G263,$B$6:$B$39,$C$6:$C$39,,-1)</f>
        <v>5.75</v>
      </c>
    </row>
    <row r="264" spans="6:8" ht="15.6" x14ac:dyDescent="0.3">
      <c r="F264" s="19">
        <v>259</v>
      </c>
      <c r="G264" s="22">
        <v>45672</v>
      </c>
      <c r="H264" s="19">
        <f t="shared" si="5"/>
        <v>5.75</v>
      </c>
    </row>
    <row r="265" spans="6:8" ht="15.6" x14ac:dyDescent="0.3">
      <c r="F265" s="19">
        <v>260</v>
      </c>
      <c r="G265" s="22">
        <v>45671</v>
      </c>
      <c r="H265" s="19">
        <f t="shared" si="5"/>
        <v>6</v>
      </c>
    </row>
    <row r="266" spans="6:8" ht="15.6" x14ac:dyDescent="0.3">
      <c r="F266" s="19">
        <v>261</v>
      </c>
      <c r="G266" s="22">
        <v>45670</v>
      </c>
      <c r="H266" s="19">
        <f t="shared" si="5"/>
        <v>6</v>
      </c>
    </row>
    <row r="267" spans="6:8" ht="15.6" x14ac:dyDescent="0.3">
      <c r="F267" s="19">
        <v>262</v>
      </c>
      <c r="G267" s="22">
        <v>45669</v>
      </c>
      <c r="H267" s="19">
        <f t="shared" si="5"/>
        <v>6</v>
      </c>
    </row>
    <row r="268" spans="6:8" ht="15.6" x14ac:dyDescent="0.3">
      <c r="F268" s="19">
        <v>263</v>
      </c>
      <c r="G268" s="22">
        <v>45668</v>
      </c>
      <c r="H268" s="19">
        <f t="shared" si="5"/>
        <v>6</v>
      </c>
    </row>
    <row r="269" spans="6:8" ht="15.6" x14ac:dyDescent="0.3">
      <c r="F269" s="19">
        <v>264</v>
      </c>
      <c r="G269" s="22">
        <v>45667</v>
      </c>
      <c r="H269" s="19">
        <f t="shared" si="5"/>
        <v>6</v>
      </c>
    </row>
    <row r="270" spans="6:8" ht="15.6" x14ac:dyDescent="0.3">
      <c r="F270" s="19">
        <v>265</v>
      </c>
      <c r="G270" s="22">
        <v>45666</v>
      </c>
      <c r="H270" s="19">
        <f t="shared" si="5"/>
        <v>6</v>
      </c>
    </row>
    <row r="271" spans="6:8" ht="15.6" x14ac:dyDescent="0.3">
      <c r="F271" s="19">
        <v>266</v>
      </c>
      <c r="G271" s="22">
        <v>45665</v>
      </c>
      <c r="H271" s="19">
        <f t="shared" si="5"/>
        <v>6</v>
      </c>
    </row>
    <row r="272" spans="6:8" ht="15.6" x14ac:dyDescent="0.3">
      <c r="F272" s="19">
        <v>267</v>
      </c>
      <c r="G272" s="22">
        <v>45664</v>
      </c>
      <c r="H272" s="19">
        <f t="shared" si="5"/>
        <v>6</v>
      </c>
    </row>
    <row r="273" spans="6:8" ht="15.6" x14ac:dyDescent="0.3">
      <c r="F273" s="19">
        <v>268</v>
      </c>
      <c r="G273" s="22">
        <v>45663</v>
      </c>
      <c r="H273" s="19">
        <f t="shared" si="5"/>
        <v>6</v>
      </c>
    </row>
    <row r="274" spans="6:8" ht="15.6" x14ac:dyDescent="0.3">
      <c r="F274" s="19">
        <v>269</v>
      </c>
      <c r="G274" s="22">
        <v>45662</v>
      </c>
      <c r="H274" s="19">
        <f t="shared" si="5"/>
        <v>6</v>
      </c>
    </row>
    <row r="275" spans="6:8" ht="15.6" x14ac:dyDescent="0.3">
      <c r="F275" s="19">
        <v>270</v>
      </c>
      <c r="G275" s="22">
        <v>45661</v>
      </c>
      <c r="H275" s="19">
        <f t="shared" si="5"/>
        <v>6</v>
      </c>
    </row>
    <row r="276" spans="6:8" ht="15.6" x14ac:dyDescent="0.3">
      <c r="F276" s="19">
        <v>271</v>
      </c>
      <c r="G276" s="22">
        <v>45660</v>
      </c>
      <c r="H276" s="19">
        <f t="shared" si="5"/>
        <v>6</v>
      </c>
    </row>
    <row r="277" spans="6:8" ht="15.6" x14ac:dyDescent="0.3">
      <c r="F277" s="19">
        <v>272</v>
      </c>
      <c r="G277" s="22">
        <v>45659</v>
      </c>
      <c r="H277" s="19">
        <f t="shared" si="5"/>
        <v>6</v>
      </c>
    </row>
    <row r="278" spans="6:8" ht="15.6" x14ac:dyDescent="0.3">
      <c r="F278" s="19">
        <v>273</v>
      </c>
      <c r="G278" s="22">
        <v>45658</v>
      </c>
      <c r="H278" s="19">
        <f t="shared" si="5"/>
        <v>6</v>
      </c>
    </row>
    <row r="279" spans="6:8" ht="15.6" x14ac:dyDescent="0.3">
      <c r="F279" s="19">
        <v>274</v>
      </c>
      <c r="G279" s="22">
        <v>45657</v>
      </c>
      <c r="H279" s="19">
        <f t="shared" si="5"/>
        <v>6</v>
      </c>
    </row>
    <row r="280" spans="6:8" ht="15.6" x14ac:dyDescent="0.3">
      <c r="F280" s="19">
        <v>275</v>
      </c>
      <c r="G280" s="22">
        <v>45656</v>
      </c>
      <c r="H280" s="19">
        <f t="shared" si="5"/>
        <v>6</v>
      </c>
    </row>
    <row r="281" spans="6:8" ht="15.6" x14ac:dyDescent="0.3">
      <c r="F281" s="19">
        <v>276</v>
      </c>
      <c r="G281" s="22">
        <v>45655</v>
      </c>
      <c r="H281" s="19">
        <f t="shared" si="5"/>
        <v>6</v>
      </c>
    </row>
    <row r="282" spans="6:8" ht="15.6" x14ac:dyDescent="0.3">
      <c r="F282" s="19">
        <v>277</v>
      </c>
      <c r="G282" s="22">
        <v>45654</v>
      </c>
      <c r="H282" s="19">
        <f t="shared" si="5"/>
        <v>6</v>
      </c>
    </row>
    <row r="283" spans="6:8" ht="15.6" x14ac:dyDescent="0.3">
      <c r="F283" s="19">
        <v>278</v>
      </c>
      <c r="G283" s="22">
        <v>45653</v>
      </c>
      <c r="H283" s="19">
        <f t="shared" si="5"/>
        <v>6</v>
      </c>
    </row>
    <row r="284" spans="6:8" ht="15.6" x14ac:dyDescent="0.3">
      <c r="F284" s="19">
        <v>279</v>
      </c>
      <c r="G284" s="22">
        <v>45652</v>
      </c>
      <c r="H284" s="19">
        <f t="shared" si="5"/>
        <v>6</v>
      </c>
    </row>
    <row r="285" spans="6:8" ht="15.6" x14ac:dyDescent="0.3">
      <c r="F285" s="19">
        <v>280</v>
      </c>
      <c r="G285" s="22">
        <v>45651</v>
      </c>
      <c r="H285" s="19">
        <f t="shared" si="5"/>
        <v>6</v>
      </c>
    </row>
    <row r="286" spans="6:8" ht="15.6" x14ac:dyDescent="0.3">
      <c r="F286" s="19">
        <v>281</v>
      </c>
      <c r="G286" s="22">
        <v>45650</v>
      </c>
      <c r="H286" s="19">
        <f t="shared" si="5"/>
        <v>6</v>
      </c>
    </row>
    <row r="287" spans="6:8" ht="15.6" x14ac:dyDescent="0.3">
      <c r="F287" s="19">
        <v>282</v>
      </c>
      <c r="G287" s="22">
        <v>45649</v>
      </c>
      <c r="H287" s="19">
        <f t="shared" si="5"/>
        <v>6</v>
      </c>
    </row>
    <row r="288" spans="6:8" ht="15.6" x14ac:dyDescent="0.3">
      <c r="F288" s="19">
        <v>283</v>
      </c>
      <c r="G288" s="22">
        <v>45648</v>
      </c>
      <c r="H288" s="19">
        <f t="shared" si="5"/>
        <v>6</v>
      </c>
    </row>
    <row r="289" spans="6:8" ht="15.6" x14ac:dyDescent="0.3">
      <c r="F289" s="19">
        <v>284</v>
      </c>
      <c r="G289" s="22">
        <v>45647</v>
      </c>
      <c r="H289" s="19">
        <f t="shared" si="5"/>
        <v>6</v>
      </c>
    </row>
    <row r="290" spans="6:8" ht="15.6" x14ac:dyDescent="0.3">
      <c r="F290" s="19">
        <v>285</v>
      </c>
      <c r="G290" s="22">
        <v>45646</v>
      </c>
      <c r="H290" s="19">
        <f t="shared" si="5"/>
        <v>6</v>
      </c>
    </row>
    <row r="291" spans="6:8" ht="15.6" x14ac:dyDescent="0.3">
      <c r="F291" s="19">
        <v>286</v>
      </c>
      <c r="G291" s="22">
        <v>45645</v>
      </c>
      <c r="H291" s="19">
        <f t="shared" si="5"/>
        <v>6</v>
      </c>
    </row>
    <row r="292" spans="6:8" ht="15.6" x14ac:dyDescent="0.3">
      <c r="F292" s="19">
        <v>287</v>
      </c>
      <c r="G292" s="22">
        <v>45644</v>
      </c>
      <c r="H292" s="19">
        <f t="shared" si="5"/>
        <v>6</v>
      </c>
    </row>
    <row r="293" spans="6:8" ht="15.6" x14ac:dyDescent="0.3">
      <c r="F293" s="19">
        <v>288</v>
      </c>
      <c r="G293" s="22">
        <v>45643</v>
      </c>
      <c r="H293" s="19">
        <f t="shared" si="5"/>
        <v>6</v>
      </c>
    </row>
    <row r="294" spans="6:8" ht="15.6" x14ac:dyDescent="0.3">
      <c r="F294" s="19">
        <v>289</v>
      </c>
      <c r="G294" s="22">
        <v>45642</v>
      </c>
      <c r="H294" s="19">
        <f t="shared" si="5"/>
        <v>6</v>
      </c>
    </row>
    <row r="295" spans="6:8" ht="15.6" x14ac:dyDescent="0.3">
      <c r="F295" s="19">
        <v>290</v>
      </c>
      <c r="G295" s="22">
        <v>45641</v>
      </c>
      <c r="H295" s="19">
        <f t="shared" si="5"/>
        <v>6</v>
      </c>
    </row>
    <row r="296" spans="6:8" ht="15.6" x14ac:dyDescent="0.3">
      <c r="F296" s="19">
        <v>291</v>
      </c>
      <c r="G296" s="22">
        <v>45640</v>
      </c>
      <c r="H296" s="19">
        <f t="shared" si="5"/>
        <v>6</v>
      </c>
    </row>
    <row r="297" spans="6:8" ht="15.6" x14ac:dyDescent="0.3">
      <c r="F297" s="19">
        <v>292</v>
      </c>
      <c r="G297" s="22">
        <v>45639</v>
      </c>
      <c r="H297" s="19">
        <f t="shared" si="5"/>
        <v>6</v>
      </c>
    </row>
    <row r="298" spans="6:8" ht="15.6" x14ac:dyDescent="0.3">
      <c r="F298" s="19">
        <v>293</v>
      </c>
      <c r="G298" s="22">
        <v>45638</v>
      </c>
      <c r="H298" s="19">
        <f t="shared" si="5"/>
        <v>6</v>
      </c>
    </row>
    <row r="299" spans="6:8" ht="15.6" x14ac:dyDescent="0.3">
      <c r="F299" s="19">
        <v>294</v>
      </c>
      <c r="G299" s="22">
        <v>45637</v>
      </c>
      <c r="H299" s="19">
        <f t="shared" si="5"/>
        <v>6</v>
      </c>
    </row>
    <row r="300" spans="6:8" ht="15.6" x14ac:dyDescent="0.3">
      <c r="F300" s="19">
        <v>295</v>
      </c>
      <c r="G300" s="22">
        <v>45636</v>
      </c>
      <c r="H300" s="19">
        <f t="shared" si="5"/>
        <v>6</v>
      </c>
    </row>
    <row r="301" spans="6:8" ht="15.6" x14ac:dyDescent="0.3">
      <c r="F301" s="19">
        <v>296</v>
      </c>
      <c r="G301" s="22">
        <v>45635</v>
      </c>
      <c r="H301" s="19">
        <f t="shared" si="5"/>
        <v>6</v>
      </c>
    </row>
    <row r="302" spans="6:8" ht="15.6" x14ac:dyDescent="0.3">
      <c r="F302" s="19">
        <v>297</v>
      </c>
      <c r="G302" s="22">
        <v>45634</v>
      </c>
      <c r="H302" s="19">
        <f t="shared" si="5"/>
        <v>6</v>
      </c>
    </row>
    <row r="303" spans="6:8" ht="15.6" x14ac:dyDescent="0.3">
      <c r="F303" s="19">
        <v>298</v>
      </c>
      <c r="G303" s="22">
        <v>45633</v>
      </c>
      <c r="H303" s="19">
        <f t="shared" si="5"/>
        <v>6</v>
      </c>
    </row>
    <row r="304" spans="6:8" ht="15.6" x14ac:dyDescent="0.3">
      <c r="F304" s="19">
        <v>299</v>
      </c>
      <c r="G304" s="22">
        <v>45632</v>
      </c>
      <c r="H304" s="19">
        <f t="shared" si="5"/>
        <v>6</v>
      </c>
    </row>
    <row r="305" spans="6:8" ht="15.6" x14ac:dyDescent="0.3">
      <c r="F305" s="19">
        <v>300</v>
      </c>
      <c r="G305" s="22">
        <v>45631</v>
      </c>
      <c r="H305" s="19">
        <f t="shared" si="5"/>
        <v>6</v>
      </c>
    </row>
    <row r="306" spans="6:8" ht="15.6" x14ac:dyDescent="0.3">
      <c r="F306" s="19">
        <v>301</v>
      </c>
      <c r="G306" s="22">
        <v>45630</v>
      </c>
      <c r="H306" s="19">
        <f t="shared" si="5"/>
        <v>6</v>
      </c>
    </row>
    <row r="307" spans="6:8" ht="15.6" x14ac:dyDescent="0.3">
      <c r="F307" s="19">
        <v>302</v>
      </c>
      <c r="G307" s="22">
        <v>45629</v>
      </c>
      <c r="H307" s="19">
        <f t="shared" si="5"/>
        <v>6</v>
      </c>
    </row>
    <row r="308" spans="6:8" ht="15.6" x14ac:dyDescent="0.3">
      <c r="F308" s="19">
        <v>303</v>
      </c>
      <c r="G308" s="22">
        <v>45628</v>
      </c>
      <c r="H308" s="19">
        <f t="shared" si="5"/>
        <v>6</v>
      </c>
    </row>
    <row r="309" spans="6:8" ht="15.6" x14ac:dyDescent="0.3">
      <c r="F309" s="19">
        <v>304</v>
      </c>
      <c r="G309" s="22">
        <v>45627</v>
      </c>
      <c r="H309" s="19">
        <f t="shared" si="5"/>
        <v>6</v>
      </c>
    </row>
    <row r="310" spans="6:8" ht="15.6" x14ac:dyDescent="0.3">
      <c r="F310" s="19">
        <v>305</v>
      </c>
      <c r="G310" s="22">
        <v>45626</v>
      </c>
      <c r="H310" s="19">
        <f t="shared" si="5"/>
        <v>6</v>
      </c>
    </row>
    <row r="311" spans="6:8" ht="15.6" x14ac:dyDescent="0.3">
      <c r="F311" s="19">
        <v>306</v>
      </c>
      <c r="G311" s="22">
        <v>45625</v>
      </c>
      <c r="H311" s="19">
        <f t="shared" si="5"/>
        <v>6</v>
      </c>
    </row>
    <row r="312" spans="6:8" ht="15.6" x14ac:dyDescent="0.3">
      <c r="F312" s="19">
        <v>307</v>
      </c>
      <c r="G312" s="22">
        <v>45624</v>
      </c>
      <c r="H312" s="19">
        <f t="shared" si="5"/>
        <v>6</v>
      </c>
    </row>
    <row r="313" spans="6:8" ht="15.6" x14ac:dyDescent="0.3">
      <c r="F313" s="19">
        <v>308</v>
      </c>
      <c r="G313" s="22">
        <v>45623</v>
      </c>
      <c r="H313" s="19">
        <f t="shared" si="5"/>
        <v>6</v>
      </c>
    </row>
    <row r="314" spans="6:8" ht="15.6" x14ac:dyDescent="0.3">
      <c r="F314" s="19">
        <v>309</v>
      </c>
      <c r="G314" s="22">
        <v>45622</v>
      </c>
      <c r="H314" s="19">
        <f t="shared" si="5"/>
        <v>6</v>
      </c>
    </row>
    <row r="315" spans="6:8" ht="15.6" x14ac:dyDescent="0.3">
      <c r="F315" s="19">
        <v>310</v>
      </c>
      <c r="G315" s="22">
        <v>45621</v>
      </c>
      <c r="H315" s="19">
        <f t="shared" si="5"/>
        <v>6</v>
      </c>
    </row>
    <row r="316" spans="6:8" ht="15.6" x14ac:dyDescent="0.3">
      <c r="F316" s="19">
        <v>311</v>
      </c>
      <c r="G316" s="22">
        <v>45620</v>
      </c>
      <c r="H316" s="19">
        <f t="shared" si="5"/>
        <v>6</v>
      </c>
    </row>
    <row r="317" spans="6:8" ht="15.6" x14ac:dyDescent="0.3">
      <c r="F317" s="19">
        <v>312</v>
      </c>
      <c r="G317" s="22">
        <v>45619</v>
      </c>
      <c r="H317" s="19">
        <f t="shared" si="5"/>
        <v>6</v>
      </c>
    </row>
    <row r="318" spans="6:8" ht="15.6" x14ac:dyDescent="0.3">
      <c r="F318" s="19">
        <v>313</v>
      </c>
      <c r="G318" s="22">
        <v>45618</v>
      </c>
      <c r="H318" s="19">
        <f t="shared" si="5"/>
        <v>6</v>
      </c>
    </row>
    <row r="319" spans="6:8" ht="15.6" x14ac:dyDescent="0.3">
      <c r="F319" s="19">
        <v>314</v>
      </c>
      <c r="G319" s="22">
        <v>45617</v>
      </c>
      <c r="H319" s="19">
        <f t="shared" si="5"/>
        <v>6</v>
      </c>
    </row>
    <row r="320" spans="6:8" ht="15.6" x14ac:dyDescent="0.3">
      <c r="F320" s="19">
        <v>315</v>
      </c>
      <c r="G320" s="22">
        <v>45616</v>
      </c>
      <c r="H320" s="19">
        <f t="shared" si="5"/>
        <v>6</v>
      </c>
    </row>
    <row r="321" spans="6:8" ht="15.6" x14ac:dyDescent="0.3">
      <c r="F321" s="19">
        <v>316</v>
      </c>
      <c r="G321" s="22">
        <v>45615</v>
      </c>
      <c r="H321" s="19">
        <f t="shared" si="5"/>
        <v>6</v>
      </c>
    </row>
    <row r="322" spans="6:8" ht="15.6" x14ac:dyDescent="0.3">
      <c r="F322" s="19">
        <v>317</v>
      </c>
      <c r="G322" s="22">
        <v>45614</v>
      </c>
      <c r="H322" s="19">
        <f t="shared" si="5"/>
        <v>6</v>
      </c>
    </row>
    <row r="323" spans="6:8" ht="15.6" x14ac:dyDescent="0.3">
      <c r="F323" s="19">
        <v>318</v>
      </c>
      <c r="G323" s="22">
        <v>45613</v>
      </c>
      <c r="H323" s="19">
        <f t="shared" si="5"/>
        <v>6</v>
      </c>
    </row>
    <row r="324" spans="6:8" ht="15.6" x14ac:dyDescent="0.3">
      <c r="F324" s="19">
        <v>319</v>
      </c>
      <c r="G324" s="22">
        <v>45612</v>
      </c>
      <c r="H324" s="19">
        <f t="shared" si="5"/>
        <v>6</v>
      </c>
    </row>
    <row r="325" spans="6:8" ht="15.6" x14ac:dyDescent="0.3">
      <c r="F325" s="19">
        <v>320</v>
      </c>
      <c r="G325" s="22">
        <v>45611</v>
      </c>
      <c r="H325" s="19">
        <f t="shared" si="5"/>
        <v>6</v>
      </c>
    </row>
    <row r="326" spans="6:8" ht="15.6" x14ac:dyDescent="0.3">
      <c r="F326" s="19">
        <v>321</v>
      </c>
      <c r="G326" s="22">
        <v>45610</v>
      </c>
      <c r="H326" s="19">
        <f t="shared" si="5"/>
        <v>6</v>
      </c>
    </row>
    <row r="327" spans="6:8" ht="15.6" x14ac:dyDescent="0.3">
      <c r="F327" s="19">
        <v>322</v>
      </c>
      <c r="G327" s="22">
        <v>45609</v>
      </c>
      <c r="H327" s="19">
        <f t="shared" ref="H327:H390" si="6">_xlfn.XLOOKUP(G327,$B$6:$B$39,$C$6:$C$39,,-1)</f>
        <v>6</v>
      </c>
    </row>
    <row r="328" spans="6:8" ht="15.6" x14ac:dyDescent="0.3">
      <c r="F328" s="19">
        <v>323</v>
      </c>
      <c r="G328" s="22">
        <v>45608</v>
      </c>
      <c r="H328" s="19">
        <f t="shared" si="6"/>
        <v>6</v>
      </c>
    </row>
    <row r="329" spans="6:8" ht="15.6" x14ac:dyDescent="0.3">
      <c r="F329" s="19">
        <v>324</v>
      </c>
      <c r="G329" s="22">
        <v>45607</v>
      </c>
      <c r="H329" s="19">
        <f t="shared" si="6"/>
        <v>6</v>
      </c>
    </row>
    <row r="330" spans="6:8" ht="15.6" x14ac:dyDescent="0.3">
      <c r="F330" s="19">
        <v>325</v>
      </c>
      <c r="G330" s="22">
        <v>45606</v>
      </c>
      <c r="H330" s="19">
        <f t="shared" si="6"/>
        <v>6</v>
      </c>
    </row>
    <row r="331" spans="6:8" ht="15.6" x14ac:dyDescent="0.3">
      <c r="F331" s="19">
        <v>326</v>
      </c>
      <c r="G331" s="22">
        <v>45605</v>
      </c>
      <c r="H331" s="19">
        <f t="shared" si="6"/>
        <v>6</v>
      </c>
    </row>
    <row r="332" spans="6:8" ht="15.6" x14ac:dyDescent="0.3">
      <c r="F332" s="19">
        <v>327</v>
      </c>
      <c r="G332" s="22">
        <v>45604</v>
      </c>
      <c r="H332" s="19">
        <f t="shared" si="6"/>
        <v>6</v>
      </c>
    </row>
    <row r="333" spans="6:8" ht="15.6" x14ac:dyDescent="0.3">
      <c r="F333" s="19">
        <v>328</v>
      </c>
      <c r="G333" s="22">
        <v>45603</v>
      </c>
      <c r="H333" s="19">
        <f t="shared" si="6"/>
        <v>6</v>
      </c>
    </row>
    <row r="334" spans="6:8" ht="15.6" x14ac:dyDescent="0.3">
      <c r="F334" s="19">
        <v>329</v>
      </c>
      <c r="G334" s="22">
        <v>45602</v>
      </c>
      <c r="H334" s="19">
        <f t="shared" si="6"/>
        <v>6</v>
      </c>
    </row>
    <row r="335" spans="6:8" ht="15.6" x14ac:dyDescent="0.3">
      <c r="F335" s="19">
        <v>330</v>
      </c>
      <c r="G335" s="22">
        <v>45601</v>
      </c>
      <c r="H335" s="19">
        <f t="shared" si="6"/>
        <v>6</v>
      </c>
    </row>
    <row r="336" spans="6:8" ht="15.6" x14ac:dyDescent="0.3">
      <c r="F336" s="19">
        <v>331</v>
      </c>
      <c r="G336" s="22">
        <v>45600</v>
      </c>
      <c r="H336" s="19">
        <f t="shared" si="6"/>
        <v>6</v>
      </c>
    </row>
    <row r="337" spans="6:8" ht="15.6" x14ac:dyDescent="0.3">
      <c r="F337" s="19">
        <v>332</v>
      </c>
      <c r="G337" s="22">
        <v>45599</v>
      </c>
      <c r="H337" s="19">
        <f t="shared" si="6"/>
        <v>6</v>
      </c>
    </row>
    <row r="338" spans="6:8" ht="15.6" x14ac:dyDescent="0.3">
      <c r="F338" s="19">
        <v>333</v>
      </c>
      <c r="G338" s="22">
        <v>45598</v>
      </c>
      <c r="H338" s="19">
        <f t="shared" si="6"/>
        <v>6</v>
      </c>
    </row>
    <row r="339" spans="6:8" ht="15.6" x14ac:dyDescent="0.3">
      <c r="F339" s="19">
        <v>334</v>
      </c>
      <c r="G339" s="22">
        <v>45597</v>
      </c>
      <c r="H339" s="19">
        <f t="shared" si="6"/>
        <v>6</v>
      </c>
    </row>
    <row r="340" spans="6:8" ht="15.6" x14ac:dyDescent="0.3">
      <c r="F340" s="19">
        <v>335</v>
      </c>
      <c r="G340" s="22">
        <v>45596</v>
      </c>
      <c r="H340" s="19">
        <f t="shared" si="6"/>
        <v>6</v>
      </c>
    </row>
    <row r="341" spans="6:8" ht="15.6" x14ac:dyDescent="0.3">
      <c r="F341" s="19">
        <v>336</v>
      </c>
      <c r="G341" s="22">
        <v>45595</v>
      </c>
      <c r="H341" s="19">
        <f t="shared" si="6"/>
        <v>6</v>
      </c>
    </row>
    <row r="342" spans="6:8" ht="15.6" x14ac:dyDescent="0.3">
      <c r="F342" s="19">
        <v>337</v>
      </c>
      <c r="G342" s="22">
        <v>45594</v>
      </c>
      <c r="H342" s="19">
        <f t="shared" si="6"/>
        <v>6</v>
      </c>
    </row>
    <row r="343" spans="6:8" ht="15.6" x14ac:dyDescent="0.3">
      <c r="F343" s="19">
        <v>338</v>
      </c>
      <c r="G343" s="22">
        <v>45593</v>
      </c>
      <c r="H343" s="19">
        <f t="shared" si="6"/>
        <v>6</v>
      </c>
    </row>
    <row r="344" spans="6:8" ht="15.6" x14ac:dyDescent="0.3">
      <c r="F344" s="19">
        <v>339</v>
      </c>
      <c r="G344" s="22">
        <v>45592</v>
      </c>
      <c r="H344" s="19">
        <f t="shared" si="6"/>
        <v>6</v>
      </c>
    </row>
    <row r="345" spans="6:8" ht="15.6" x14ac:dyDescent="0.3">
      <c r="F345" s="19">
        <v>340</v>
      </c>
      <c r="G345" s="22">
        <v>45591</v>
      </c>
      <c r="H345" s="19">
        <f t="shared" si="6"/>
        <v>6</v>
      </c>
    </row>
    <row r="346" spans="6:8" ht="15.6" x14ac:dyDescent="0.3">
      <c r="F346" s="19">
        <v>341</v>
      </c>
      <c r="G346" s="22">
        <v>45590</v>
      </c>
      <c r="H346" s="19">
        <f t="shared" si="6"/>
        <v>6</v>
      </c>
    </row>
    <row r="347" spans="6:8" ht="15.6" x14ac:dyDescent="0.3">
      <c r="F347" s="19">
        <v>342</v>
      </c>
      <c r="G347" s="22">
        <v>45589</v>
      </c>
      <c r="H347" s="19">
        <f t="shared" si="6"/>
        <v>6</v>
      </c>
    </row>
    <row r="348" spans="6:8" ht="15.6" x14ac:dyDescent="0.3">
      <c r="F348" s="19">
        <v>343</v>
      </c>
      <c r="G348" s="22">
        <v>45588</v>
      </c>
      <c r="H348" s="19">
        <f t="shared" si="6"/>
        <v>6</v>
      </c>
    </row>
    <row r="349" spans="6:8" ht="15.6" x14ac:dyDescent="0.3">
      <c r="F349" s="19">
        <v>344</v>
      </c>
      <c r="G349" s="22">
        <v>45587</v>
      </c>
      <c r="H349" s="19">
        <f t="shared" si="6"/>
        <v>6</v>
      </c>
    </row>
    <row r="350" spans="6:8" ht="15.6" x14ac:dyDescent="0.3">
      <c r="F350" s="19">
        <v>345</v>
      </c>
      <c r="G350" s="22">
        <v>45586</v>
      </c>
      <c r="H350" s="19">
        <f t="shared" si="6"/>
        <v>6</v>
      </c>
    </row>
    <row r="351" spans="6:8" ht="15.6" x14ac:dyDescent="0.3">
      <c r="F351" s="19">
        <v>346</v>
      </c>
      <c r="G351" s="22">
        <v>45585</v>
      </c>
      <c r="H351" s="19">
        <f t="shared" si="6"/>
        <v>6</v>
      </c>
    </row>
    <row r="352" spans="6:8" ht="15.6" x14ac:dyDescent="0.3">
      <c r="F352" s="19">
        <v>347</v>
      </c>
      <c r="G352" s="22">
        <v>45584</v>
      </c>
      <c r="H352" s="19">
        <f t="shared" si="6"/>
        <v>6</v>
      </c>
    </row>
    <row r="353" spans="6:8" ht="15.6" x14ac:dyDescent="0.3">
      <c r="F353" s="19">
        <v>348</v>
      </c>
      <c r="G353" s="22">
        <v>45583</v>
      </c>
      <c r="H353" s="19">
        <f t="shared" si="6"/>
        <v>6</v>
      </c>
    </row>
    <row r="354" spans="6:8" ht="15.6" x14ac:dyDescent="0.3">
      <c r="F354" s="19">
        <v>349</v>
      </c>
      <c r="G354" s="22">
        <v>45582</v>
      </c>
      <c r="H354" s="19">
        <f t="shared" si="6"/>
        <v>6</v>
      </c>
    </row>
    <row r="355" spans="6:8" ht="15.6" x14ac:dyDescent="0.3">
      <c r="F355" s="19">
        <v>350</v>
      </c>
      <c r="G355" s="22">
        <v>45581</v>
      </c>
      <c r="H355" s="19">
        <f t="shared" si="6"/>
        <v>6</v>
      </c>
    </row>
    <row r="356" spans="6:8" ht="15.6" x14ac:dyDescent="0.3">
      <c r="F356" s="19">
        <v>351</v>
      </c>
      <c r="G356" s="22">
        <v>45580</v>
      </c>
      <c r="H356" s="19">
        <f t="shared" si="6"/>
        <v>6</v>
      </c>
    </row>
    <row r="357" spans="6:8" ht="15.6" x14ac:dyDescent="0.3">
      <c r="F357" s="19">
        <v>352</v>
      </c>
      <c r="G357" s="22">
        <v>45579</v>
      </c>
      <c r="H357" s="19">
        <f t="shared" si="6"/>
        <v>6</v>
      </c>
    </row>
    <row r="358" spans="6:8" ht="15.6" x14ac:dyDescent="0.3">
      <c r="F358" s="19">
        <v>353</v>
      </c>
      <c r="G358" s="22">
        <v>45578</v>
      </c>
      <c r="H358" s="19">
        <f t="shared" si="6"/>
        <v>6</v>
      </c>
    </row>
    <row r="359" spans="6:8" ht="15.6" x14ac:dyDescent="0.3">
      <c r="F359" s="19">
        <v>354</v>
      </c>
      <c r="G359" s="22">
        <v>45577</v>
      </c>
      <c r="H359" s="19">
        <f t="shared" si="6"/>
        <v>6</v>
      </c>
    </row>
    <row r="360" spans="6:8" ht="15.6" x14ac:dyDescent="0.3">
      <c r="F360" s="19">
        <v>355</v>
      </c>
      <c r="G360" s="22">
        <v>45576</v>
      </c>
      <c r="H360" s="19">
        <f t="shared" si="6"/>
        <v>6</v>
      </c>
    </row>
    <row r="361" spans="6:8" ht="15.6" x14ac:dyDescent="0.3">
      <c r="F361" s="19">
        <v>356</v>
      </c>
      <c r="G361" s="22">
        <v>45575</v>
      </c>
      <c r="H361" s="19">
        <f t="shared" si="6"/>
        <v>6</v>
      </c>
    </row>
    <row r="362" spans="6:8" ht="15.6" x14ac:dyDescent="0.3">
      <c r="F362" s="19">
        <v>357</v>
      </c>
      <c r="G362" s="22">
        <v>45574</v>
      </c>
      <c r="H362" s="19">
        <f t="shared" si="6"/>
        <v>6</v>
      </c>
    </row>
    <row r="363" spans="6:8" ht="15.6" x14ac:dyDescent="0.3">
      <c r="F363" s="19">
        <v>358</v>
      </c>
      <c r="G363" s="22">
        <v>45573</v>
      </c>
      <c r="H363" s="19">
        <f t="shared" si="6"/>
        <v>6</v>
      </c>
    </row>
    <row r="364" spans="6:8" ht="15.6" x14ac:dyDescent="0.3">
      <c r="F364" s="19">
        <v>359</v>
      </c>
      <c r="G364" s="22">
        <v>45572</v>
      </c>
      <c r="H364" s="19">
        <f t="shared" si="6"/>
        <v>6</v>
      </c>
    </row>
    <row r="365" spans="6:8" ht="15.6" x14ac:dyDescent="0.3">
      <c r="F365" s="19">
        <v>360</v>
      </c>
      <c r="G365" s="22">
        <v>45571</v>
      </c>
      <c r="H365" s="19">
        <f t="shared" si="6"/>
        <v>6</v>
      </c>
    </row>
    <row r="366" spans="6:8" ht="15.6" x14ac:dyDescent="0.3">
      <c r="F366" s="19">
        <v>361</v>
      </c>
      <c r="G366" s="22">
        <v>45570</v>
      </c>
      <c r="H366" s="19">
        <f t="shared" si="6"/>
        <v>6</v>
      </c>
    </row>
    <row r="367" spans="6:8" ht="15.6" x14ac:dyDescent="0.3">
      <c r="F367" s="19">
        <v>362</v>
      </c>
      <c r="G367" s="22">
        <v>45569</v>
      </c>
      <c r="H367" s="19">
        <f t="shared" si="6"/>
        <v>6</v>
      </c>
    </row>
    <row r="368" spans="6:8" ht="15.6" x14ac:dyDescent="0.3">
      <c r="F368" s="19">
        <v>363</v>
      </c>
      <c r="G368" s="22">
        <v>45568</v>
      </c>
      <c r="H368" s="19">
        <f t="shared" si="6"/>
        <v>6</v>
      </c>
    </row>
    <row r="369" spans="6:8" ht="15.6" x14ac:dyDescent="0.3">
      <c r="F369" s="19">
        <v>364</v>
      </c>
      <c r="G369" s="22">
        <v>45567</v>
      </c>
      <c r="H369" s="19">
        <f t="shared" si="6"/>
        <v>6</v>
      </c>
    </row>
    <row r="370" spans="6:8" ht="15.6" x14ac:dyDescent="0.3">
      <c r="F370" s="19">
        <v>365</v>
      </c>
      <c r="G370" s="22">
        <v>45566</v>
      </c>
      <c r="H370" s="19">
        <f t="shared" si="6"/>
        <v>6</v>
      </c>
    </row>
    <row r="371" spans="6:8" ht="15.6" x14ac:dyDescent="0.3">
      <c r="F371" s="19">
        <v>366</v>
      </c>
      <c r="G371" s="22">
        <v>45565</v>
      </c>
      <c r="H371" s="19">
        <f t="shared" si="6"/>
        <v>6</v>
      </c>
    </row>
    <row r="372" spans="6:8" ht="15.6" x14ac:dyDescent="0.3">
      <c r="F372" s="19">
        <v>367</v>
      </c>
      <c r="G372" s="22">
        <v>45564</v>
      </c>
      <c r="H372" s="19">
        <f t="shared" si="6"/>
        <v>6</v>
      </c>
    </row>
    <row r="373" spans="6:8" ht="15.6" x14ac:dyDescent="0.3">
      <c r="F373" s="19">
        <v>368</v>
      </c>
      <c r="G373" s="22">
        <v>45563</v>
      </c>
      <c r="H373" s="19">
        <f t="shared" si="6"/>
        <v>6</v>
      </c>
    </row>
    <row r="374" spans="6:8" ht="15.6" x14ac:dyDescent="0.3">
      <c r="F374" s="19">
        <v>369</v>
      </c>
      <c r="G374" s="22">
        <v>45562</v>
      </c>
      <c r="H374" s="19">
        <f t="shared" si="6"/>
        <v>6</v>
      </c>
    </row>
    <row r="375" spans="6:8" ht="15.6" x14ac:dyDescent="0.3">
      <c r="F375" s="19">
        <v>370</v>
      </c>
      <c r="G375" s="22">
        <v>45561</v>
      </c>
      <c r="H375" s="19">
        <f t="shared" si="6"/>
        <v>6</v>
      </c>
    </row>
    <row r="376" spans="6:8" ht="15.6" x14ac:dyDescent="0.3">
      <c r="F376" s="19">
        <v>371</v>
      </c>
      <c r="G376" s="22">
        <v>45560</v>
      </c>
      <c r="H376" s="19">
        <f t="shared" si="6"/>
        <v>6</v>
      </c>
    </row>
    <row r="377" spans="6:8" ht="15.6" x14ac:dyDescent="0.3">
      <c r="F377" s="19">
        <v>372</v>
      </c>
      <c r="G377" s="22">
        <v>45559</v>
      </c>
      <c r="H377" s="19">
        <f t="shared" si="6"/>
        <v>6</v>
      </c>
    </row>
    <row r="378" spans="6:8" ht="15.6" x14ac:dyDescent="0.3">
      <c r="F378" s="19">
        <v>373</v>
      </c>
      <c r="G378" s="22">
        <v>45558</v>
      </c>
      <c r="H378" s="19">
        <f t="shared" si="6"/>
        <v>6</v>
      </c>
    </row>
    <row r="379" spans="6:8" ht="15.6" x14ac:dyDescent="0.3">
      <c r="F379" s="19">
        <v>374</v>
      </c>
      <c r="G379" s="22">
        <v>45557</v>
      </c>
      <c r="H379" s="19">
        <f t="shared" si="6"/>
        <v>6</v>
      </c>
    </row>
    <row r="380" spans="6:8" ht="15.6" x14ac:dyDescent="0.3">
      <c r="F380" s="19">
        <v>375</v>
      </c>
      <c r="G380" s="22">
        <v>45556</v>
      </c>
      <c r="H380" s="19">
        <f t="shared" si="6"/>
        <v>6</v>
      </c>
    </row>
    <row r="381" spans="6:8" ht="15.6" x14ac:dyDescent="0.3">
      <c r="F381" s="19">
        <v>376</v>
      </c>
      <c r="G381" s="22">
        <v>45555</v>
      </c>
      <c r="H381" s="19">
        <f t="shared" si="6"/>
        <v>6</v>
      </c>
    </row>
    <row r="382" spans="6:8" ht="15.6" x14ac:dyDescent="0.3">
      <c r="F382" s="19">
        <v>377</v>
      </c>
      <c r="G382" s="22">
        <v>45554</v>
      </c>
      <c r="H382" s="19">
        <f t="shared" si="6"/>
        <v>6</v>
      </c>
    </row>
    <row r="383" spans="6:8" ht="15.6" x14ac:dyDescent="0.3">
      <c r="F383" s="19">
        <v>378</v>
      </c>
      <c r="G383" s="22">
        <v>45553</v>
      </c>
      <c r="H383" s="19">
        <f t="shared" si="6"/>
        <v>6</v>
      </c>
    </row>
    <row r="384" spans="6:8" ht="15.6" x14ac:dyDescent="0.3">
      <c r="F384" s="19">
        <v>379</v>
      </c>
      <c r="G384" s="22">
        <v>45552</v>
      </c>
      <c r="H384" s="19">
        <f t="shared" si="6"/>
        <v>6.25</v>
      </c>
    </row>
    <row r="385" spans="6:8" ht="15.6" x14ac:dyDescent="0.3">
      <c r="F385" s="19">
        <v>380</v>
      </c>
      <c r="G385" s="22">
        <v>45551</v>
      </c>
      <c r="H385" s="19">
        <f t="shared" si="6"/>
        <v>6.25</v>
      </c>
    </row>
    <row r="386" spans="6:8" ht="15.6" x14ac:dyDescent="0.3">
      <c r="F386" s="19">
        <v>381</v>
      </c>
      <c r="G386" s="22">
        <v>45550</v>
      </c>
      <c r="H386" s="19">
        <f t="shared" si="6"/>
        <v>6.25</v>
      </c>
    </row>
    <row r="387" spans="6:8" ht="15.6" x14ac:dyDescent="0.3">
      <c r="F387" s="19">
        <v>382</v>
      </c>
      <c r="G387" s="22">
        <v>45549</v>
      </c>
      <c r="H387" s="19">
        <f t="shared" si="6"/>
        <v>6.25</v>
      </c>
    </row>
    <row r="388" spans="6:8" ht="15.6" x14ac:dyDescent="0.3">
      <c r="F388" s="19">
        <v>383</v>
      </c>
      <c r="G388" s="22">
        <v>45548</v>
      </c>
      <c r="H388" s="19">
        <f t="shared" si="6"/>
        <v>6.25</v>
      </c>
    </row>
    <row r="389" spans="6:8" ht="15.6" x14ac:dyDescent="0.3">
      <c r="F389" s="19">
        <v>384</v>
      </c>
      <c r="G389" s="22">
        <v>45547</v>
      </c>
      <c r="H389" s="19">
        <f t="shared" si="6"/>
        <v>6.25</v>
      </c>
    </row>
    <row r="390" spans="6:8" ht="15.6" x14ac:dyDescent="0.3">
      <c r="F390" s="19">
        <v>385</v>
      </c>
      <c r="G390" s="22">
        <v>45546</v>
      </c>
      <c r="H390" s="19">
        <f t="shared" si="6"/>
        <v>6.25</v>
      </c>
    </row>
    <row r="391" spans="6:8" ht="15.6" x14ac:dyDescent="0.3">
      <c r="F391" s="19">
        <v>386</v>
      </c>
      <c r="G391" s="22">
        <v>45545</v>
      </c>
      <c r="H391" s="19">
        <f t="shared" ref="H391:H454" si="7">_xlfn.XLOOKUP(G391,$B$6:$B$39,$C$6:$C$39,,-1)</f>
        <v>6.25</v>
      </c>
    </row>
    <row r="392" spans="6:8" ht="15.6" x14ac:dyDescent="0.3">
      <c r="F392" s="19">
        <v>387</v>
      </c>
      <c r="G392" s="22">
        <v>45544</v>
      </c>
      <c r="H392" s="19">
        <f t="shared" si="7"/>
        <v>6.25</v>
      </c>
    </row>
    <row r="393" spans="6:8" ht="15.6" x14ac:dyDescent="0.3">
      <c r="F393" s="19">
        <v>388</v>
      </c>
      <c r="G393" s="22">
        <v>45543</v>
      </c>
      <c r="H393" s="19">
        <f t="shared" si="7"/>
        <v>6.25</v>
      </c>
    </row>
    <row r="394" spans="6:8" ht="15.6" x14ac:dyDescent="0.3">
      <c r="F394" s="19">
        <v>389</v>
      </c>
      <c r="G394" s="22">
        <v>45542</v>
      </c>
      <c r="H394" s="19">
        <f t="shared" si="7"/>
        <v>6.25</v>
      </c>
    </row>
    <row r="395" spans="6:8" ht="15.6" x14ac:dyDescent="0.3">
      <c r="F395" s="19">
        <v>390</v>
      </c>
      <c r="G395" s="22">
        <v>45541</v>
      </c>
      <c r="H395" s="19">
        <f t="shared" si="7"/>
        <v>6.25</v>
      </c>
    </row>
    <row r="396" spans="6:8" ht="15.6" x14ac:dyDescent="0.3">
      <c r="F396" s="19">
        <v>391</v>
      </c>
      <c r="G396" s="22">
        <v>45540</v>
      </c>
      <c r="H396" s="19">
        <f t="shared" si="7"/>
        <v>6.25</v>
      </c>
    </row>
    <row r="397" spans="6:8" ht="15.6" x14ac:dyDescent="0.3">
      <c r="F397" s="19">
        <v>392</v>
      </c>
      <c r="G397" s="22">
        <v>45539</v>
      </c>
      <c r="H397" s="19">
        <f t="shared" si="7"/>
        <v>6.25</v>
      </c>
    </row>
    <row r="398" spans="6:8" ht="15.6" x14ac:dyDescent="0.3">
      <c r="F398" s="19">
        <v>393</v>
      </c>
      <c r="G398" s="22">
        <v>45538</v>
      </c>
      <c r="H398" s="19">
        <f t="shared" si="7"/>
        <v>6.25</v>
      </c>
    </row>
    <row r="399" spans="6:8" ht="15.6" x14ac:dyDescent="0.3">
      <c r="F399" s="19">
        <v>394</v>
      </c>
      <c r="G399" s="22">
        <v>45537</v>
      </c>
      <c r="H399" s="19">
        <f t="shared" si="7"/>
        <v>6.25</v>
      </c>
    </row>
    <row r="400" spans="6:8" ht="15.6" x14ac:dyDescent="0.3">
      <c r="F400" s="19">
        <v>395</v>
      </c>
      <c r="G400" s="22">
        <v>45536</v>
      </c>
      <c r="H400" s="19">
        <f t="shared" si="7"/>
        <v>6.25</v>
      </c>
    </row>
    <row r="401" spans="6:8" ht="15.6" x14ac:dyDescent="0.3">
      <c r="F401" s="19">
        <v>396</v>
      </c>
      <c r="G401" s="22">
        <v>45535</v>
      </c>
      <c r="H401" s="19">
        <f t="shared" si="7"/>
        <v>6.25</v>
      </c>
    </row>
    <row r="402" spans="6:8" ht="15.6" x14ac:dyDescent="0.3">
      <c r="F402" s="19">
        <v>397</v>
      </c>
      <c r="G402" s="22">
        <v>45534</v>
      </c>
      <c r="H402" s="19">
        <f t="shared" si="7"/>
        <v>6.25</v>
      </c>
    </row>
    <row r="403" spans="6:8" ht="15.6" x14ac:dyDescent="0.3">
      <c r="F403" s="19">
        <v>398</v>
      </c>
      <c r="G403" s="22">
        <v>45533</v>
      </c>
      <c r="H403" s="19">
        <f t="shared" si="7"/>
        <v>6.25</v>
      </c>
    </row>
    <row r="404" spans="6:8" ht="15.6" x14ac:dyDescent="0.3">
      <c r="F404" s="19">
        <v>399</v>
      </c>
      <c r="G404" s="22">
        <v>45532</v>
      </c>
      <c r="H404" s="19">
        <f t="shared" si="7"/>
        <v>6.25</v>
      </c>
    </row>
    <row r="405" spans="6:8" ht="15.6" x14ac:dyDescent="0.3">
      <c r="F405" s="19">
        <v>400</v>
      </c>
      <c r="G405" s="22">
        <v>45531</v>
      </c>
      <c r="H405" s="19">
        <f t="shared" si="7"/>
        <v>6.25</v>
      </c>
    </row>
    <row r="406" spans="6:8" ht="15.6" x14ac:dyDescent="0.3">
      <c r="F406" s="19">
        <v>401</v>
      </c>
      <c r="G406" s="22">
        <v>45530</v>
      </c>
      <c r="H406" s="19">
        <f t="shared" si="7"/>
        <v>6.25</v>
      </c>
    </row>
    <row r="407" spans="6:8" ht="15.6" x14ac:dyDescent="0.3">
      <c r="F407" s="19">
        <v>402</v>
      </c>
      <c r="G407" s="22">
        <v>45529</v>
      </c>
      <c r="H407" s="19">
        <f t="shared" si="7"/>
        <v>6.25</v>
      </c>
    </row>
    <row r="408" spans="6:8" ht="15.6" x14ac:dyDescent="0.3">
      <c r="F408" s="19">
        <v>403</v>
      </c>
      <c r="G408" s="22">
        <v>45528</v>
      </c>
      <c r="H408" s="19">
        <f t="shared" si="7"/>
        <v>6.25</v>
      </c>
    </row>
    <row r="409" spans="6:8" ht="15.6" x14ac:dyDescent="0.3">
      <c r="F409" s="19">
        <v>404</v>
      </c>
      <c r="G409" s="22">
        <v>45527</v>
      </c>
      <c r="H409" s="19">
        <f t="shared" si="7"/>
        <v>6.25</v>
      </c>
    </row>
    <row r="410" spans="6:8" ht="15.6" x14ac:dyDescent="0.3">
      <c r="F410" s="19">
        <v>405</v>
      </c>
      <c r="G410" s="22">
        <v>45526</v>
      </c>
      <c r="H410" s="19">
        <f t="shared" si="7"/>
        <v>6.25</v>
      </c>
    </row>
    <row r="411" spans="6:8" ht="15.6" x14ac:dyDescent="0.3">
      <c r="F411" s="19">
        <v>406</v>
      </c>
      <c r="G411" s="22">
        <v>45525</v>
      </c>
      <c r="H411" s="19">
        <f t="shared" si="7"/>
        <v>6.25</v>
      </c>
    </row>
    <row r="412" spans="6:8" ht="15.6" x14ac:dyDescent="0.3">
      <c r="F412" s="19">
        <v>407</v>
      </c>
      <c r="G412" s="22">
        <v>45524</v>
      </c>
      <c r="H412" s="19">
        <f t="shared" si="7"/>
        <v>6.25</v>
      </c>
    </row>
    <row r="413" spans="6:8" ht="15.6" x14ac:dyDescent="0.3">
      <c r="F413" s="19">
        <v>408</v>
      </c>
      <c r="G413" s="22">
        <v>45523</v>
      </c>
      <c r="H413" s="19">
        <f t="shared" si="7"/>
        <v>6.25</v>
      </c>
    </row>
    <row r="414" spans="6:8" ht="15.6" x14ac:dyDescent="0.3">
      <c r="F414" s="19">
        <v>409</v>
      </c>
      <c r="G414" s="22">
        <v>45522</v>
      </c>
      <c r="H414" s="19">
        <f t="shared" si="7"/>
        <v>6.25</v>
      </c>
    </row>
    <row r="415" spans="6:8" ht="15.6" x14ac:dyDescent="0.3">
      <c r="F415" s="19">
        <v>410</v>
      </c>
      <c r="G415" s="22">
        <v>45521</v>
      </c>
      <c r="H415" s="19">
        <f t="shared" si="7"/>
        <v>6.25</v>
      </c>
    </row>
    <row r="416" spans="6:8" ht="15.6" x14ac:dyDescent="0.3">
      <c r="F416" s="19">
        <v>411</v>
      </c>
      <c r="G416" s="22">
        <v>45520</v>
      </c>
      <c r="H416" s="19">
        <f t="shared" si="7"/>
        <v>6.25</v>
      </c>
    </row>
    <row r="417" spans="6:8" ht="15.6" x14ac:dyDescent="0.3">
      <c r="F417" s="19">
        <v>412</v>
      </c>
      <c r="G417" s="22">
        <v>45519</v>
      </c>
      <c r="H417" s="19">
        <f t="shared" si="7"/>
        <v>6.25</v>
      </c>
    </row>
    <row r="418" spans="6:8" ht="15.6" x14ac:dyDescent="0.3">
      <c r="F418" s="19">
        <v>413</v>
      </c>
      <c r="G418" s="22">
        <v>45518</v>
      </c>
      <c r="H418" s="19">
        <f t="shared" si="7"/>
        <v>6.25</v>
      </c>
    </row>
    <row r="419" spans="6:8" ht="15.6" x14ac:dyDescent="0.3">
      <c r="F419" s="19">
        <v>414</v>
      </c>
      <c r="G419" s="22">
        <v>45517</v>
      </c>
      <c r="H419" s="19">
        <f t="shared" si="7"/>
        <v>6.25</v>
      </c>
    </row>
    <row r="420" spans="6:8" ht="15.6" x14ac:dyDescent="0.3">
      <c r="F420" s="19">
        <v>415</v>
      </c>
      <c r="G420" s="22">
        <v>45516</v>
      </c>
      <c r="H420" s="19">
        <f t="shared" si="7"/>
        <v>6.25</v>
      </c>
    </row>
    <row r="421" spans="6:8" ht="15.6" x14ac:dyDescent="0.3">
      <c r="F421" s="19">
        <v>416</v>
      </c>
      <c r="G421" s="22">
        <v>45515</v>
      </c>
      <c r="H421" s="19">
        <f t="shared" si="7"/>
        <v>6.25</v>
      </c>
    </row>
    <row r="422" spans="6:8" ht="15.6" x14ac:dyDescent="0.3">
      <c r="F422" s="19">
        <v>417</v>
      </c>
      <c r="G422" s="22">
        <v>45514</v>
      </c>
      <c r="H422" s="19">
        <f t="shared" si="7"/>
        <v>6.25</v>
      </c>
    </row>
    <row r="423" spans="6:8" ht="15.6" x14ac:dyDescent="0.3">
      <c r="F423" s="19">
        <v>418</v>
      </c>
      <c r="G423" s="22">
        <v>45513</v>
      </c>
      <c r="H423" s="19">
        <f t="shared" si="7"/>
        <v>6.25</v>
      </c>
    </row>
    <row r="424" spans="6:8" ht="15.6" x14ac:dyDescent="0.3">
      <c r="F424" s="19">
        <v>419</v>
      </c>
      <c r="G424" s="22">
        <v>45512</v>
      </c>
      <c r="H424" s="19">
        <f t="shared" si="7"/>
        <v>6.25</v>
      </c>
    </row>
    <row r="425" spans="6:8" ht="15.6" x14ac:dyDescent="0.3">
      <c r="F425" s="19">
        <v>420</v>
      </c>
      <c r="G425" s="22">
        <v>45511</v>
      </c>
      <c r="H425" s="19">
        <f t="shared" si="7"/>
        <v>6.25</v>
      </c>
    </row>
    <row r="426" spans="6:8" ht="15.6" x14ac:dyDescent="0.3">
      <c r="F426" s="19">
        <v>421</v>
      </c>
      <c r="G426" s="22">
        <v>45510</v>
      </c>
      <c r="H426" s="19">
        <f t="shared" si="7"/>
        <v>6.25</v>
      </c>
    </row>
    <row r="427" spans="6:8" ht="15.6" x14ac:dyDescent="0.3">
      <c r="F427" s="19">
        <v>422</v>
      </c>
      <c r="G427" s="22">
        <v>45509</v>
      </c>
      <c r="H427" s="19">
        <f t="shared" si="7"/>
        <v>6.25</v>
      </c>
    </row>
    <row r="428" spans="6:8" ht="15.6" x14ac:dyDescent="0.3">
      <c r="F428" s="19">
        <v>423</v>
      </c>
      <c r="G428" s="22">
        <v>45508</v>
      </c>
      <c r="H428" s="19">
        <f t="shared" si="7"/>
        <v>6.25</v>
      </c>
    </row>
    <row r="429" spans="6:8" ht="15.6" x14ac:dyDescent="0.3">
      <c r="F429" s="19">
        <v>424</v>
      </c>
      <c r="G429" s="22">
        <v>45507</v>
      </c>
      <c r="H429" s="19">
        <f t="shared" si="7"/>
        <v>6.25</v>
      </c>
    </row>
    <row r="430" spans="6:8" ht="15.6" x14ac:dyDescent="0.3">
      <c r="F430" s="19">
        <v>425</v>
      </c>
      <c r="G430" s="22">
        <v>45506</v>
      </c>
      <c r="H430" s="19">
        <f t="shared" si="7"/>
        <v>6.25</v>
      </c>
    </row>
    <row r="431" spans="6:8" ht="15.6" x14ac:dyDescent="0.3">
      <c r="F431" s="19">
        <v>426</v>
      </c>
      <c r="G431" s="22">
        <v>45505</v>
      </c>
      <c r="H431" s="19">
        <f t="shared" si="7"/>
        <v>6.25</v>
      </c>
    </row>
    <row r="432" spans="6:8" ht="15.6" x14ac:dyDescent="0.3">
      <c r="F432" s="19">
        <v>427</v>
      </c>
      <c r="G432" s="22">
        <v>45504</v>
      </c>
      <c r="H432" s="19">
        <f t="shared" si="7"/>
        <v>6.25</v>
      </c>
    </row>
    <row r="433" spans="6:8" ht="15.6" x14ac:dyDescent="0.3">
      <c r="F433" s="19">
        <v>428</v>
      </c>
      <c r="G433" s="22">
        <v>45503</v>
      </c>
      <c r="H433" s="19">
        <f t="shared" si="7"/>
        <v>6.25</v>
      </c>
    </row>
    <row r="434" spans="6:8" ht="15.6" x14ac:dyDescent="0.3">
      <c r="F434" s="19">
        <v>429</v>
      </c>
      <c r="G434" s="22">
        <v>45502</v>
      </c>
      <c r="H434" s="19">
        <f t="shared" si="7"/>
        <v>6.25</v>
      </c>
    </row>
    <row r="435" spans="6:8" ht="15.6" x14ac:dyDescent="0.3">
      <c r="F435" s="19">
        <v>430</v>
      </c>
      <c r="G435" s="22">
        <v>45501</v>
      </c>
      <c r="H435" s="19">
        <f t="shared" si="7"/>
        <v>6.25</v>
      </c>
    </row>
    <row r="436" spans="6:8" ht="15.6" x14ac:dyDescent="0.3">
      <c r="F436" s="19">
        <v>431</v>
      </c>
      <c r="G436" s="22">
        <v>45500</v>
      </c>
      <c r="H436" s="19">
        <f t="shared" si="7"/>
        <v>6.25</v>
      </c>
    </row>
    <row r="437" spans="6:8" ht="15.6" x14ac:dyDescent="0.3">
      <c r="F437" s="19">
        <v>432</v>
      </c>
      <c r="G437" s="22">
        <v>45499</v>
      </c>
      <c r="H437" s="19">
        <f t="shared" si="7"/>
        <v>6.25</v>
      </c>
    </row>
    <row r="438" spans="6:8" ht="15.6" x14ac:dyDescent="0.3">
      <c r="F438" s="19">
        <v>433</v>
      </c>
      <c r="G438" s="22">
        <v>45498</v>
      </c>
      <c r="H438" s="19">
        <f t="shared" si="7"/>
        <v>6.25</v>
      </c>
    </row>
    <row r="439" spans="6:8" ht="15.6" x14ac:dyDescent="0.3">
      <c r="F439" s="19">
        <v>434</v>
      </c>
      <c r="G439" s="22">
        <v>45497</v>
      </c>
      <c r="H439" s="19">
        <f t="shared" si="7"/>
        <v>6.25</v>
      </c>
    </row>
    <row r="440" spans="6:8" ht="15.6" x14ac:dyDescent="0.3">
      <c r="F440" s="19">
        <v>435</v>
      </c>
      <c r="G440" s="22">
        <v>45496</v>
      </c>
      <c r="H440" s="19">
        <f t="shared" si="7"/>
        <v>6.25</v>
      </c>
    </row>
    <row r="441" spans="6:8" ht="15.6" x14ac:dyDescent="0.3">
      <c r="F441" s="19">
        <v>436</v>
      </c>
      <c r="G441" s="22">
        <v>45495</v>
      </c>
      <c r="H441" s="19">
        <f t="shared" si="7"/>
        <v>6.25</v>
      </c>
    </row>
    <row r="442" spans="6:8" ht="15.6" x14ac:dyDescent="0.3">
      <c r="F442" s="19">
        <v>437</v>
      </c>
      <c r="G442" s="22">
        <v>45494</v>
      </c>
      <c r="H442" s="19">
        <f t="shared" si="7"/>
        <v>6.25</v>
      </c>
    </row>
    <row r="443" spans="6:8" ht="15.6" x14ac:dyDescent="0.3">
      <c r="F443" s="19">
        <v>438</v>
      </c>
      <c r="G443" s="22">
        <v>45493</v>
      </c>
      <c r="H443" s="19">
        <f t="shared" si="7"/>
        <v>6.25</v>
      </c>
    </row>
    <row r="444" spans="6:8" ht="15.6" x14ac:dyDescent="0.3">
      <c r="F444" s="19">
        <v>439</v>
      </c>
      <c r="G444" s="22">
        <v>45492</v>
      </c>
      <c r="H444" s="19">
        <f t="shared" si="7"/>
        <v>6.25</v>
      </c>
    </row>
    <row r="445" spans="6:8" ht="15.6" x14ac:dyDescent="0.3">
      <c r="F445" s="19">
        <v>440</v>
      </c>
      <c r="G445" s="22">
        <v>45491</v>
      </c>
      <c r="H445" s="19">
        <f t="shared" si="7"/>
        <v>6.25</v>
      </c>
    </row>
    <row r="446" spans="6:8" ht="15.6" x14ac:dyDescent="0.3">
      <c r="F446" s="19">
        <v>441</v>
      </c>
      <c r="G446" s="22">
        <v>45490</v>
      </c>
      <c r="H446" s="19">
        <f t="shared" si="7"/>
        <v>6.25</v>
      </c>
    </row>
    <row r="447" spans="6:8" ht="15.6" x14ac:dyDescent="0.3">
      <c r="F447" s="19">
        <v>442</v>
      </c>
      <c r="G447" s="22">
        <v>45489</v>
      </c>
      <c r="H447" s="19">
        <f t="shared" si="7"/>
        <v>6.25</v>
      </c>
    </row>
    <row r="448" spans="6:8" ht="15.6" x14ac:dyDescent="0.3">
      <c r="F448" s="19">
        <v>443</v>
      </c>
      <c r="G448" s="22">
        <v>45488</v>
      </c>
      <c r="H448" s="19">
        <f t="shared" si="7"/>
        <v>6.25</v>
      </c>
    </row>
    <row r="449" spans="6:8" ht="15.6" x14ac:dyDescent="0.3">
      <c r="F449" s="19">
        <v>444</v>
      </c>
      <c r="G449" s="22">
        <v>45487</v>
      </c>
      <c r="H449" s="19">
        <f t="shared" si="7"/>
        <v>6.25</v>
      </c>
    </row>
    <row r="450" spans="6:8" ht="15.6" x14ac:dyDescent="0.3">
      <c r="F450" s="19">
        <v>445</v>
      </c>
      <c r="G450" s="22">
        <v>45486</v>
      </c>
      <c r="H450" s="19">
        <f t="shared" si="7"/>
        <v>6.25</v>
      </c>
    </row>
    <row r="451" spans="6:8" ht="15.6" x14ac:dyDescent="0.3">
      <c r="F451" s="19">
        <v>446</v>
      </c>
      <c r="G451" s="22">
        <v>45485</v>
      </c>
      <c r="H451" s="19">
        <f t="shared" si="7"/>
        <v>6.25</v>
      </c>
    </row>
    <row r="452" spans="6:8" ht="15.6" x14ac:dyDescent="0.3">
      <c r="F452" s="19">
        <v>447</v>
      </c>
      <c r="G452" s="22">
        <v>45484</v>
      </c>
      <c r="H452" s="19">
        <f t="shared" si="7"/>
        <v>6.25</v>
      </c>
    </row>
    <row r="453" spans="6:8" ht="15.6" x14ac:dyDescent="0.3">
      <c r="F453" s="19">
        <v>448</v>
      </c>
      <c r="G453" s="22">
        <v>45483</v>
      </c>
      <c r="H453" s="19">
        <f t="shared" si="7"/>
        <v>6.25</v>
      </c>
    </row>
    <row r="454" spans="6:8" ht="15.6" x14ac:dyDescent="0.3">
      <c r="F454" s="19">
        <v>449</v>
      </c>
      <c r="G454" s="22">
        <v>45482</v>
      </c>
      <c r="H454" s="19">
        <f t="shared" si="7"/>
        <v>6.25</v>
      </c>
    </row>
    <row r="455" spans="6:8" ht="15.6" x14ac:dyDescent="0.3">
      <c r="F455" s="19">
        <v>450</v>
      </c>
      <c r="G455" s="22">
        <v>45481</v>
      </c>
      <c r="H455" s="19">
        <f t="shared" ref="H455:H518" si="8">_xlfn.XLOOKUP(G455,$B$6:$B$39,$C$6:$C$39,,-1)</f>
        <v>6.25</v>
      </c>
    </row>
    <row r="456" spans="6:8" ht="15.6" x14ac:dyDescent="0.3">
      <c r="F456" s="19">
        <v>451</v>
      </c>
      <c r="G456" s="22">
        <v>45480</v>
      </c>
      <c r="H456" s="19">
        <f t="shared" si="8"/>
        <v>6.25</v>
      </c>
    </row>
    <row r="457" spans="6:8" ht="15.6" x14ac:dyDescent="0.3">
      <c r="F457" s="19">
        <v>452</v>
      </c>
      <c r="G457" s="22">
        <v>45479</v>
      </c>
      <c r="H457" s="19">
        <f t="shared" si="8"/>
        <v>6.25</v>
      </c>
    </row>
    <row r="458" spans="6:8" ht="15.6" x14ac:dyDescent="0.3">
      <c r="F458" s="19">
        <v>453</v>
      </c>
      <c r="G458" s="22">
        <v>45478</v>
      </c>
      <c r="H458" s="19">
        <f t="shared" si="8"/>
        <v>6.25</v>
      </c>
    </row>
    <row r="459" spans="6:8" ht="15.6" x14ac:dyDescent="0.3">
      <c r="F459" s="19">
        <v>454</v>
      </c>
      <c r="G459" s="22">
        <v>45477</v>
      </c>
      <c r="H459" s="19">
        <f t="shared" si="8"/>
        <v>6.25</v>
      </c>
    </row>
    <row r="460" spans="6:8" ht="15.6" x14ac:dyDescent="0.3">
      <c r="F460" s="19">
        <v>455</v>
      </c>
      <c r="G460" s="22">
        <v>45476</v>
      </c>
      <c r="H460" s="19">
        <f t="shared" si="8"/>
        <v>6.25</v>
      </c>
    </row>
    <row r="461" spans="6:8" ht="15.6" x14ac:dyDescent="0.3">
      <c r="F461" s="19">
        <v>456</v>
      </c>
      <c r="G461" s="22">
        <v>45475</v>
      </c>
      <c r="H461" s="19">
        <f t="shared" si="8"/>
        <v>6.25</v>
      </c>
    </row>
    <row r="462" spans="6:8" ht="15.6" x14ac:dyDescent="0.3">
      <c r="F462" s="19">
        <v>457</v>
      </c>
      <c r="G462" s="22">
        <v>45474</v>
      </c>
      <c r="H462" s="19">
        <f t="shared" si="8"/>
        <v>6.25</v>
      </c>
    </row>
    <row r="463" spans="6:8" ht="15.6" x14ac:dyDescent="0.3">
      <c r="F463" s="19">
        <v>458</v>
      </c>
      <c r="G463" s="22">
        <v>45473</v>
      </c>
      <c r="H463" s="19">
        <f t="shared" si="8"/>
        <v>6.25</v>
      </c>
    </row>
    <row r="464" spans="6:8" ht="15.6" x14ac:dyDescent="0.3">
      <c r="F464" s="19">
        <v>459</v>
      </c>
      <c r="G464" s="22">
        <v>45472</v>
      </c>
      <c r="H464" s="19">
        <f t="shared" si="8"/>
        <v>6.25</v>
      </c>
    </row>
    <row r="465" spans="6:8" ht="15.6" x14ac:dyDescent="0.3">
      <c r="F465" s="19">
        <v>460</v>
      </c>
      <c r="G465" s="22">
        <v>45471</v>
      </c>
      <c r="H465" s="19">
        <f t="shared" si="8"/>
        <v>6.25</v>
      </c>
    </row>
    <row r="466" spans="6:8" ht="15.6" x14ac:dyDescent="0.3">
      <c r="F466" s="19">
        <v>461</v>
      </c>
      <c r="G466" s="22">
        <v>45470</v>
      </c>
      <c r="H466" s="19">
        <f t="shared" si="8"/>
        <v>6.25</v>
      </c>
    </row>
    <row r="467" spans="6:8" ht="15.6" x14ac:dyDescent="0.3">
      <c r="F467" s="19">
        <v>462</v>
      </c>
      <c r="G467" s="22">
        <v>45469</v>
      </c>
      <c r="H467" s="19">
        <f t="shared" si="8"/>
        <v>6.25</v>
      </c>
    </row>
    <row r="468" spans="6:8" ht="15.6" x14ac:dyDescent="0.3">
      <c r="F468" s="19">
        <v>463</v>
      </c>
      <c r="G468" s="22">
        <v>45468</v>
      </c>
      <c r="H468" s="19">
        <f t="shared" si="8"/>
        <v>6.25</v>
      </c>
    </row>
    <row r="469" spans="6:8" ht="15.6" x14ac:dyDescent="0.3">
      <c r="F469" s="19">
        <v>464</v>
      </c>
      <c r="G469" s="22">
        <v>45467</v>
      </c>
      <c r="H469" s="19">
        <f t="shared" si="8"/>
        <v>6.25</v>
      </c>
    </row>
    <row r="470" spans="6:8" ht="15.6" x14ac:dyDescent="0.3">
      <c r="F470" s="19">
        <v>465</v>
      </c>
      <c r="G470" s="22">
        <v>45466</v>
      </c>
      <c r="H470" s="19">
        <f t="shared" si="8"/>
        <v>6.25</v>
      </c>
    </row>
    <row r="471" spans="6:8" ht="15.6" x14ac:dyDescent="0.3">
      <c r="F471" s="19">
        <v>466</v>
      </c>
      <c r="G471" s="22">
        <v>45465</v>
      </c>
      <c r="H471" s="19">
        <f t="shared" si="8"/>
        <v>6.25</v>
      </c>
    </row>
    <row r="472" spans="6:8" ht="15.6" x14ac:dyDescent="0.3">
      <c r="F472" s="19">
        <v>467</v>
      </c>
      <c r="G472" s="22">
        <v>45464</v>
      </c>
      <c r="H472" s="19">
        <f t="shared" si="8"/>
        <v>6.25</v>
      </c>
    </row>
    <row r="473" spans="6:8" ht="15.6" x14ac:dyDescent="0.3">
      <c r="F473" s="19">
        <v>468</v>
      </c>
      <c r="G473" s="22">
        <v>45463</v>
      </c>
      <c r="H473" s="19">
        <f t="shared" si="8"/>
        <v>6.25</v>
      </c>
    </row>
    <row r="474" spans="6:8" ht="15.6" x14ac:dyDescent="0.3">
      <c r="F474" s="19">
        <v>469</v>
      </c>
      <c r="G474" s="22">
        <v>45462</v>
      </c>
      <c r="H474" s="19">
        <f t="shared" si="8"/>
        <v>6.25</v>
      </c>
    </row>
    <row r="475" spans="6:8" ht="15.6" x14ac:dyDescent="0.3">
      <c r="F475" s="19">
        <v>470</v>
      </c>
      <c r="G475" s="22">
        <v>45461</v>
      </c>
      <c r="H475" s="19">
        <f t="shared" si="8"/>
        <v>6.25</v>
      </c>
    </row>
    <row r="476" spans="6:8" ht="15.6" x14ac:dyDescent="0.3">
      <c r="F476" s="19">
        <v>471</v>
      </c>
      <c r="G476" s="22">
        <v>45460</v>
      </c>
      <c r="H476" s="19">
        <f t="shared" si="8"/>
        <v>6.25</v>
      </c>
    </row>
    <row r="477" spans="6:8" ht="15.6" x14ac:dyDescent="0.3">
      <c r="F477" s="19">
        <v>472</v>
      </c>
      <c r="G477" s="22">
        <v>45459</v>
      </c>
      <c r="H477" s="19">
        <f t="shared" si="8"/>
        <v>6.25</v>
      </c>
    </row>
    <row r="478" spans="6:8" ht="15.6" x14ac:dyDescent="0.3">
      <c r="F478" s="19">
        <v>473</v>
      </c>
      <c r="G478" s="22">
        <v>45458</v>
      </c>
      <c r="H478" s="19">
        <f t="shared" si="8"/>
        <v>6.25</v>
      </c>
    </row>
    <row r="479" spans="6:8" ht="15.6" x14ac:dyDescent="0.3">
      <c r="F479" s="19">
        <v>474</v>
      </c>
      <c r="G479" s="22">
        <v>45457</v>
      </c>
      <c r="H479" s="19">
        <f t="shared" si="8"/>
        <v>6.25</v>
      </c>
    </row>
    <row r="480" spans="6:8" ht="15.6" x14ac:dyDescent="0.3">
      <c r="F480" s="19">
        <v>475</v>
      </c>
      <c r="G480" s="22">
        <v>45456</v>
      </c>
      <c r="H480" s="19">
        <f t="shared" si="8"/>
        <v>6.25</v>
      </c>
    </row>
    <row r="481" spans="6:8" ht="15.6" x14ac:dyDescent="0.3">
      <c r="F481" s="19">
        <v>476</v>
      </c>
      <c r="G481" s="22">
        <v>45455</v>
      </c>
      <c r="H481" s="19">
        <f t="shared" si="8"/>
        <v>6.25</v>
      </c>
    </row>
    <row r="482" spans="6:8" ht="15.6" x14ac:dyDescent="0.3">
      <c r="F482" s="19">
        <v>477</v>
      </c>
      <c r="G482" s="22">
        <v>45454</v>
      </c>
      <c r="H482" s="19">
        <f t="shared" si="8"/>
        <v>6.25</v>
      </c>
    </row>
    <row r="483" spans="6:8" ht="15.6" x14ac:dyDescent="0.3">
      <c r="F483" s="19">
        <v>478</v>
      </c>
      <c r="G483" s="22">
        <v>45453</v>
      </c>
      <c r="H483" s="19">
        <f t="shared" si="8"/>
        <v>6.25</v>
      </c>
    </row>
    <row r="484" spans="6:8" ht="15.6" x14ac:dyDescent="0.3">
      <c r="F484" s="19">
        <v>479</v>
      </c>
      <c r="G484" s="22">
        <v>45452</v>
      </c>
      <c r="H484" s="19">
        <f t="shared" si="8"/>
        <v>6.25</v>
      </c>
    </row>
    <row r="485" spans="6:8" ht="15.6" x14ac:dyDescent="0.3">
      <c r="F485" s="19">
        <v>480</v>
      </c>
      <c r="G485" s="22">
        <v>45451</v>
      </c>
      <c r="H485" s="19">
        <f t="shared" si="8"/>
        <v>6.25</v>
      </c>
    </row>
    <row r="486" spans="6:8" ht="15.6" x14ac:dyDescent="0.3">
      <c r="F486" s="19">
        <v>481</v>
      </c>
      <c r="G486" s="22">
        <v>45450</v>
      </c>
      <c r="H486" s="19">
        <f t="shared" si="8"/>
        <v>6.25</v>
      </c>
    </row>
    <row r="487" spans="6:8" ht="15.6" x14ac:dyDescent="0.3">
      <c r="F487" s="19">
        <v>482</v>
      </c>
      <c r="G487" s="22">
        <v>45449</v>
      </c>
      <c r="H487" s="19">
        <f t="shared" si="8"/>
        <v>6.25</v>
      </c>
    </row>
    <row r="488" spans="6:8" ht="15.6" x14ac:dyDescent="0.3">
      <c r="F488" s="19">
        <v>483</v>
      </c>
      <c r="G488" s="22">
        <v>45448</v>
      </c>
      <c r="H488" s="19">
        <f t="shared" si="8"/>
        <v>6.25</v>
      </c>
    </row>
    <row r="489" spans="6:8" ht="15.6" x14ac:dyDescent="0.3">
      <c r="F489" s="19">
        <v>484</v>
      </c>
      <c r="G489" s="22">
        <v>45447</v>
      </c>
      <c r="H489" s="19">
        <f t="shared" si="8"/>
        <v>6.25</v>
      </c>
    </row>
    <row r="490" spans="6:8" ht="15.6" x14ac:dyDescent="0.3">
      <c r="F490" s="19">
        <v>485</v>
      </c>
      <c r="G490" s="22">
        <v>45446</v>
      </c>
      <c r="H490" s="19">
        <f t="shared" si="8"/>
        <v>6.25</v>
      </c>
    </row>
    <row r="491" spans="6:8" ht="15.6" x14ac:dyDescent="0.3">
      <c r="F491" s="19">
        <v>486</v>
      </c>
      <c r="G491" s="22">
        <v>45445</v>
      </c>
      <c r="H491" s="19">
        <f t="shared" si="8"/>
        <v>6.25</v>
      </c>
    </row>
    <row r="492" spans="6:8" ht="15.6" x14ac:dyDescent="0.3">
      <c r="F492" s="19">
        <v>487</v>
      </c>
      <c r="G492" s="22">
        <v>45444</v>
      </c>
      <c r="H492" s="19">
        <f t="shared" si="8"/>
        <v>6.25</v>
      </c>
    </row>
    <row r="493" spans="6:8" ht="15.6" x14ac:dyDescent="0.3">
      <c r="F493" s="19">
        <v>488</v>
      </c>
      <c r="G493" s="22">
        <v>45443</v>
      </c>
      <c r="H493" s="19">
        <f t="shared" si="8"/>
        <v>6.25</v>
      </c>
    </row>
    <row r="494" spans="6:8" ht="15.6" x14ac:dyDescent="0.3">
      <c r="F494" s="19">
        <v>489</v>
      </c>
      <c r="G494" s="22">
        <v>45442</v>
      </c>
      <c r="H494" s="19">
        <f t="shared" si="8"/>
        <v>6.25</v>
      </c>
    </row>
    <row r="495" spans="6:8" ht="15.6" x14ac:dyDescent="0.3">
      <c r="F495" s="19">
        <v>490</v>
      </c>
      <c r="G495" s="22">
        <v>45441</v>
      </c>
      <c r="H495" s="19">
        <f t="shared" si="8"/>
        <v>6.25</v>
      </c>
    </row>
    <row r="496" spans="6:8" ht="15.6" x14ac:dyDescent="0.3">
      <c r="F496" s="19">
        <v>491</v>
      </c>
      <c r="G496" s="22">
        <v>45440</v>
      </c>
      <c r="H496" s="19">
        <f t="shared" si="8"/>
        <v>6.25</v>
      </c>
    </row>
    <row r="497" spans="6:8" ht="15.6" x14ac:dyDescent="0.3">
      <c r="F497" s="19">
        <v>492</v>
      </c>
      <c r="G497" s="22">
        <v>45439</v>
      </c>
      <c r="H497" s="19">
        <f t="shared" si="8"/>
        <v>6.25</v>
      </c>
    </row>
    <row r="498" spans="6:8" ht="15.6" x14ac:dyDescent="0.3">
      <c r="F498" s="19">
        <v>493</v>
      </c>
      <c r="G498" s="22">
        <v>45438</v>
      </c>
      <c r="H498" s="19">
        <f t="shared" si="8"/>
        <v>6.25</v>
      </c>
    </row>
    <row r="499" spans="6:8" ht="15.6" x14ac:dyDescent="0.3">
      <c r="F499" s="19">
        <v>494</v>
      </c>
      <c r="G499" s="22">
        <v>45437</v>
      </c>
      <c r="H499" s="19">
        <f t="shared" si="8"/>
        <v>6.25</v>
      </c>
    </row>
    <row r="500" spans="6:8" ht="15.6" x14ac:dyDescent="0.3">
      <c r="F500" s="19">
        <v>495</v>
      </c>
      <c r="G500" s="22">
        <v>45436</v>
      </c>
      <c r="H500" s="19">
        <f t="shared" si="8"/>
        <v>6.25</v>
      </c>
    </row>
    <row r="501" spans="6:8" ht="15.6" x14ac:dyDescent="0.3">
      <c r="F501" s="19">
        <v>496</v>
      </c>
      <c r="G501" s="22">
        <v>45435</v>
      </c>
      <c r="H501" s="19">
        <f t="shared" si="8"/>
        <v>6.25</v>
      </c>
    </row>
    <row r="502" spans="6:8" ht="15.6" x14ac:dyDescent="0.3">
      <c r="F502" s="19">
        <v>497</v>
      </c>
      <c r="G502" s="22">
        <v>45434</v>
      </c>
      <c r="H502" s="19">
        <f t="shared" si="8"/>
        <v>6.25</v>
      </c>
    </row>
    <row r="503" spans="6:8" ht="15.6" x14ac:dyDescent="0.3">
      <c r="F503" s="19">
        <v>498</v>
      </c>
      <c r="G503" s="22">
        <v>45433</v>
      </c>
      <c r="H503" s="19">
        <f t="shared" si="8"/>
        <v>6.25</v>
      </c>
    </row>
    <row r="504" spans="6:8" ht="15.6" x14ac:dyDescent="0.3">
      <c r="F504" s="19">
        <v>499</v>
      </c>
      <c r="G504" s="22">
        <v>45432</v>
      </c>
      <c r="H504" s="19">
        <f t="shared" si="8"/>
        <v>6.25</v>
      </c>
    </row>
    <row r="505" spans="6:8" ht="15.6" x14ac:dyDescent="0.3">
      <c r="F505" s="19">
        <v>500</v>
      </c>
      <c r="G505" s="22">
        <v>45431</v>
      </c>
      <c r="H505" s="19">
        <f t="shared" si="8"/>
        <v>6.25</v>
      </c>
    </row>
    <row r="506" spans="6:8" ht="15.6" x14ac:dyDescent="0.3">
      <c r="F506" s="19">
        <v>501</v>
      </c>
      <c r="G506" s="22">
        <v>45430</v>
      </c>
      <c r="H506" s="19">
        <f t="shared" si="8"/>
        <v>6.25</v>
      </c>
    </row>
    <row r="507" spans="6:8" ht="15.6" x14ac:dyDescent="0.3">
      <c r="F507" s="19">
        <v>502</v>
      </c>
      <c r="G507" s="22">
        <v>45429</v>
      </c>
      <c r="H507" s="19">
        <f t="shared" si="8"/>
        <v>6.25</v>
      </c>
    </row>
    <row r="508" spans="6:8" ht="15.6" x14ac:dyDescent="0.3">
      <c r="F508" s="19">
        <v>503</v>
      </c>
      <c r="G508" s="22">
        <v>45428</v>
      </c>
      <c r="H508" s="19">
        <f t="shared" si="8"/>
        <v>6.25</v>
      </c>
    </row>
    <row r="509" spans="6:8" ht="15.6" x14ac:dyDescent="0.3">
      <c r="F509" s="19">
        <v>504</v>
      </c>
      <c r="G509" s="22">
        <v>45427</v>
      </c>
      <c r="H509" s="19">
        <f t="shared" si="8"/>
        <v>6.25</v>
      </c>
    </row>
    <row r="510" spans="6:8" ht="15.6" x14ac:dyDescent="0.3">
      <c r="F510" s="19">
        <v>505</v>
      </c>
      <c r="G510" s="22">
        <v>45426</v>
      </c>
      <c r="H510" s="19">
        <f t="shared" si="8"/>
        <v>6.25</v>
      </c>
    </row>
    <row r="511" spans="6:8" ht="15.6" x14ac:dyDescent="0.3">
      <c r="F511" s="19">
        <v>506</v>
      </c>
      <c r="G511" s="22">
        <v>45425</v>
      </c>
      <c r="H511" s="19">
        <f t="shared" si="8"/>
        <v>6.25</v>
      </c>
    </row>
    <row r="512" spans="6:8" ht="15.6" x14ac:dyDescent="0.3">
      <c r="F512" s="19">
        <v>507</v>
      </c>
      <c r="G512" s="22">
        <v>45424</v>
      </c>
      <c r="H512" s="19">
        <f t="shared" si="8"/>
        <v>6.25</v>
      </c>
    </row>
    <row r="513" spans="6:8" ht="15.6" x14ac:dyDescent="0.3">
      <c r="F513" s="19">
        <v>508</v>
      </c>
      <c r="G513" s="22">
        <v>45423</v>
      </c>
      <c r="H513" s="19">
        <f t="shared" si="8"/>
        <v>6.25</v>
      </c>
    </row>
    <row r="514" spans="6:8" ht="15.6" x14ac:dyDescent="0.3">
      <c r="F514" s="19">
        <v>509</v>
      </c>
      <c r="G514" s="22">
        <v>45422</v>
      </c>
      <c r="H514" s="19">
        <f t="shared" si="8"/>
        <v>6.25</v>
      </c>
    </row>
    <row r="515" spans="6:8" ht="15.6" x14ac:dyDescent="0.3">
      <c r="F515" s="19">
        <v>510</v>
      </c>
      <c r="G515" s="22">
        <v>45421</v>
      </c>
      <c r="H515" s="19">
        <f t="shared" si="8"/>
        <v>6.25</v>
      </c>
    </row>
    <row r="516" spans="6:8" ht="15.6" x14ac:dyDescent="0.3">
      <c r="F516" s="19">
        <v>511</v>
      </c>
      <c r="G516" s="22">
        <v>45420</v>
      </c>
      <c r="H516" s="19">
        <f t="shared" si="8"/>
        <v>6.25</v>
      </c>
    </row>
    <row r="517" spans="6:8" ht="15.6" x14ac:dyDescent="0.3">
      <c r="F517" s="19">
        <v>512</v>
      </c>
      <c r="G517" s="22">
        <v>45419</v>
      </c>
      <c r="H517" s="19">
        <f t="shared" si="8"/>
        <v>6.25</v>
      </c>
    </row>
    <row r="518" spans="6:8" ht="15.6" x14ac:dyDescent="0.3">
      <c r="F518" s="19">
        <v>513</v>
      </c>
      <c r="G518" s="22">
        <v>45418</v>
      </c>
      <c r="H518" s="19">
        <f t="shared" si="8"/>
        <v>6.25</v>
      </c>
    </row>
    <row r="519" spans="6:8" ht="15.6" x14ac:dyDescent="0.3">
      <c r="F519" s="19">
        <v>514</v>
      </c>
      <c r="G519" s="22">
        <v>45417</v>
      </c>
      <c r="H519" s="19">
        <f t="shared" ref="H519:H582" si="9">_xlfn.XLOOKUP(G519,$B$6:$B$39,$C$6:$C$39,,-1)</f>
        <v>6.25</v>
      </c>
    </row>
    <row r="520" spans="6:8" ht="15.6" x14ac:dyDescent="0.3">
      <c r="F520" s="19">
        <v>515</v>
      </c>
      <c r="G520" s="22">
        <v>45416</v>
      </c>
      <c r="H520" s="19">
        <f t="shared" si="9"/>
        <v>6.25</v>
      </c>
    </row>
    <row r="521" spans="6:8" ht="15.6" x14ac:dyDescent="0.3">
      <c r="F521" s="19">
        <v>516</v>
      </c>
      <c r="G521" s="22">
        <v>45415</v>
      </c>
      <c r="H521" s="19">
        <f t="shared" si="9"/>
        <v>6.25</v>
      </c>
    </row>
    <row r="522" spans="6:8" ht="15.6" x14ac:dyDescent="0.3">
      <c r="F522" s="19">
        <v>517</v>
      </c>
      <c r="G522" s="22">
        <v>45414</v>
      </c>
      <c r="H522" s="19">
        <f t="shared" si="9"/>
        <v>6.25</v>
      </c>
    </row>
    <row r="523" spans="6:8" ht="15.6" x14ac:dyDescent="0.3">
      <c r="F523" s="19">
        <v>518</v>
      </c>
      <c r="G523" s="22">
        <v>45413</v>
      </c>
      <c r="H523" s="19">
        <f t="shared" si="9"/>
        <v>6.25</v>
      </c>
    </row>
    <row r="524" spans="6:8" ht="15.6" x14ac:dyDescent="0.3">
      <c r="F524" s="19">
        <v>519</v>
      </c>
      <c r="G524" s="22">
        <v>45412</v>
      </c>
      <c r="H524" s="19">
        <f t="shared" si="9"/>
        <v>6.25</v>
      </c>
    </row>
    <row r="525" spans="6:8" ht="15.6" x14ac:dyDescent="0.3">
      <c r="F525" s="19">
        <v>520</v>
      </c>
      <c r="G525" s="22">
        <v>45411</v>
      </c>
      <c r="H525" s="19">
        <f t="shared" si="9"/>
        <v>6.25</v>
      </c>
    </row>
    <row r="526" spans="6:8" ht="15.6" x14ac:dyDescent="0.3">
      <c r="F526" s="19">
        <v>521</v>
      </c>
      <c r="G526" s="22">
        <v>45410</v>
      </c>
      <c r="H526" s="19">
        <f t="shared" si="9"/>
        <v>6.25</v>
      </c>
    </row>
    <row r="527" spans="6:8" ht="15.6" x14ac:dyDescent="0.3">
      <c r="F527" s="19">
        <v>522</v>
      </c>
      <c r="G527" s="22">
        <v>45409</v>
      </c>
      <c r="H527" s="19">
        <f t="shared" si="9"/>
        <v>6.25</v>
      </c>
    </row>
    <row r="528" spans="6:8" ht="15.6" x14ac:dyDescent="0.3">
      <c r="F528" s="19">
        <v>523</v>
      </c>
      <c r="G528" s="22">
        <v>45408</v>
      </c>
      <c r="H528" s="19">
        <f t="shared" si="9"/>
        <v>6.25</v>
      </c>
    </row>
    <row r="529" spans="6:8" ht="15.6" x14ac:dyDescent="0.3">
      <c r="F529" s="19">
        <v>524</v>
      </c>
      <c r="G529" s="22">
        <v>45407</v>
      </c>
      <c r="H529" s="19">
        <f t="shared" si="9"/>
        <v>6.25</v>
      </c>
    </row>
    <row r="530" spans="6:8" ht="15.6" x14ac:dyDescent="0.3">
      <c r="F530" s="19">
        <v>525</v>
      </c>
      <c r="G530" s="22">
        <v>45406</v>
      </c>
      <c r="H530" s="19">
        <f t="shared" si="9"/>
        <v>6.25</v>
      </c>
    </row>
    <row r="531" spans="6:8" ht="15.6" x14ac:dyDescent="0.3">
      <c r="F531" s="19">
        <v>526</v>
      </c>
      <c r="G531" s="22">
        <v>45405</v>
      </c>
      <c r="H531" s="19">
        <f t="shared" si="9"/>
        <v>6</v>
      </c>
    </row>
    <row r="532" spans="6:8" ht="15.6" x14ac:dyDescent="0.3">
      <c r="F532" s="19">
        <v>527</v>
      </c>
      <c r="G532" s="22">
        <v>45404</v>
      </c>
      <c r="H532" s="19">
        <f t="shared" si="9"/>
        <v>6</v>
      </c>
    </row>
    <row r="533" spans="6:8" ht="15.6" x14ac:dyDescent="0.3">
      <c r="F533" s="19">
        <v>528</v>
      </c>
      <c r="G533" s="22">
        <v>45403</v>
      </c>
      <c r="H533" s="19">
        <f t="shared" si="9"/>
        <v>6</v>
      </c>
    </row>
    <row r="534" spans="6:8" ht="15.6" x14ac:dyDescent="0.3">
      <c r="F534" s="19">
        <v>529</v>
      </c>
      <c r="G534" s="22">
        <v>45402</v>
      </c>
      <c r="H534" s="19">
        <f t="shared" si="9"/>
        <v>6</v>
      </c>
    </row>
    <row r="535" spans="6:8" ht="15.6" x14ac:dyDescent="0.3">
      <c r="F535" s="19">
        <v>530</v>
      </c>
      <c r="G535" s="22">
        <v>45401</v>
      </c>
      <c r="H535" s="19">
        <f t="shared" si="9"/>
        <v>6</v>
      </c>
    </row>
    <row r="536" spans="6:8" ht="15.6" x14ac:dyDescent="0.3">
      <c r="F536" s="19">
        <v>531</v>
      </c>
      <c r="G536" s="22">
        <v>45400</v>
      </c>
      <c r="H536" s="19">
        <f t="shared" si="9"/>
        <v>6</v>
      </c>
    </row>
    <row r="537" spans="6:8" ht="15.6" x14ac:dyDescent="0.3">
      <c r="F537" s="19">
        <v>532</v>
      </c>
      <c r="G537" s="22">
        <v>45399</v>
      </c>
      <c r="H537" s="19">
        <f t="shared" si="9"/>
        <v>6</v>
      </c>
    </row>
    <row r="538" spans="6:8" ht="15.6" x14ac:dyDescent="0.3">
      <c r="F538" s="19">
        <v>533</v>
      </c>
      <c r="G538" s="22">
        <v>45398</v>
      </c>
      <c r="H538" s="19">
        <f t="shared" si="9"/>
        <v>6</v>
      </c>
    </row>
    <row r="539" spans="6:8" ht="15.6" x14ac:dyDescent="0.3">
      <c r="F539" s="19">
        <v>534</v>
      </c>
      <c r="G539" s="22">
        <v>45397</v>
      </c>
      <c r="H539" s="19">
        <f t="shared" si="9"/>
        <v>6</v>
      </c>
    </row>
    <row r="540" spans="6:8" ht="15.6" x14ac:dyDescent="0.3">
      <c r="F540" s="19">
        <v>535</v>
      </c>
      <c r="G540" s="22">
        <v>45396</v>
      </c>
      <c r="H540" s="19">
        <f t="shared" si="9"/>
        <v>6</v>
      </c>
    </row>
    <row r="541" spans="6:8" ht="15.6" x14ac:dyDescent="0.3">
      <c r="F541" s="19">
        <v>536</v>
      </c>
      <c r="G541" s="22">
        <v>45395</v>
      </c>
      <c r="H541" s="19">
        <f t="shared" si="9"/>
        <v>6</v>
      </c>
    </row>
    <row r="542" spans="6:8" ht="15.6" x14ac:dyDescent="0.3">
      <c r="F542" s="19">
        <v>537</v>
      </c>
      <c r="G542" s="22">
        <v>45394</v>
      </c>
      <c r="H542" s="19">
        <f t="shared" si="9"/>
        <v>6</v>
      </c>
    </row>
    <row r="543" spans="6:8" ht="15.6" x14ac:dyDescent="0.3">
      <c r="F543" s="19">
        <v>538</v>
      </c>
      <c r="G543" s="22">
        <v>45393</v>
      </c>
      <c r="H543" s="19">
        <f t="shared" si="9"/>
        <v>6</v>
      </c>
    </row>
    <row r="544" spans="6:8" ht="15.6" x14ac:dyDescent="0.3">
      <c r="F544" s="19">
        <v>539</v>
      </c>
      <c r="G544" s="22">
        <v>45392</v>
      </c>
      <c r="H544" s="19">
        <f t="shared" si="9"/>
        <v>6</v>
      </c>
    </row>
    <row r="545" spans="6:8" ht="15.6" x14ac:dyDescent="0.3">
      <c r="F545" s="19">
        <v>540</v>
      </c>
      <c r="G545" s="22">
        <v>45391</v>
      </c>
      <c r="H545" s="19">
        <f t="shared" si="9"/>
        <v>6</v>
      </c>
    </row>
    <row r="546" spans="6:8" ht="15.6" x14ac:dyDescent="0.3">
      <c r="F546" s="19">
        <v>541</v>
      </c>
      <c r="G546" s="22">
        <v>45390</v>
      </c>
      <c r="H546" s="19">
        <f t="shared" si="9"/>
        <v>6</v>
      </c>
    </row>
    <row r="547" spans="6:8" ht="15.6" x14ac:dyDescent="0.3">
      <c r="F547" s="19">
        <v>542</v>
      </c>
      <c r="G547" s="22">
        <v>45389</v>
      </c>
      <c r="H547" s="19">
        <f t="shared" si="9"/>
        <v>6</v>
      </c>
    </row>
    <row r="548" spans="6:8" ht="15.6" x14ac:dyDescent="0.3">
      <c r="F548" s="19">
        <v>543</v>
      </c>
      <c r="G548" s="22">
        <v>45388</v>
      </c>
      <c r="H548" s="19">
        <f t="shared" si="9"/>
        <v>6</v>
      </c>
    </row>
    <row r="549" spans="6:8" ht="15.6" x14ac:dyDescent="0.3">
      <c r="F549" s="19">
        <v>544</v>
      </c>
      <c r="G549" s="22">
        <v>45387</v>
      </c>
      <c r="H549" s="19">
        <f t="shared" si="9"/>
        <v>6</v>
      </c>
    </row>
    <row r="550" spans="6:8" ht="15.6" x14ac:dyDescent="0.3">
      <c r="F550" s="19">
        <v>545</v>
      </c>
      <c r="G550" s="22">
        <v>45386</v>
      </c>
      <c r="H550" s="19">
        <f t="shared" si="9"/>
        <v>6</v>
      </c>
    </row>
    <row r="551" spans="6:8" ht="15.6" x14ac:dyDescent="0.3">
      <c r="F551" s="19">
        <v>546</v>
      </c>
      <c r="G551" s="22">
        <v>45385</v>
      </c>
      <c r="H551" s="19">
        <f t="shared" si="9"/>
        <v>6</v>
      </c>
    </row>
    <row r="552" spans="6:8" ht="15.6" x14ac:dyDescent="0.3">
      <c r="F552" s="19">
        <v>547</v>
      </c>
      <c r="G552" s="22">
        <v>45384</v>
      </c>
      <c r="H552" s="19">
        <f t="shared" si="9"/>
        <v>6</v>
      </c>
    </row>
    <row r="553" spans="6:8" ht="15.6" x14ac:dyDescent="0.3">
      <c r="F553" s="19">
        <v>548</v>
      </c>
      <c r="G553" s="22">
        <v>45383</v>
      </c>
      <c r="H553" s="19">
        <f t="shared" si="9"/>
        <v>6</v>
      </c>
    </row>
    <row r="554" spans="6:8" ht="15.6" x14ac:dyDescent="0.3">
      <c r="F554" s="19">
        <v>549</v>
      </c>
      <c r="G554" s="22">
        <v>45382</v>
      </c>
      <c r="H554" s="19">
        <f t="shared" si="9"/>
        <v>6</v>
      </c>
    </row>
    <row r="555" spans="6:8" ht="15.6" x14ac:dyDescent="0.3">
      <c r="F555" s="19">
        <v>550</v>
      </c>
      <c r="G555" s="22">
        <v>45381</v>
      </c>
      <c r="H555" s="19">
        <f t="shared" si="9"/>
        <v>6</v>
      </c>
    </row>
    <row r="556" spans="6:8" ht="15.6" x14ac:dyDescent="0.3">
      <c r="F556" s="19">
        <v>551</v>
      </c>
      <c r="G556" s="22">
        <v>45380</v>
      </c>
      <c r="H556" s="19">
        <f t="shared" si="9"/>
        <v>6</v>
      </c>
    </row>
    <row r="557" spans="6:8" ht="15.6" x14ac:dyDescent="0.3">
      <c r="F557" s="19">
        <v>552</v>
      </c>
      <c r="G557" s="22">
        <v>45379</v>
      </c>
      <c r="H557" s="19">
        <f t="shared" si="9"/>
        <v>6</v>
      </c>
    </row>
    <row r="558" spans="6:8" ht="15.6" x14ac:dyDescent="0.3">
      <c r="F558" s="19">
        <v>553</v>
      </c>
      <c r="G558" s="22">
        <v>45378</v>
      </c>
      <c r="H558" s="19">
        <f t="shared" si="9"/>
        <v>6</v>
      </c>
    </row>
    <row r="559" spans="6:8" ht="15.6" x14ac:dyDescent="0.3">
      <c r="F559" s="19">
        <v>554</v>
      </c>
      <c r="G559" s="22">
        <v>45377</v>
      </c>
      <c r="H559" s="19">
        <f t="shared" si="9"/>
        <v>6</v>
      </c>
    </row>
    <row r="560" spans="6:8" ht="15.6" x14ac:dyDescent="0.3">
      <c r="F560" s="19">
        <v>555</v>
      </c>
      <c r="G560" s="22">
        <v>45376</v>
      </c>
      <c r="H560" s="19">
        <f t="shared" si="9"/>
        <v>6</v>
      </c>
    </row>
    <row r="561" spans="6:8" ht="15.6" x14ac:dyDescent="0.3">
      <c r="F561" s="19">
        <v>556</v>
      </c>
      <c r="G561" s="22">
        <v>45375</v>
      </c>
      <c r="H561" s="19">
        <f t="shared" si="9"/>
        <v>6</v>
      </c>
    </row>
    <row r="562" spans="6:8" ht="15.6" x14ac:dyDescent="0.3">
      <c r="F562" s="19">
        <v>557</v>
      </c>
      <c r="G562" s="22">
        <v>45374</v>
      </c>
      <c r="H562" s="19">
        <f t="shared" si="9"/>
        <v>6</v>
      </c>
    </row>
    <row r="563" spans="6:8" ht="15.6" x14ac:dyDescent="0.3">
      <c r="F563" s="19">
        <v>558</v>
      </c>
      <c r="G563" s="22">
        <v>45373</v>
      </c>
      <c r="H563" s="19">
        <f t="shared" si="9"/>
        <v>6</v>
      </c>
    </row>
    <row r="564" spans="6:8" ht="15.6" x14ac:dyDescent="0.3">
      <c r="F564" s="19">
        <v>559</v>
      </c>
      <c r="G564" s="22">
        <v>45372</v>
      </c>
      <c r="H564" s="19">
        <f t="shared" si="9"/>
        <v>6</v>
      </c>
    </row>
    <row r="565" spans="6:8" ht="15.6" x14ac:dyDescent="0.3">
      <c r="F565" s="19">
        <v>560</v>
      </c>
      <c r="G565" s="22">
        <v>45371</v>
      </c>
      <c r="H565" s="19">
        <f t="shared" si="9"/>
        <v>6</v>
      </c>
    </row>
    <row r="566" spans="6:8" ht="15.6" x14ac:dyDescent="0.3">
      <c r="F566" s="19">
        <v>561</v>
      </c>
      <c r="G566" s="22">
        <v>45370</v>
      </c>
      <c r="H566" s="19">
        <f t="shared" si="9"/>
        <v>6</v>
      </c>
    </row>
    <row r="567" spans="6:8" ht="15.6" x14ac:dyDescent="0.3">
      <c r="F567" s="19">
        <v>562</v>
      </c>
      <c r="G567" s="22">
        <v>45369</v>
      </c>
      <c r="H567" s="19">
        <f t="shared" si="9"/>
        <v>6</v>
      </c>
    </row>
    <row r="568" spans="6:8" ht="15.6" x14ac:dyDescent="0.3">
      <c r="F568" s="19">
        <v>563</v>
      </c>
      <c r="G568" s="22">
        <v>45368</v>
      </c>
      <c r="H568" s="19">
        <f t="shared" si="9"/>
        <v>6</v>
      </c>
    </row>
    <row r="569" spans="6:8" ht="15.6" x14ac:dyDescent="0.3">
      <c r="F569" s="19">
        <v>564</v>
      </c>
      <c r="G569" s="22">
        <v>45367</v>
      </c>
      <c r="H569" s="19">
        <f t="shared" si="9"/>
        <v>6</v>
      </c>
    </row>
    <row r="570" spans="6:8" ht="15.6" x14ac:dyDescent="0.3">
      <c r="F570" s="19">
        <v>565</v>
      </c>
      <c r="G570" s="22">
        <v>45366</v>
      </c>
      <c r="H570" s="19">
        <f t="shared" si="9"/>
        <v>6</v>
      </c>
    </row>
    <row r="571" spans="6:8" ht="15.6" x14ac:dyDescent="0.3">
      <c r="F571" s="19">
        <v>566</v>
      </c>
      <c r="G571" s="22">
        <v>45365</v>
      </c>
      <c r="H571" s="19">
        <f t="shared" si="9"/>
        <v>6</v>
      </c>
    </row>
    <row r="572" spans="6:8" ht="15.6" x14ac:dyDescent="0.3">
      <c r="F572" s="19">
        <v>567</v>
      </c>
      <c r="G572" s="22">
        <v>45364</v>
      </c>
      <c r="H572" s="19">
        <f t="shared" si="9"/>
        <v>6</v>
      </c>
    </row>
    <row r="573" spans="6:8" ht="15.6" x14ac:dyDescent="0.3">
      <c r="F573" s="19">
        <v>568</v>
      </c>
      <c r="G573" s="22">
        <v>45363</v>
      </c>
      <c r="H573" s="19">
        <f t="shared" si="9"/>
        <v>6</v>
      </c>
    </row>
    <row r="574" spans="6:8" ht="15.6" x14ac:dyDescent="0.3">
      <c r="F574" s="19">
        <v>569</v>
      </c>
      <c r="G574" s="22">
        <v>45362</v>
      </c>
      <c r="H574" s="19">
        <f t="shared" si="9"/>
        <v>6</v>
      </c>
    </row>
    <row r="575" spans="6:8" ht="15.6" x14ac:dyDescent="0.3">
      <c r="F575" s="19">
        <v>570</v>
      </c>
      <c r="G575" s="22">
        <v>45361</v>
      </c>
      <c r="H575" s="19">
        <f t="shared" si="9"/>
        <v>6</v>
      </c>
    </row>
    <row r="576" spans="6:8" ht="15.6" x14ac:dyDescent="0.3">
      <c r="F576" s="19">
        <v>571</v>
      </c>
      <c r="G576" s="22">
        <v>45360</v>
      </c>
      <c r="H576" s="19">
        <f t="shared" si="9"/>
        <v>6</v>
      </c>
    </row>
    <row r="577" spans="6:8" ht="15.6" x14ac:dyDescent="0.3">
      <c r="F577" s="19">
        <v>572</v>
      </c>
      <c r="G577" s="22">
        <v>45359</v>
      </c>
      <c r="H577" s="19">
        <f t="shared" si="9"/>
        <v>6</v>
      </c>
    </row>
    <row r="578" spans="6:8" ht="15.6" x14ac:dyDescent="0.3">
      <c r="F578" s="19">
        <v>573</v>
      </c>
      <c r="G578" s="22">
        <v>45358</v>
      </c>
      <c r="H578" s="19">
        <f t="shared" si="9"/>
        <v>6</v>
      </c>
    </row>
    <row r="579" spans="6:8" ht="15.6" x14ac:dyDescent="0.3">
      <c r="F579" s="19">
        <v>574</v>
      </c>
      <c r="G579" s="22">
        <v>45357</v>
      </c>
      <c r="H579" s="19">
        <f t="shared" si="9"/>
        <v>6</v>
      </c>
    </row>
    <row r="580" spans="6:8" ht="15.6" x14ac:dyDescent="0.3">
      <c r="F580" s="19">
        <v>575</v>
      </c>
      <c r="G580" s="22">
        <v>45356</v>
      </c>
      <c r="H580" s="19">
        <f t="shared" si="9"/>
        <v>6</v>
      </c>
    </row>
    <row r="581" spans="6:8" ht="15.6" x14ac:dyDescent="0.3">
      <c r="F581" s="19">
        <v>576</v>
      </c>
      <c r="G581" s="22">
        <v>45355</v>
      </c>
      <c r="H581" s="19">
        <f t="shared" si="9"/>
        <v>6</v>
      </c>
    </row>
    <row r="582" spans="6:8" ht="15.6" x14ac:dyDescent="0.3">
      <c r="F582" s="19">
        <v>577</v>
      </c>
      <c r="G582" s="22">
        <v>45354</v>
      </c>
      <c r="H582" s="19">
        <f t="shared" si="9"/>
        <v>6</v>
      </c>
    </row>
    <row r="583" spans="6:8" ht="15.6" x14ac:dyDescent="0.3">
      <c r="F583" s="19">
        <v>578</v>
      </c>
      <c r="G583" s="22">
        <v>45353</v>
      </c>
      <c r="H583" s="19">
        <f t="shared" ref="H583:H646" si="10">_xlfn.XLOOKUP(G583,$B$6:$B$39,$C$6:$C$39,,-1)</f>
        <v>6</v>
      </c>
    </row>
    <row r="584" spans="6:8" ht="15.6" x14ac:dyDescent="0.3">
      <c r="F584" s="19">
        <v>579</v>
      </c>
      <c r="G584" s="22">
        <v>45352</v>
      </c>
      <c r="H584" s="19">
        <f t="shared" si="10"/>
        <v>6</v>
      </c>
    </row>
    <row r="585" spans="6:8" ht="15.6" x14ac:dyDescent="0.3">
      <c r="F585" s="19">
        <v>580</v>
      </c>
      <c r="G585" s="22">
        <v>45351</v>
      </c>
      <c r="H585" s="19">
        <f t="shared" si="10"/>
        <v>6</v>
      </c>
    </row>
    <row r="586" spans="6:8" ht="15.6" x14ac:dyDescent="0.3">
      <c r="F586" s="19">
        <v>581</v>
      </c>
      <c r="G586" s="22">
        <v>45350</v>
      </c>
      <c r="H586" s="19">
        <f t="shared" si="10"/>
        <v>6</v>
      </c>
    </row>
    <row r="587" spans="6:8" ht="15.6" x14ac:dyDescent="0.3">
      <c r="F587" s="19">
        <v>582</v>
      </c>
      <c r="G587" s="22">
        <v>45349</v>
      </c>
      <c r="H587" s="19">
        <f t="shared" si="10"/>
        <v>6</v>
      </c>
    </row>
    <row r="588" spans="6:8" ht="15.6" x14ac:dyDescent="0.3">
      <c r="F588" s="19">
        <v>583</v>
      </c>
      <c r="G588" s="22">
        <v>45348</v>
      </c>
      <c r="H588" s="19">
        <f t="shared" si="10"/>
        <v>6</v>
      </c>
    </row>
    <row r="589" spans="6:8" ht="15.6" x14ac:dyDescent="0.3">
      <c r="F589" s="19">
        <v>584</v>
      </c>
      <c r="G589" s="22">
        <v>45347</v>
      </c>
      <c r="H589" s="19">
        <f t="shared" si="10"/>
        <v>6</v>
      </c>
    </row>
    <row r="590" spans="6:8" ht="15.6" x14ac:dyDescent="0.3">
      <c r="F590" s="19">
        <v>585</v>
      </c>
      <c r="G590" s="22">
        <v>45346</v>
      </c>
      <c r="H590" s="19">
        <f t="shared" si="10"/>
        <v>6</v>
      </c>
    </row>
    <row r="591" spans="6:8" ht="15.6" x14ac:dyDescent="0.3">
      <c r="F591" s="19">
        <v>586</v>
      </c>
      <c r="G591" s="22">
        <v>45345</v>
      </c>
      <c r="H591" s="19">
        <f t="shared" si="10"/>
        <v>6</v>
      </c>
    </row>
    <row r="592" spans="6:8" ht="15.6" x14ac:dyDescent="0.3">
      <c r="F592" s="19">
        <v>587</v>
      </c>
      <c r="G592" s="22">
        <v>45344</v>
      </c>
      <c r="H592" s="19">
        <f t="shared" si="10"/>
        <v>6</v>
      </c>
    </row>
    <row r="593" spans="6:8" ht="15.6" x14ac:dyDescent="0.3">
      <c r="F593" s="19">
        <v>588</v>
      </c>
      <c r="G593" s="22">
        <v>45343</v>
      </c>
      <c r="H593" s="19">
        <f t="shared" si="10"/>
        <v>6</v>
      </c>
    </row>
    <row r="594" spans="6:8" ht="15.6" x14ac:dyDescent="0.3">
      <c r="F594" s="19">
        <v>589</v>
      </c>
      <c r="G594" s="22">
        <v>45342</v>
      </c>
      <c r="H594" s="19">
        <f t="shared" si="10"/>
        <v>6</v>
      </c>
    </row>
    <row r="595" spans="6:8" ht="15.6" x14ac:dyDescent="0.3">
      <c r="F595" s="19">
        <v>590</v>
      </c>
      <c r="G595" s="22">
        <v>45341</v>
      </c>
      <c r="H595" s="19">
        <f t="shared" si="10"/>
        <v>6</v>
      </c>
    </row>
    <row r="596" spans="6:8" ht="15.6" x14ac:dyDescent="0.3">
      <c r="F596" s="19">
        <v>591</v>
      </c>
      <c r="G596" s="22">
        <v>45340</v>
      </c>
      <c r="H596" s="19">
        <f t="shared" si="10"/>
        <v>6</v>
      </c>
    </row>
    <row r="597" spans="6:8" ht="15.6" x14ac:dyDescent="0.3">
      <c r="F597" s="19">
        <v>592</v>
      </c>
      <c r="G597" s="22">
        <v>45339</v>
      </c>
      <c r="H597" s="19">
        <f t="shared" si="10"/>
        <v>6</v>
      </c>
    </row>
    <row r="598" spans="6:8" ht="15.6" x14ac:dyDescent="0.3">
      <c r="F598" s="19">
        <v>593</v>
      </c>
      <c r="G598" s="22">
        <v>45338</v>
      </c>
      <c r="H598" s="19">
        <f t="shared" si="10"/>
        <v>6</v>
      </c>
    </row>
    <row r="599" spans="6:8" ht="15.6" x14ac:dyDescent="0.3">
      <c r="F599" s="19">
        <v>594</v>
      </c>
      <c r="G599" s="22">
        <v>45337</v>
      </c>
      <c r="H599" s="19">
        <f t="shared" si="10"/>
        <v>6</v>
      </c>
    </row>
    <row r="600" spans="6:8" ht="15.6" x14ac:dyDescent="0.3">
      <c r="F600" s="19">
        <v>595</v>
      </c>
      <c r="G600" s="22">
        <v>45336</v>
      </c>
      <c r="H600" s="19">
        <f t="shared" si="10"/>
        <v>6</v>
      </c>
    </row>
    <row r="601" spans="6:8" ht="15.6" x14ac:dyDescent="0.3">
      <c r="F601" s="19">
        <v>596</v>
      </c>
      <c r="G601" s="22">
        <v>45335</v>
      </c>
      <c r="H601" s="19">
        <f t="shared" si="10"/>
        <v>6</v>
      </c>
    </row>
    <row r="602" spans="6:8" ht="15.6" x14ac:dyDescent="0.3">
      <c r="F602" s="19">
        <v>597</v>
      </c>
      <c r="G602" s="22">
        <v>45334</v>
      </c>
      <c r="H602" s="19">
        <f t="shared" si="10"/>
        <v>6</v>
      </c>
    </row>
    <row r="603" spans="6:8" ht="15.6" x14ac:dyDescent="0.3">
      <c r="F603" s="19">
        <v>598</v>
      </c>
      <c r="G603" s="22">
        <v>45333</v>
      </c>
      <c r="H603" s="19">
        <f t="shared" si="10"/>
        <v>6</v>
      </c>
    </row>
    <row r="604" spans="6:8" ht="15.6" x14ac:dyDescent="0.3">
      <c r="F604" s="19">
        <v>599</v>
      </c>
      <c r="G604" s="22">
        <v>45332</v>
      </c>
      <c r="H604" s="19">
        <f t="shared" si="10"/>
        <v>6</v>
      </c>
    </row>
    <row r="605" spans="6:8" ht="15.6" x14ac:dyDescent="0.3">
      <c r="F605" s="19">
        <v>600</v>
      </c>
      <c r="G605" s="22">
        <v>45331</v>
      </c>
      <c r="H605" s="19">
        <f t="shared" si="10"/>
        <v>6</v>
      </c>
    </row>
    <row r="606" spans="6:8" ht="15.6" x14ac:dyDescent="0.3">
      <c r="F606" s="19">
        <v>601</v>
      </c>
      <c r="G606" s="22">
        <v>45330</v>
      </c>
      <c r="H606" s="19">
        <f t="shared" si="10"/>
        <v>6</v>
      </c>
    </row>
    <row r="607" spans="6:8" ht="15.6" x14ac:dyDescent="0.3">
      <c r="F607" s="19">
        <v>602</v>
      </c>
      <c r="G607" s="22">
        <v>45329</v>
      </c>
      <c r="H607" s="19">
        <f t="shared" si="10"/>
        <v>6</v>
      </c>
    </row>
    <row r="608" spans="6:8" ht="15.6" x14ac:dyDescent="0.3">
      <c r="F608" s="19">
        <v>603</v>
      </c>
      <c r="G608" s="22">
        <v>45328</v>
      </c>
      <c r="H608" s="19">
        <f t="shared" si="10"/>
        <v>6</v>
      </c>
    </row>
    <row r="609" spans="6:8" ht="15.6" x14ac:dyDescent="0.3">
      <c r="F609" s="19">
        <v>604</v>
      </c>
      <c r="G609" s="22">
        <v>45327</v>
      </c>
      <c r="H609" s="19">
        <f t="shared" si="10"/>
        <v>6</v>
      </c>
    </row>
    <row r="610" spans="6:8" ht="15.6" x14ac:dyDescent="0.3">
      <c r="F610" s="19">
        <v>605</v>
      </c>
      <c r="G610" s="22">
        <v>45326</v>
      </c>
      <c r="H610" s="19">
        <f t="shared" si="10"/>
        <v>6</v>
      </c>
    </row>
    <row r="611" spans="6:8" ht="15.6" x14ac:dyDescent="0.3">
      <c r="F611" s="19">
        <v>606</v>
      </c>
      <c r="G611" s="22">
        <v>45325</v>
      </c>
      <c r="H611" s="19">
        <f t="shared" si="10"/>
        <v>6</v>
      </c>
    </row>
    <row r="612" spans="6:8" ht="15.6" x14ac:dyDescent="0.3">
      <c r="F612" s="19">
        <v>607</v>
      </c>
      <c r="G612" s="22">
        <v>45324</v>
      </c>
      <c r="H612" s="19">
        <f t="shared" si="10"/>
        <v>6</v>
      </c>
    </row>
    <row r="613" spans="6:8" ht="15.6" x14ac:dyDescent="0.3">
      <c r="F613" s="19">
        <v>608</v>
      </c>
      <c r="G613" s="22">
        <v>45323</v>
      </c>
      <c r="H613" s="19">
        <f t="shared" si="10"/>
        <v>6</v>
      </c>
    </row>
    <row r="614" spans="6:8" ht="15.6" x14ac:dyDescent="0.3">
      <c r="F614" s="19">
        <v>609</v>
      </c>
      <c r="G614" s="22">
        <v>45322</v>
      </c>
      <c r="H614" s="19">
        <f t="shared" si="10"/>
        <v>6</v>
      </c>
    </row>
    <row r="615" spans="6:8" ht="15.6" x14ac:dyDescent="0.3">
      <c r="F615" s="19">
        <v>610</v>
      </c>
      <c r="G615" s="22">
        <v>45321</v>
      </c>
      <c r="H615" s="19">
        <f t="shared" si="10"/>
        <v>6</v>
      </c>
    </row>
    <row r="616" spans="6:8" ht="15.6" x14ac:dyDescent="0.3">
      <c r="F616" s="19">
        <v>611</v>
      </c>
      <c r="G616" s="22">
        <v>45320</v>
      </c>
      <c r="H616" s="19">
        <f t="shared" si="10"/>
        <v>6</v>
      </c>
    </row>
    <row r="617" spans="6:8" ht="15.6" x14ac:dyDescent="0.3">
      <c r="F617" s="19">
        <v>612</v>
      </c>
      <c r="G617" s="22">
        <v>45319</v>
      </c>
      <c r="H617" s="19">
        <f t="shared" si="10"/>
        <v>6</v>
      </c>
    </row>
    <row r="618" spans="6:8" ht="15.6" x14ac:dyDescent="0.3">
      <c r="F618" s="19">
        <v>613</v>
      </c>
      <c r="G618" s="22">
        <v>45318</v>
      </c>
      <c r="H618" s="19">
        <f t="shared" si="10"/>
        <v>6</v>
      </c>
    </row>
    <row r="619" spans="6:8" ht="15.6" x14ac:dyDescent="0.3">
      <c r="F619" s="19">
        <v>614</v>
      </c>
      <c r="G619" s="22">
        <v>45317</v>
      </c>
      <c r="H619" s="19">
        <f t="shared" si="10"/>
        <v>6</v>
      </c>
    </row>
    <row r="620" spans="6:8" ht="15.6" x14ac:dyDescent="0.3">
      <c r="F620" s="19">
        <v>615</v>
      </c>
      <c r="G620" s="22">
        <v>45316</v>
      </c>
      <c r="H620" s="19">
        <f t="shared" si="10"/>
        <v>6</v>
      </c>
    </row>
    <row r="621" spans="6:8" ht="15.6" x14ac:dyDescent="0.3">
      <c r="F621" s="19">
        <v>616</v>
      </c>
      <c r="G621" s="22">
        <v>45315</v>
      </c>
      <c r="H621" s="19">
        <f t="shared" si="10"/>
        <v>6</v>
      </c>
    </row>
    <row r="622" spans="6:8" ht="15.6" x14ac:dyDescent="0.3">
      <c r="F622" s="19">
        <v>617</v>
      </c>
      <c r="G622" s="22">
        <v>45314</v>
      </c>
      <c r="H622" s="19">
        <f t="shared" si="10"/>
        <v>6</v>
      </c>
    </row>
    <row r="623" spans="6:8" ht="15.6" x14ac:dyDescent="0.3">
      <c r="F623" s="19">
        <v>618</v>
      </c>
      <c r="G623" s="22">
        <v>45313</v>
      </c>
      <c r="H623" s="19">
        <f t="shared" si="10"/>
        <v>6</v>
      </c>
    </row>
    <row r="624" spans="6:8" ht="15.6" x14ac:dyDescent="0.3">
      <c r="F624" s="19">
        <v>619</v>
      </c>
      <c r="G624" s="22">
        <v>45312</v>
      </c>
      <c r="H624" s="19">
        <f t="shared" si="10"/>
        <v>6</v>
      </c>
    </row>
    <row r="625" spans="6:8" ht="15.6" x14ac:dyDescent="0.3">
      <c r="F625" s="19">
        <v>620</v>
      </c>
      <c r="G625" s="22">
        <v>45311</v>
      </c>
      <c r="H625" s="19">
        <f t="shared" si="10"/>
        <v>6</v>
      </c>
    </row>
    <row r="626" spans="6:8" ht="15.6" x14ac:dyDescent="0.3">
      <c r="F626" s="19">
        <v>621</v>
      </c>
      <c r="G626" s="22">
        <v>45310</v>
      </c>
      <c r="H626" s="19">
        <f t="shared" si="10"/>
        <v>6</v>
      </c>
    </row>
    <row r="627" spans="6:8" ht="15.6" x14ac:dyDescent="0.3">
      <c r="F627" s="19">
        <v>622</v>
      </c>
      <c r="G627" s="22">
        <v>45309</v>
      </c>
      <c r="H627" s="19">
        <f t="shared" si="10"/>
        <v>6</v>
      </c>
    </row>
    <row r="628" spans="6:8" ht="15.6" x14ac:dyDescent="0.3">
      <c r="F628" s="19">
        <v>623</v>
      </c>
      <c r="G628" s="22">
        <v>45308</v>
      </c>
      <c r="H628" s="19">
        <f t="shared" si="10"/>
        <v>6</v>
      </c>
    </row>
    <row r="629" spans="6:8" ht="15.6" x14ac:dyDescent="0.3">
      <c r="F629" s="19">
        <v>624</v>
      </c>
      <c r="G629" s="22">
        <v>45307</v>
      </c>
      <c r="H629" s="19">
        <f t="shared" si="10"/>
        <v>6</v>
      </c>
    </row>
    <row r="630" spans="6:8" ht="15.6" x14ac:dyDescent="0.3">
      <c r="F630" s="19">
        <v>625</v>
      </c>
      <c r="G630" s="22">
        <v>45306</v>
      </c>
      <c r="H630" s="19">
        <f t="shared" si="10"/>
        <v>6</v>
      </c>
    </row>
    <row r="631" spans="6:8" ht="15.6" x14ac:dyDescent="0.3">
      <c r="F631" s="19">
        <v>626</v>
      </c>
      <c r="G631" s="22">
        <v>45305</v>
      </c>
      <c r="H631" s="19">
        <f t="shared" si="10"/>
        <v>6</v>
      </c>
    </row>
    <row r="632" spans="6:8" ht="15.6" x14ac:dyDescent="0.3">
      <c r="F632" s="19">
        <v>627</v>
      </c>
      <c r="G632" s="22">
        <v>45304</v>
      </c>
      <c r="H632" s="19">
        <f t="shared" si="10"/>
        <v>6</v>
      </c>
    </row>
    <row r="633" spans="6:8" ht="15.6" x14ac:dyDescent="0.3">
      <c r="F633" s="19">
        <v>628</v>
      </c>
      <c r="G633" s="22">
        <v>45303</v>
      </c>
      <c r="H633" s="19">
        <f t="shared" si="10"/>
        <v>6</v>
      </c>
    </row>
    <row r="634" spans="6:8" ht="15.6" x14ac:dyDescent="0.3">
      <c r="F634" s="19">
        <v>629</v>
      </c>
      <c r="G634" s="22">
        <v>45302</v>
      </c>
      <c r="H634" s="19">
        <f t="shared" si="10"/>
        <v>6</v>
      </c>
    </row>
    <row r="635" spans="6:8" ht="15.6" x14ac:dyDescent="0.3">
      <c r="F635" s="19">
        <v>630</v>
      </c>
      <c r="G635" s="22">
        <v>45301</v>
      </c>
      <c r="H635" s="19">
        <f t="shared" si="10"/>
        <v>6</v>
      </c>
    </row>
    <row r="636" spans="6:8" ht="15.6" x14ac:dyDescent="0.3">
      <c r="F636" s="19">
        <v>631</v>
      </c>
      <c r="G636" s="22">
        <v>45300</v>
      </c>
      <c r="H636" s="19">
        <f t="shared" si="10"/>
        <v>6</v>
      </c>
    </row>
    <row r="637" spans="6:8" ht="15.6" x14ac:dyDescent="0.3">
      <c r="F637" s="19">
        <v>632</v>
      </c>
      <c r="G637" s="22">
        <v>45299</v>
      </c>
      <c r="H637" s="19">
        <f t="shared" si="10"/>
        <v>6</v>
      </c>
    </row>
    <row r="638" spans="6:8" ht="15.6" x14ac:dyDescent="0.3">
      <c r="F638" s="19">
        <v>633</v>
      </c>
      <c r="G638" s="22">
        <v>45298</v>
      </c>
      <c r="H638" s="19">
        <f t="shared" si="10"/>
        <v>6</v>
      </c>
    </row>
    <row r="639" spans="6:8" ht="15.6" x14ac:dyDescent="0.3">
      <c r="F639" s="19">
        <v>634</v>
      </c>
      <c r="G639" s="22">
        <v>45297</v>
      </c>
      <c r="H639" s="19">
        <f t="shared" si="10"/>
        <v>6</v>
      </c>
    </row>
    <row r="640" spans="6:8" ht="15.6" x14ac:dyDescent="0.3">
      <c r="F640" s="19">
        <v>635</v>
      </c>
      <c r="G640" s="22">
        <v>45296</v>
      </c>
      <c r="H640" s="19">
        <f t="shared" si="10"/>
        <v>6</v>
      </c>
    </row>
    <row r="641" spans="6:8" ht="15.6" x14ac:dyDescent="0.3">
      <c r="F641" s="19">
        <v>636</v>
      </c>
      <c r="G641" s="22">
        <v>45295</v>
      </c>
      <c r="H641" s="19">
        <f t="shared" si="10"/>
        <v>6</v>
      </c>
    </row>
    <row r="642" spans="6:8" ht="15.6" x14ac:dyDescent="0.3">
      <c r="F642" s="19">
        <v>637</v>
      </c>
      <c r="G642" s="22">
        <v>45294</v>
      </c>
      <c r="H642" s="19">
        <f t="shared" si="10"/>
        <v>6</v>
      </c>
    </row>
    <row r="643" spans="6:8" ht="15.6" x14ac:dyDescent="0.3">
      <c r="F643" s="19">
        <v>638</v>
      </c>
      <c r="G643" s="22">
        <v>45293</v>
      </c>
      <c r="H643" s="19">
        <f t="shared" si="10"/>
        <v>6</v>
      </c>
    </row>
    <row r="644" spans="6:8" ht="15.6" x14ac:dyDescent="0.3">
      <c r="F644" s="19">
        <v>639</v>
      </c>
      <c r="G644" s="22">
        <v>45292</v>
      </c>
      <c r="H644" s="19">
        <f t="shared" si="10"/>
        <v>6</v>
      </c>
    </row>
    <row r="645" spans="6:8" ht="15.6" x14ac:dyDescent="0.3">
      <c r="F645" s="19">
        <v>640</v>
      </c>
      <c r="G645" s="22">
        <v>45291</v>
      </c>
      <c r="H645" s="19">
        <f t="shared" si="10"/>
        <v>6</v>
      </c>
    </row>
    <row r="646" spans="6:8" ht="15.6" x14ac:dyDescent="0.3">
      <c r="F646" s="19">
        <v>641</v>
      </c>
      <c r="G646" s="22">
        <v>45290</v>
      </c>
      <c r="H646" s="19">
        <f t="shared" si="10"/>
        <v>6</v>
      </c>
    </row>
    <row r="647" spans="6:8" ht="15.6" x14ac:dyDescent="0.3">
      <c r="F647" s="19">
        <v>642</v>
      </c>
      <c r="G647" s="22">
        <v>45289</v>
      </c>
      <c r="H647" s="19">
        <f t="shared" ref="H647:H710" si="11">_xlfn.XLOOKUP(G647,$B$6:$B$39,$C$6:$C$39,,-1)</f>
        <v>6</v>
      </c>
    </row>
    <row r="648" spans="6:8" ht="15.6" x14ac:dyDescent="0.3">
      <c r="F648" s="19">
        <v>643</v>
      </c>
      <c r="G648" s="22">
        <v>45288</v>
      </c>
      <c r="H648" s="19">
        <f t="shared" si="11"/>
        <v>6</v>
      </c>
    </row>
    <row r="649" spans="6:8" ht="15.6" x14ac:dyDescent="0.3">
      <c r="F649" s="19">
        <v>644</v>
      </c>
      <c r="G649" s="22">
        <v>45287</v>
      </c>
      <c r="H649" s="19">
        <f t="shared" si="11"/>
        <v>6</v>
      </c>
    </row>
    <row r="650" spans="6:8" ht="15.6" x14ac:dyDescent="0.3">
      <c r="F650" s="19">
        <v>645</v>
      </c>
      <c r="G650" s="22">
        <v>45286</v>
      </c>
      <c r="H650" s="19">
        <f t="shared" si="11"/>
        <v>6</v>
      </c>
    </row>
    <row r="651" spans="6:8" ht="15.6" x14ac:dyDescent="0.3">
      <c r="F651" s="19">
        <v>646</v>
      </c>
      <c r="G651" s="22">
        <v>45285</v>
      </c>
      <c r="H651" s="19">
        <f t="shared" si="11"/>
        <v>6</v>
      </c>
    </row>
    <row r="652" spans="6:8" ht="15.6" x14ac:dyDescent="0.3">
      <c r="F652" s="19">
        <v>647</v>
      </c>
      <c r="G652" s="22">
        <v>45284</v>
      </c>
      <c r="H652" s="19">
        <f t="shared" si="11"/>
        <v>6</v>
      </c>
    </row>
    <row r="653" spans="6:8" ht="15.6" x14ac:dyDescent="0.3">
      <c r="F653" s="19">
        <v>648</v>
      </c>
      <c r="G653" s="22">
        <v>45283</v>
      </c>
      <c r="H653" s="19">
        <f t="shared" si="11"/>
        <v>6</v>
      </c>
    </row>
    <row r="654" spans="6:8" ht="15.6" x14ac:dyDescent="0.3">
      <c r="F654" s="19">
        <v>649</v>
      </c>
      <c r="G654" s="22">
        <v>45282</v>
      </c>
      <c r="H654" s="19">
        <f t="shared" si="11"/>
        <v>6</v>
      </c>
    </row>
    <row r="655" spans="6:8" ht="15.6" x14ac:dyDescent="0.3">
      <c r="F655" s="19">
        <v>650</v>
      </c>
      <c r="G655" s="22">
        <v>45281</v>
      </c>
      <c r="H655" s="19">
        <f t="shared" si="11"/>
        <v>6</v>
      </c>
    </row>
    <row r="656" spans="6:8" ht="15.6" x14ac:dyDescent="0.3">
      <c r="F656" s="19">
        <v>651</v>
      </c>
      <c r="G656" s="22">
        <v>45280</v>
      </c>
      <c r="H656" s="19">
        <f t="shared" si="11"/>
        <v>6</v>
      </c>
    </row>
    <row r="657" spans="6:8" ht="15.6" x14ac:dyDescent="0.3">
      <c r="F657" s="19">
        <v>652</v>
      </c>
      <c r="G657" s="22">
        <v>45279</v>
      </c>
      <c r="H657" s="19">
        <f t="shared" si="11"/>
        <v>6</v>
      </c>
    </row>
    <row r="658" spans="6:8" ht="15.6" x14ac:dyDescent="0.3">
      <c r="F658" s="19">
        <v>653</v>
      </c>
      <c r="G658" s="22">
        <v>45278</v>
      </c>
      <c r="H658" s="19">
        <f t="shared" si="11"/>
        <v>6</v>
      </c>
    </row>
    <row r="659" spans="6:8" ht="15.6" x14ac:dyDescent="0.3">
      <c r="F659" s="19">
        <v>654</v>
      </c>
      <c r="G659" s="22">
        <v>45277</v>
      </c>
      <c r="H659" s="19">
        <f t="shared" si="11"/>
        <v>6</v>
      </c>
    </row>
    <row r="660" spans="6:8" ht="15.6" x14ac:dyDescent="0.3">
      <c r="F660" s="19">
        <v>655</v>
      </c>
      <c r="G660" s="22">
        <v>45276</v>
      </c>
      <c r="H660" s="19">
        <f t="shared" si="11"/>
        <v>6</v>
      </c>
    </row>
    <row r="661" spans="6:8" ht="15.6" x14ac:dyDescent="0.3">
      <c r="F661" s="19">
        <v>656</v>
      </c>
      <c r="G661" s="22">
        <v>45275</v>
      </c>
      <c r="H661" s="19">
        <f t="shared" si="11"/>
        <v>6</v>
      </c>
    </row>
    <row r="662" spans="6:8" ht="15.6" x14ac:dyDescent="0.3">
      <c r="F662" s="19">
        <v>657</v>
      </c>
      <c r="G662" s="22">
        <v>45274</v>
      </c>
      <c r="H662" s="19">
        <f t="shared" si="11"/>
        <v>6</v>
      </c>
    </row>
    <row r="663" spans="6:8" ht="15.6" x14ac:dyDescent="0.3">
      <c r="F663" s="19">
        <v>658</v>
      </c>
      <c r="G663" s="22">
        <v>45273</v>
      </c>
      <c r="H663" s="19">
        <f t="shared" si="11"/>
        <v>6</v>
      </c>
    </row>
    <row r="664" spans="6:8" ht="15.6" x14ac:dyDescent="0.3">
      <c r="F664" s="19">
        <v>659</v>
      </c>
      <c r="G664" s="22">
        <v>45272</v>
      </c>
      <c r="H664" s="19">
        <f t="shared" si="11"/>
        <v>6</v>
      </c>
    </row>
    <row r="665" spans="6:8" ht="15.6" x14ac:dyDescent="0.3">
      <c r="F665" s="19">
        <v>660</v>
      </c>
      <c r="G665" s="22">
        <v>45271</v>
      </c>
      <c r="H665" s="19">
        <f t="shared" si="11"/>
        <v>6</v>
      </c>
    </row>
    <row r="666" spans="6:8" ht="15.6" x14ac:dyDescent="0.3">
      <c r="F666" s="19">
        <v>661</v>
      </c>
      <c r="G666" s="22">
        <v>45270</v>
      </c>
      <c r="H666" s="19">
        <f t="shared" si="11"/>
        <v>6</v>
      </c>
    </row>
    <row r="667" spans="6:8" ht="15.6" x14ac:dyDescent="0.3">
      <c r="F667" s="19">
        <v>662</v>
      </c>
      <c r="G667" s="22">
        <v>45269</v>
      </c>
      <c r="H667" s="19">
        <f t="shared" si="11"/>
        <v>6</v>
      </c>
    </row>
    <row r="668" spans="6:8" ht="15.6" x14ac:dyDescent="0.3">
      <c r="F668" s="19">
        <v>663</v>
      </c>
      <c r="G668" s="22">
        <v>45268</v>
      </c>
      <c r="H668" s="19">
        <f t="shared" si="11"/>
        <v>6</v>
      </c>
    </row>
    <row r="669" spans="6:8" ht="15.6" x14ac:dyDescent="0.3">
      <c r="F669" s="19">
        <v>664</v>
      </c>
      <c r="G669" s="22">
        <v>45267</v>
      </c>
      <c r="H669" s="19">
        <f t="shared" si="11"/>
        <v>6</v>
      </c>
    </row>
    <row r="670" spans="6:8" ht="15.6" x14ac:dyDescent="0.3">
      <c r="F670" s="19">
        <v>665</v>
      </c>
      <c r="G670" s="22">
        <v>45266</v>
      </c>
      <c r="H670" s="19">
        <f t="shared" si="11"/>
        <v>6</v>
      </c>
    </row>
    <row r="671" spans="6:8" ht="15.6" x14ac:dyDescent="0.3">
      <c r="F671" s="19">
        <v>666</v>
      </c>
      <c r="G671" s="22">
        <v>45265</v>
      </c>
      <c r="H671" s="19">
        <f t="shared" si="11"/>
        <v>6</v>
      </c>
    </row>
    <row r="672" spans="6:8" ht="15.6" x14ac:dyDescent="0.3">
      <c r="F672" s="19">
        <v>667</v>
      </c>
      <c r="G672" s="22">
        <v>45264</v>
      </c>
      <c r="H672" s="19">
        <f t="shared" si="11"/>
        <v>6</v>
      </c>
    </row>
    <row r="673" spans="6:8" ht="15.6" x14ac:dyDescent="0.3">
      <c r="F673" s="19">
        <v>668</v>
      </c>
      <c r="G673" s="22">
        <v>45263</v>
      </c>
      <c r="H673" s="19">
        <f t="shared" si="11"/>
        <v>6</v>
      </c>
    </row>
    <row r="674" spans="6:8" ht="15.6" x14ac:dyDescent="0.3">
      <c r="F674" s="19">
        <v>669</v>
      </c>
      <c r="G674" s="22">
        <v>45262</v>
      </c>
      <c r="H674" s="19">
        <f t="shared" si="11"/>
        <v>6</v>
      </c>
    </row>
    <row r="675" spans="6:8" ht="15.6" x14ac:dyDescent="0.3">
      <c r="F675" s="19">
        <v>670</v>
      </c>
      <c r="G675" s="22">
        <v>45261</v>
      </c>
      <c r="H675" s="19">
        <f t="shared" si="11"/>
        <v>6</v>
      </c>
    </row>
    <row r="676" spans="6:8" ht="15.6" x14ac:dyDescent="0.3">
      <c r="F676" s="19">
        <v>671</v>
      </c>
      <c r="G676" s="22">
        <v>45260</v>
      </c>
      <c r="H676" s="19">
        <f t="shared" si="11"/>
        <v>6</v>
      </c>
    </row>
    <row r="677" spans="6:8" ht="15.6" x14ac:dyDescent="0.3">
      <c r="F677" s="19">
        <v>672</v>
      </c>
      <c r="G677" s="22">
        <v>45259</v>
      </c>
      <c r="H677" s="19">
        <f t="shared" si="11"/>
        <v>6</v>
      </c>
    </row>
    <row r="678" spans="6:8" ht="15.6" x14ac:dyDescent="0.3">
      <c r="F678" s="19">
        <v>673</v>
      </c>
      <c r="G678" s="22">
        <v>45258</v>
      </c>
      <c r="H678" s="19">
        <f t="shared" si="11"/>
        <v>6</v>
      </c>
    </row>
    <row r="679" spans="6:8" ht="15.6" x14ac:dyDescent="0.3">
      <c r="F679" s="19">
        <v>674</v>
      </c>
      <c r="G679" s="22">
        <v>45257</v>
      </c>
      <c r="H679" s="19">
        <f t="shared" si="11"/>
        <v>6</v>
      </c>
    </row>
    <row r="680" spans="6:8" ht="15.6" x14ac:dyDescent="0.3">
      <c r="F680" s="19">
        <v>675</v>
      </c>
      <c r="G680" s="22">
        <v>45256</v>
      </c>
      <c r="H680" s="19">
        <f t="shared" si="11"/>
        <v>6</v>
      </c>
    </row>
    <row r="681" spans="6:8" ht="15.6" x14ac:dyDescent="0.3">
      <c r="F681" s="19">
        <v>676</v>
      </c>
      <c r="G681" s="22">
        <v>45255</v>
      </c>
      <c r="H681" s="19">
        <f t="shared" si="11"/>
        <v>6</v>
      </c>
    </row>
    <row r="682" spans="6:8" ht="15.6" x14ac:dyDescent="0.3">
      <c r="F682" s="19">
        <v>677</v>
      </c>
      <c r="G682" s="22">
        <v>45254</v>
      </c>
      <c r="H682" s="19">
        <f t="shared" si="11"/>
        <v>6</v>
      </c>
    </row>
    <row r="683" spans="6:8" ht="15.6" x14ac:dyDescent="0.3">
      <c r="F683" s="19">
        <v>678</v>
      </c>
      <c r="G683" s="22">
        <v>45253</v>
      </c>
      <c r="H683" s="19">
        <f t="shared" si="11"/>
        <v>6</v>
      </c>
    </row>
    <row r="684" spans="6:8" ht="15.6" x14ac:dyDescent="0.3">
      <c r="F684" s="19">
        <v>679</v>
      </c>
      <c r="G684" s="22">
        <v>45252</v>
      </c>
      <c r="H684" s="19">
        <f t="shared" si="11"/>
        <v>6</v>
      </c>
    </row>
    <row r="685" spans="6:8" ht="15.6" x14ac:dyDescent="0.3">
      <c r="F685" s="19">
        <v>680</v>
      </c>
      <c r="G685" s="22">
        <v>45251</v>
      </c>
      <c r="H685" s="19">
        <f t="shared" si="11"/>
        <v>6</v>
      </c>
    </row>
    <row r="686" spans="6:8" ht="15.6" x14ac:dyDescent="0.3">
      <c r="F686" s="19">
        <v>681</v>
      </c>
      <c r="G686" s="22">
        <v>45250</v>
      </c>
      <c r="H686" s="19">
        <f t="shared" si="11"/>
        <v>6</v>
      </c>
    </row>
    <row r="687" spans="6:8" ht="15.6" x14ac:dyDescent="0.3">
      <c r="F687" s="19">
        <v>682</v>
      </c>
      <c r="G687" s="22">
        <v>45249</v>
      </c>
      <c r="H687" s="19">
        <f t="shared" si="11"/>
        <v>6</v>
      </c>
    </row>
    <row r="688" spans="6:8" ht="15.6" x14ac:dyDescent="0.3">
      <c r="F688" s="19">
        <v>683</v>
      </c>
      <c r="G688" s="22">
        <v>45248</v>
      </c>
      <c r="H688" s="19">
        <f t="shared" si="11"/>
        <v>6</v>
      </c>
    </row>
    <row r="689" spans="6:8" ht="15.6" x14ac:dyDescent="0.3">
      <c r="F689" s="19">
        <v>684</v>
      </c>
      <c r="G689" s="22">
        <v>45247</v>
      </c>
      <c r="H689" s="19">
        <f t="shared" si="11"/>
        <v>6</v>
      </c>
    </row>
    <row r="690" spans="6:8" ht="15.6" x14ac:dyDescent="0.3">
      <c r="F690" s="19">
        <v>685</v>
      </c>
      <c r="G690" s="22">
        <v>45246</v>
      </c>
      <c r="H690" s="19">
        <f t="shared" si="11"/>
        <v>6</v>
      </c>
    </row>
    <row r="691" spans="6:8" ht="15.6" x14ac:dyDescent="0.3">
      <c r="F691" s="19">
        <v>686</v>
      </c>
      <c r="G691" s="22">
        <v>45245</v>
      </c>
      <c r="H691" s="19">
        <f t="shared" si="11"/>
        <v>6</v>
      </c>
    </row>
    <row r="692" spans="6:8" ht="15.6" x14ac:dyDescent="0.3">
      <c r="F692" s="19">
        <v>687</v>
      </c>
      <c r="G692" s="22">
        <v>45244</v>
      </c>
      <c r="H692" s="19">
        <f t="shared" si="11"/>
        <v>6</v>
      </c>
    </row>
    <row r="693" spans="6:8" ht="15.6" x14ac:dyDescent="0.3">
      <c r="F693" s="19">
        <v>688</v>
      </c>
      <c r="G693" s="22">
        <v>45243</v>
      </c>
      <c r="H693" s="19">
        <f t="shared" si="11"/>
        <v>6</v>
      </c>
    </row>
    <row r="694" spans="6:8" ht="15.6" x14ac:dyDescent="0.3">
      <c r="F694" s="19">
        <v>689</v>
      </c>
      <c r="G694" s="22">
        <v>45242</v>
      </c>
      <c r="H694" s="19">
        <f t="shared" si="11"/>
        <v>6</v>
      </c>
    </row>
    <row r="695" spans="6:8" ht="15.6" x14ac:dyDescent="0.3">
      <c r="F695" s="19">
        <v>690</v>
      </c>
      <c r="G695" s="22">
        <v>45241</v>
      </c>
      <c r="H695" s="19">
        <f t="shared" si="11"/>
        <v>6</v>
      </c>
    </row>
    <row r="696" spans="6:8" ht="15.6" x14ac:dyDescent="0.3">
      <c r="F696" s="19">
        <v>691</v>
      </c>
      <c r="G696" s="22">
        <v>45240</v>
      </c>
      <c r="H696" s="19">
        <f t="shared" si="11"/>
        <v>6</v>
      </c>
    </row>
    <row r="697" spans="6:8" ht="15.6" x14ac:dyDescent="0.3">
      <c r="F697" s="19">
        <v>692</v>
      </c>
      <c r="G697" s="22">
        <v>45239</v>
      </c>
      <c r="H697" s="19">
        <f t="shared" si="11"/>
        <v>6</v>
      </c>
    </row>
    <row r="698" spans="6:8" ht="15.6" x14ac:dyDescent="0.3">
      <c r="F698" s="19">
        <v>693</v>
      </c>
      <c r="G698" s="22">
        <v>45238</v>
      </c>
      <c r="H698" s="19">
        <f t="shared" si="11"/>
        <v>6</v>
      </c>
    </row>
    <row r="699" spans="6:8" ht="15.6" x14ac:dyDescent="0.3">
      <c r="F699" s="19">
        <v>694</v>
      </c>
      <c r="G699" s="22">
        <v>45237</v>
      </c>
      <c r="H699" s="19">
        <f t="shared" si="11"/>
        <v>6</v>
      </c>
    </row>
    <row r="700" spans="6:8" ht="15.6" x14ac:dyDescent="0.3">
      <c r="F700" s="19">
        <v>695</v>
      </c>
      <c r="G700" s="22">
        <v>45236</v>
      </c>
      <c r="H700" s="19">
        <f t="shared" si="11"/>
        <v>6</v>
      </c>
    </row>
    <row r="701" spans="6:8" ht="15.6" x14ac:dyDescent="0.3">
      <c r="F701" s="19">
        <v>696</v>
      </c>
      <c r="G701" s="22">
        <v>45235</v>
      </c>
      <c r="H701" s="19">
        <f t="shared" si="11"/>
        <v>6</v>
      </c>
    </row>
    <row r="702" spans="6:8" ht="15.6" x14ac:dyDescent="0.3">
      <c r="F702" s="19">
        <v>697</v>
      </c>
      <c r="G702" s="22">
        <v>45234</v>
      </c>
      <c r="H702" s="19">
        <f t="shared" si="11"/>
        <v>6</v>
      </c>
    </row>
    <row r="703" spans="6:8" ht="15.6" x14ac:dyDescent="0.3">
      <c r="F703" s="19">
        <v>698</v>
      </c>
      <c r="G703" s="22">
        <v>45233</v>
      </c>
      <c r="H703" s="19">
        <f t="shared" si="11"/>
        <v>6</v>
      </c>
    </row>
    <row r="704" spans="6:8" ht="15.6" x14ac:dyDescent="0.3">
      <c r="F704" s="19">
        <v>699</v>
      </c>
      <c r="G704" s="22">
        <v>45232</v>
      </c>
      <c r="H704" s="19">
        <f t="shared" si="11"/>
        <v>6</v>
      </c>
    </row>
    <row r="705" spans="6:8" ht="15.6" x14ac:dyDescent="0.3">
      <c r="F705" s="19">
        <v>700</v>
      </c>
      <c r="G705" s="22">
        <v>45231</v>
      </c>
      <c r="H705" s="19">
        <f t="shared" si="11"/>
        <v>6</v>
      </c>
    </row>
    <row r="706" spans="6:8" ht="15.6" x14ac:dyDescent="0.3">
      <c r="F706" s="19">
        <v>701</v>
      </c>
      <c r="G706" s="22">
        <v>45230</v>
      </c>
      <c r="H706" s="19">
        <f t="shared" si="11"/>
        <v>6</v>
      </c>
    </row>
    <row r="707" spans="6:8" ht="15.6" x14ac:dyDescent="0.3">
      <c r="F707" s="19">
        <v>702</v>
      </c>
      <c r="G707" s="22">
        <v>45229</v>
      </c>
      <c r="H707" s="19">
        <f t="shared" si="11"/>
        <v>6</v>
      </c>
    </row>
    <row r="708" spans="6:8" ht="15.6" x14ac:dyDescent="0.3">
      <c r="F708" s="19">
        <v>703</v>
      </c>
      <c r="G708" s="22">
        <v>45228</v>
      </c>
      <c r="H708" s="19">
        <f t="shared" si="11"/>
        <v>6</v>
      </c>
    </row>
    <row r="709" spans="6:8" ht="15.6" x14ac:dyDescent="0.3">
      <c r="F709" s="19">
        <v>704</v>
      </c>
      <c r="G709" s="22">
        <v>45227</v>
      </c>
      <c r="H709" s="19">
        <f t="shared" si="11"/>
        <v>6</v>
      </c>
    </row>
    <row r="710" spans="6:8" ht="15.6" x14ac:dyDescent="0.3">
      <c r="F710" s="19">
        <v>705</v>
      </c>
      <c r="G710" s="22">
        <v>45226</v>
      </c>
      <c r="H710" s="19">
        <f t="shared" si="11"/>
        <v>6</v>
      </c>
    </row>
    <row r="711" spans="6:8" ht="15.6" x14ac:dyDescent="0.3">
      <c r="F711" s="19">
        <v>706</v>
      </c>
      <c r="G711" s="22">
        <v>45225</v>
      </c>
      <c r="H711" s="19">
        <f t="shared" ref="H711:H774" si="12">_xlfn.XLOOKUP(G711,$B$6:$B$39,$C$6:$C$39,,-1)</f>
        <v>6</v>
      </c>
    </row>
    <row r="712" spans="6:8" ht="15.6" x14ac:dyDescent="0.3">
      <c r="F712" s="19">
        <v>707</v>
      </c>
      <c r="G712" s="22">
        <v>45224</v>
      </c>
      <c r="H712" s="19">
        <f t="shared" si="12"/>
        <v>6</v>
      </c>
    </row>
    <row r="713" spans="6:8" ht="15.6" x14ac:dyDescent="0.3">
      <c r="F713" s="19">
        <v>708</v>
      </c>
      <c r="G713" s="22">
        <v>45223</v>
      </c>
      <c r="H713" s="19">
        <f t="shared" si="12"/>
        <v>6</v>
      </c>
    </row>
    <row r="714" spans="6:8" ht="15.6" x14ac:dyDescent="0.3">
      <c r="F714" s="19">
        <v>709</v>
      </c>
      <c r="G714" s="22">
        <v>45222</v>
      </c>
      <c r="H714" s="19">
        <f t="shared" si="12"/>
        <v>6</v>
      </c>
    </row>
    <row r="715" spans="6:8" ht="15.6" x14ac:dyDescent="0.3">
      <c r="F715" s="19">
        <v>710</v>
      </c>
      <c r="G715" s="22">
        <v>45221</v>
      </c>
      <c r="H715" s="19">
        <f t="shared" si="12"/>
        <v>6</v>
      </c>
    </row>
    <row r="716" spans="6:8" ht="15.6" x14ac:dyDescent="0.3">
      <c r="F716" s="19">
        <v>711</v>
      </c>
      <c r="G716" s="22">
        <v>45220</v>
      </c>
      <c r="H716" s="19">
        <f t="shared" si="12"/>
        <v>6</v>
      </c>
    </row>
    <row r="717" spans="6:8" ht="15.6" x14ac:dyDescent="0.3">
      <c r="F717" s="19">
        <v>712</v>
      </c>
      <c r="G717" s="22">
        <v>45219</v>
      </c>
      <c r="H717" s="19">
        <f t="shared" si="12"/>
        <v>6</v>
      </c>
    </row>
    <row r="718" spans="6:8" ht="15.6" x14ac:dyDescent="0.3">
      <c r="F718" s="19">
        <v>713</v>
      </c>
      <c r="G718" s="22">
        <v>45218</v>
      </c>
      <c r="H718" s="19">
        <f t="shared" si="12"/>
        <v>6</v>
      </c>
    </row>
    <row r="719" spans="6:8" ht="15.6" x14ac:dyDescent="0.3">
      <c r="F719" s="19">
        <v>714</v>
      </c>
      <c r="G719" s="22">
        <v>45217</v>
      </c>
      <c r="H719" s="19">
        <f t="shared" si="12"/>
        <v>5.75</v>
      </c>
    </row>
    <row r="720" spans="6:8" ht="15.6" x14ac:dyDescent="0.3">
      <c r="F720" s="19">
        <v>715</v>
      </c>
      <c r="G720" s="22">
        <v>45216</v>
      </c>
      <c r="H720" s="19">
        <f t="shared" si="12"/>
        <v>5.75</v>
      </c>
    </row>
    <row r="721" spans="6:8" ht="15.6" x14ac:dyDescent="0.3">
      <c r="F721" s="19">
        <v>716</v>
      </c>
      <c r="G721" s="22">
        <v>45215</v>
      </c>
      <c r="H721" s="19">
        <f t="shared" si="12"/>
        <v>5.75</v>
      </c>
    </row>
    <row r="722" spans="6:8" ht="15.6" x14ac:dyDescent="0.3">
      <c r="F722" s="19">
        <v>717</v>
      </c>
      <c r="G722" s="22">
        <v>45214</v>
      </c>
      <c r="H722" s="19">
        <f t="shared" si="12"/>
        <v>5.75</v>
      </c>
    </row>
    <row r="723" spans="6:8" ht="15.6" x14ac:dyDescent="0.3">
      <c r="F723" s="19">
        <v>718</v>
      </c>
      <c r="G723" s="22">
        <v>45213</v>
      </c>
      <c r="H723" s="19">
        <f t="shared" si="12"/>
        <v>5.75</v>
      </c>
    </row>
    <row r="724" spans="6:8" ht="15.6" x14ac:dyDescent="0.3">
      <c r="F724" s="19">
        <v>719</v>
      </c>
      <c r="G724" s="22">
        <v>45212</v>
      </c>
      <c r="H724" s="19">
        <f t="shared" si="12"/>
        <v>5.75</v>
      </c>
    </row>
    <row r="725" spans="6:8" ht="15.6" x14ac:dyDescent="0.3">
      <c r="F725" s="19">
        <v>720</v>
      </c>
      <c r="G725" s="22">
        <v>45211</v>
      </c>
      <c r="H725" s="19">
        <f t="shared" si="12"/>
        <v>5.75</v>
      </c>
    </row>
    <row r="726" spans="6:8" ht="15.6" x14ac:dyDescent="0.3">
      <c r="F726" s="19">
        <v>721</v>
      </c>
      <c r="G726" s="22">
        <v>45210</v>
      </c>
      <c r="H726" s="19">
        <f t="shared" si="12"/>
        <v>5.75</v>
      </c>
    </row>
    <row r="727" spans="6:8" ht="15.6" x14ac:dyDescent="0.3">
      <c r="F727" s="19">
        <v>722</v>
      </c>
      <c r="G727" s="22">
        <v>45209</v>
      </c>
      <c r="H727" s="19">
        <f t="shared" si="12"/>
        <v>5.75</v>
      </c>
    </row>
    <row r="728" spans="6:8" ht="15.6" x14ac:dyDescent="0.3">
      <c r="F728" s="19">
        <v>723</v>
      </c>
      <c r="G728" s="22">
        <v>45208</v>
      </c>
      <c r="H728" s="19">
        <f t="shared" si="12"/>
        <v>5.75</v>
      </c>
    </row>
    <row r="729" spans="6:8" ht="15.6" x14ac:dyDescent="0.3">
      <c r="F729" s="19">
        <v>724</v>
      </c>
      <c r="G729" s="22">
        <v>45207</v>
      </c>
      <c r="H729" s="19">
        <f t="shared" si="12"/>
        <v>5.75</v>
      </c>
    </row>
    <row r="730" spans="6:8" ht="15.6" x14ac:dyDescent="0.3">
      <c r="F730" s="19">
        <v>725</v>
      </c>
      <c r="G730" s="22">
        <v>45206</v>
      </c>
      <c r="H730" s="19">
        <f t="shared" si="12"/>
        <v>5.75</v>
      </c>
    </row>
    <row r="731" spans="6:8" ht="15.6" x14ac:dyDescent="0.3">
      <c r="F731" s="19">
        <v>726</v>
      </c>
      <c r="G731" s="22">
        <v>45205</v>
      </c>
      <c r="H731" s="19">
        <f t="shared" si="12"/>
        <v>5.75</v>
      </c>
    </row>
    <row r="732" spans="6:8" ht="15.6" x14ac:dyDescent="0.3">
      <c r="F732" s="19">
        <v>727</v>
      </c>
      <c r="G732" s="22">
        <v>45204</v>
      </c>
      <c r="H732" s="19">
        <f t="shared" si="12"/>
        <v>5.75</v>
      </c>
    </row>
    <row r="733" spans="6:8" ht="15.6" x14ac:dyDescent="0.3">
      <c r="F733" s="19">
        <v>728</v>
      </c>
      <c r="G733" s="22">
        <v>45203</v>
      </c>
      <c r="H733" s="19">
        <f t="shared" si="12"/>
        <v>5.75</v>
      </c>
    </row>
    <row r="734" spans="6:8" ht="15.6" x14ac:dyDescent="0.3">
      <c r="F734" s="19">
        <v>729</v>
      </c>
      <c r="G734" s="22">
        <v>45202</v>
      </c>
      <c r="H734" s="19">
        <f t="shared" si="12"/>
        <v>5.75</v>
      </c>
    </row>
    <row r="735" spans="6:8" ht="15.6" x14ac:dyDescent="0.3">
      <c r="F735" s="19">
        <v>730</v>
      </c>
      <c r="G735" s="22">
        <v>45201</v>
      </c>
      <c r="H735" s="19">
        <f t="shared" si="12"/>
        <v>5.75</v>
      </c>
    </row>
    <row r="736" spans="6:8" ht="15.6" x14ac:dyDescent="0.3">
      <c r="F736" s="19">
        <v>731</v>
      </c>
      <c r="G736" s="22">
        <v>45200</v>
      </c>
      <c r="H736" s="19">
        <f t="shared" si="12"/>
        <v>5.75</v>
      </c>
    </row>
    <row r="737" spans="6:8" ht="15.6" x14ac:dyDescent="0.3">
      <c r="F737" s="19">
        <v>732</v>
      </c>
      <c r="G737" s="22">
        <v>45199</v>
      </c>
      <c r="H737" s="19">
        <f t="shared" si="12"/>
        <v>5.75</v>
      </c>
    </row>
    <row r="738" spans="6:8" ht="15.6" x14ac:dyDescent="0.3">
      <c r="F738" s="19">
        <v>733</v>
      </c>
      <c r="G738" s="22">
        <v>45198</v>
      </c>
      <c r="H738" s="19">
        <f t="shared" si="12"/>
        <v>5.75</v>
      </c>
    </row>
    <row r="739" spans="6:8" ht="15.6" x14ac:dyDescent="0.3">
      <c r="F739" s="19">
        <v>734</v>
      </c>
      <c r="G739" s="22">
        <v>45197</v>
      </c>
      <c r="H739" s="19">
        <f t="shared" si="12"/>
        <v>5.75</v>
      </c>
    </row>
    <row r="740" spans="6:8" ht="15.6" x14ac:dyDescent="0.3">
      <c r="F740" s="19">
        <v>735</v>
      </c>
      <c r="G740" s="22">
        <v>45196</v>
      </c>
      <c r="H740" s="19">
        <f t="shared" si="12"/>
        <v>5.75</v>
      </c>
    </row>
    <row r="741" spans="6:8" ht="15.6" x14ac:dyDescent="0.3">
      <c r="F741" s="19">
        <v>736</v>
      </c>
      <c r="G741" s="22">
        <v>45195</v>
      </c>
      <c r="H741" s="19">
        <f t="shared" si="12"/>
        <v>5.75</v>
      </c>
    </row>
    <row r="742" spans="6:8" ht="15.6" x14ac:dyDescent="0.3">
      <c r="F742" s="19">
        <v>737</v>
      </c>
      <c r="G742" s="22">
        <v>45194</v>
      </c>
      <c r="H742" s="19">
        <f t="shared" si="12"/>
        <v>5.75</v>
      </c>
    </row>
    <row r="743" spans="6:8" ht="15.6" x14ac:dyDescent="0.3">
      <c r="F743" s="19">
        <v>738</v>
      </c>
      <c r="G743" s="22">
        <v>45193</v>
      </c>
      <c r="H743" s="19">
        <f t="shared" si="12"/>
        <v>5.75</v>
      </c>
    </row>
    <row r="744" spans="6:8" ht="15.6" x14ac:dyDescent="0.3">
      <c r="F744" s="19">
        <v>739</v>
      </c>
      <c r="G744" s="22">
        <v>45192</v>
      </c>
      <c r="H744" s="19">
        <f t="shared" si="12"/>
        <v>5.75</v>
      </c>
    </row>
    <row r="745" spans="6:8" ht="15.6" x14ac:dyDescent="0.3">
      <c r="F745" s="19">
        <v>740</v>
      </c>
      <c r="G745" s="22">
        <v>45191</v>
      </c>
      <c r="H745" s="19">
        <f t="shared" si="12"/>
        <v>5.75</v>
      </c>
    </row>
    <row r="746" spans="6:8" ht="15.6" x14ac:dyDescent="0.3">
      <c r="F746" s="19">
        <v>741</v>
      </c>
      <c r="G746" s="22">
        <v>45190</v>
      </c>
      <c r="H746" s="19">
        <f t="shared" si="12"/>
        <v>5.75</v>
      </c>
    </row>
    <row r="747" spans="6:8" ht="15.6" x14ac:dyDescent="0.3">
      <c r="F747" s="19">
        <v>742</v>
      </c>
      <c r="G747" s="22">
        <v>45189</v>
      </c>
      <c r="H747" s="19">
        <f t="shared" si="12"/>
        <v>5.75</v>
      </c>
    </row>
    <row r="748" spans="6:8" ht="15.6" x14ac:dyDescent="0.3">
      <c r="F748" s="19">
        <v>743</v>
      </c>
      <c r="G748" s="22">
        <v>45188</v>
      </c>
      <c r="H748" s="19">
        <f t="shared" si="12"/>
        <v>5.75</v>
      </c>
    </row>
    <row r="749" spans="6:8" ht="15.6" x14ac:dyDescent="0.3">
      <c r="F749" s="19">
        <v>744</v>
      </c>
      <c r="G749" s="22">
        <v>45187</v>
      </c>
      <c r="H749" s="19">
        <f t="shared" si="12"/>
        <v>5.75</v>
      </c>
    </row>
    <row r="750" spans="6:8" ht="15.6" x14ac:dyDescent="0.3">
      <c r="F750" s="19">
        <v>745</v>
      </c>
      <c r="G750" s="22">
        <v>45186</v>
      </c>
      <c r="H750" s="19">
        <f t="shared" si="12"/>
        <v>5.75</v>
      </c>
    </row>
    <row r="751" spans="6:8" ht="15.6" x14ac:dyDescent="0.3">
      <c r="F751" s="19">
        <v>746</v>
      </c>
      <c r="G751" s="22">
        <v>45185</v>
      </c>
      <c r="H751" s="19">
        <f t="shared" si="12"/>
        <v>5.75</v>
      </c>
    </row>
    <row r="752" spans="6:8" ht="15.6" x14ac:dyDescent="0.3">
      <c r="F752" s="19">
        <v>747</v>
      </c>
      <c r="G752" s="22">
        <v>45184</v>
      </c>
      <c r="H752" s="19">
        <f t="shared" si="12"/>
        <v>5.75</v>
      </c>
    </row>
    <row r="753" spans="6:8" ht="15.6" x14ac:dyDescent="0.3">
      <c r="F753" s="19">
        <v>748</v>
      </c>
      <c r="G753" s="22">
        <v>45183</v>
      </c>
      <c r="H753" s="19">
        <f t="shared" si="12"/>
        <v>5.75</v>
      </c>
    </row>
    <row r="754" spans="6:8" ht="15.6" x14ac:dyDescent="0.3">
      <c r="F754" s="19">
        <v>749</v>
      </c>
      <c r="G754" s="22">
        <v>45182</v>
      </c>
      <c r="H754" s="19">
        <f t="shared" si="12"/>
        <v>5.75</v>
      </c>
    </row>
    <row r="755" spans="6:8" ht="15.6" x14ac:dyDescent="0.3">
      <c r="F755" s="19">
        <v>750</v>
      </c>
      <c r="G755" s="22">
        <v>45181</v>
      </c>
      <c r="H755" s="19">
        <f t="shared" si="12"/>
        <v>5.75</v>
      </c>
    </row>
    <row r="756" spans="6:8" ht="15.6" x14ac:dyDescent="0.3">
      <c r="F756" s="19">
        <v>751</v>
      </c>
      <c r="G756" s="22">
        <v>45180</v>
      </c>
      <c r="H756" s="19">
        <f t="shared" si="12"/>
        <v>5.75</v>
      </c>
    </row>
    <row r="757" spans="6:8" ht="15.6" x14ac:dyDescent="0.3">
      <c r="F757" s="19">
        <v>752</v>
      </c>
      <c r="G757" s="22">
        <v>45179</v>
      </c>
      <c r="H757" s="19">
        <f t="shared" si="12"/>
        <v>5.75</v>
      </c>
    </row>
    <row r="758" spans="6:8" ht="15.6" x14ac:dyDescent="0.3">
      <c r="F758" s="19">
        <v>753</v>
      </c>
      <c r="G758" s="22">
        <v>45178</v>
      </c>
      <c r="H758" s="19">
        <f t="shared" si="12"/>
        <v>5.75</v>
      </c>
    </row>
    <row r="759" spans="6:8" ht="15.6" x14ac:dyDescent="0.3">
      <c r="F759" s="19">
        <v>754</v>
      </c>
      <c r="G759" s="22">
        <v>45177</v>
      </c>
      <c r="H759" s="19">
        <f t="shared" si="12"/>
        <v>5.75</v>
      </c>
    </row>
    <row r="760" spans="6:8" ht="15.6" x14ac:dyDescent="0.3">
      <c r="F760" s="19">
        <v>755</v>
      </c>
      <c r="G760" s="22">
        <v>45176</v>
      </c>
      <c r="H760" s="19">
        <f t="shared" si="12"/>
        <v>5.75</v>
      </c>
    </row>
    <row r="761" spans="6:8" ht="15.6" x14ac:dyDescent="0.3">
      <c r="F761" s="19">
        <v>756</v>
      </c>
      <c r="G761" s="22">
        <v>45175</v>
      </c>
      <c r="H761" s="19">
        <f t="shared" si="12"/>
        <v>5.75</v>
      </c>
    </row>
    <row r="762" spans="6:8" ht="15.6" x14ac:dyDescent="0.3">
      <c r="F762" s="19">
        <v>757</v>
      </c>
      <c r="G762" s="22">
        <v>45174</v>
      </c>
      <c r="H762" s="19">
        <f t="shared" si="12"/>
        <v>5.75</v>
      </c>
    </row>
    <row r="763" spans="6:8" ht="15.6" x14ac:dyDescent="0.3">
      <c r="F763" s="19">
        <v>758</v>
      </c>
      <c r="G763" s="22">
        <v>45173</v>
      </c>
      <c r="H763" s="19">
        <f t="shared" si="12"/>
        <v>5.75</v>
      </c>
    </row>
    <row r="764" spans="6:8" ht="15.6" x14ac:dyDescent="0.3">
      <c r="F764" s="19">
        <v>759</v>
      </c>
      <c r="G764" s="22">
        <v>45172</v>
      </c>
      <c r="H764" s="19">
        <f t="shared" si="12"/>
        <v>5.75</v>
      </c>
    </row>
    <row r="765" spans="6:8" ht="15.6" x14ac:dyDescent="0.3">
      <c r="F765" s="19">
        <v>760</v>
      </c>
      <c r="G765" s="22">
        <v>45171</v>
      </c>
      <c r="H765" s="19">
        <f t="shared" si="12"/>
        <v>5.75</v>
      </c>
    </row>
    <row r="766" spans="6:8" ht="15.6" x14ac:dyDescent="0.3">
      <c r="F766" s="19">
        <v>761</v>
      </c>
      <c r="G766" s="22">
        <v>45170</v>
      </c>
      <c r="H766" s="19">
        <f t="shared" si="12"/>
        <v>5.75</v>
      </c>
    </row>
    <row r="767" spans="6:8" ht="15.6" x14ac:dyDescent="0.3">
      <c r="F767" s="19">
        <v>762</v>
      </c>
      <c r="G767" s="22">
        <v>45169</v>
      </c>
      <c r="H767" s="19">
        <f t="shared" si="12"/>
        <v>5.75</v>
      </c>
    </row>
    <row r="768" spans="6:8" ht="15.6" x14ac:dyDescent="0.3">
      <c r="F768" s="19">
        <v>763</v>
      </c>
      <c r="G768" s="22">
        <v>45168</v>
      </c>
      <c r="H768" s="19">
        <f t="shared" si="12"/>
        <v>5.75</v>
      </c>
    </row>
    <row r="769" spans="6:8" ht="15.6" x14ac:dyDescent="0.3">
      <c r="F769" s="19">
        <v>764</v>
      </c>
      <c r="G769" s="22">
        <v>45167</v>
      </c>
      <c r="H769" s="19">
        <f t="shared" si="12"/>
        <v>5.75</v>
      </c>
    </row>
    <row r="770" spans="6:8" ht="15.6" x14ac:dyDescent="0.3">
      <c r="F770" s="19">
        <v>765</v>
      </c>
      <c r="G770" s="22">
        <v>45166</v>
      </c>
      <c r="H770" s="19">
        <f t="shared" si="12"/>
        <v>5.75</v>
      </c>
    </row>
    <row r="771" spans="6:8" ht="15.6" x14ac:dyDescent="0.3">
      <c r="F771" s="19">
        <v>766</v>
      </c>
      <c r="G771" s="22">
        <v>45165</v>
      </c>
      <c r="H771" s="19">
        <f t="shared" si="12"/>
        <v>5.75</v>
      </c>
    </row>
    <row r="772" spans="6:8" ht="15.6" x14ac:dyDescent="0.3">
      <c r="F772" s="19">
        <v>767</v>
      </c>
      <c r="G772" s="22">
        <v>45164</v>
      </c>
      <c r="H772" s="19">
        <f t="shared" si="12"/>
        <v>5.75</v>
      </c>
    </row>
    <row r="773" spans="6:8" ht="15.6" x14ac:dyDescent="0.3">
      <c r="F773" s="19">
        <v>768</v>
      </c>
      <c r="G773" s="22">
        <v>45163</v>
      </c>
      <c r="H773" s="19">
        <f t="shared" si="12"/>
        <v>5.75</v>
      </c>
    </row>
    <row r="774" spans="6:8" ht="15.6" x14ac:dyDescent="0.3">
      <c r="F774" s="19">
        <v>769</v>
      </c>
      <c r="G774" s="22">
        <v>45162</v>
      </c>
      <c r="H774" s="19">
        <f t="shared" si="12"/>
        <v>5.75</v>
      </c>
    </row>
    <row r="775" spans="6:8" ht="15.6" x14ac:dyDescent="0.3">
      <c r="F775" s="19">
        <v>770</v>
      </c>
      <c r="G775" s="22">
        <v>45161</v>
      </c>
      <c r="H775" s="19">
        <f t="shared" ref="H775:H838" si="13">_xlfn.XLOOKUP(G775,$B$6:$B$39,$C$6:$C$39,,-1)</f>
        <v>5.75</v>
      </c>
    </row>
    <row r="776" spans="6:8" ht="15.6" x14ac:dyDescent="0.3">
      <c r="F776" s="19">
        <v>771</v>
      </c>
      <c r="G776" s="22">
        <v>45160</v>
      </c>
      <c r="H776" s="19">
        <f t="shared" si="13"/>
        <v>5.75</v>
      </c>
    </row>
    <row r="777" spans="6:8" ht="15.6" x14ac:dyDescent="0.3">
      <c r="F777" s="19">
        <v>772</v>
      </c>
      <c r="G777" s="22">
        <v>45159</v>
      </c>
      <c r="H777" s="19">
        <f t="shared" si="13"/>
        <v>5.75</v>
      </c>
    </row>
    <row r="778" spans="6:8" ht="15.6" x14ac:dyDescent="0.3">
      <c r="F778" s="19">
        <v>773</v>
      </c>
      <c r="G778" s="22">
        <v>45158</v>
      </c>
      <c r="H778" s="19">
        <f t="shared" si="13"/>
        <v>5.75</v>
      </c>
    </row>
    <row r="779" spans="6:8" ht="15.6" x14ac:dyDescent="0.3">
      <c r="F779" s="19">
        <v>774</v>
      </c>
      <c r="G779" s="22">
        <v>45157</v>
      </c>
      <c r="H779" s="19">
        <f t="shared" si="13"/>
        <v>5.75</v>
      </c>
    </row>
    <row r="780" spans="6:8" ht="15.6" x14ac:dyDescent="0.3">
      <c r="F780" s="19">
        <v>775</v>
      </c>
      <c r="G780" s="22">
        <v>45156</v>
      </c>
      <c r="H780" s="19">
        <f t="shared" si="13"/>
        <v>5.75</v>
      </c>
    </row>
    <row r="781" spans="6:8" ht="15.6" x14ac:dyDescent="0.3">
      <c r="F781" s="19">
        <v>776</v>
      </c>
      <c r="G781" s="22">
        <v>45155</v>
      </c>
      <c r="H781" s="19">
        <f t="shared" si="13"/>
        <v>5.75</v>
      </c>
    </row>
    <row r="782" spans="6:8" ht="15.6" x14ac:dyDescent="0.3">
      <c r="F782" s="19">
        <v>777</v>
      </c>
      <c r="G782" s="22">
        <v>45154</v>
      </c>
      <c r="H782" s="19">
        <f t="shared" si="13"/>
        <v>5.75</v>
      </c>
    </row>
    <row r="783" spans="6:8" ht="15.6" x14ac:dyDescent="0.3">
      <c r="F783" s="19">
        <v>778</v>
      </c>
      <c r="G783" s="22">
        <v>45153</v>
      </c>
      <c r="H783" s="19">
        <f t="shared" si="13"/>
        <v>5.75</v>
      </c>
    </row>
    <row r="784" spans="6:8" ht="15.6" x14ac:dyDescent="0.3">
      <c r="F784" s="19">
        <v>779</v>
      </c>
      <c r="G784" s="22">
        <v>45152</v>
      </c>
      <c r="H784" s="19">
        <f t="shared" si="13"/>
        <v>5.75</v>
      </c>
    </row>
    <row r="785" spans="6:8" ht="15.6" x14ac:dyDescent="0.3">
      <c r="F785" s="19">
        <v>780</v>
      </c>
      <c r="G785" s="22">
        <v>45151</v>
      </c>
      <c r="H785" s="19">
        <f t="shared" si="13"/>
        <v>5.75</v>
      </c>
    </row>
    <row r="786" spans="6:8" ht="15.6" x14ac:dyDescent="0.3">
      <c r="F786" s="19">
        <v>781</v>
      </c>
      <c r="G786" s="22">
        <v>45150</v>
      </c>
      <c r="H786" s="19">
        <f t="shared" si="13"/>
        <v>5.75</v>
      </c>
    </row>
    <row r="787" spans="6:8" ht="15.6" x14ac:dyDescent="0.3">
      <c r="F787" s="19">
        <v>782</v>
      </c>
      <c r="G787" s="22">
        <v>45149</v>
      </c>
      <c r="H787" s="19">
        <f t="shared" si="13"/>
        <v>5.75</v>
      </c>
    </row>
    <row r="788" spans="6:8" ht="15.6" x14ac:dyDescent="0.3">
      <c r="F788" s="19">
        <v>783</v>
      </c>
      <c r="G788" s="22">
        <v>45148</v>
      </c>
      <c r="H788" s="19">
        <f t="shared" si="13"/>
        <v>5.75</v>
      </c>
    </row>
    <row r="789" spans="6:8" ht="15.6" x14ac:dyDescent="0.3">
      <c r="F789" s="19">
        <v>784</v>
      </c>
      <c r="G789" s="22">
        <v>45147</v>
      </c>
      <c r="H789" s="19">
        <f t="shared" si="13"/>
        <v>5.75</v>
      </c>
    </row>
    <row r="790" spans="6:8" ht="15.6" x14ac:dyDescent="0.3">
      <c r="F790" s="19">
        <v>785</v>
      </c>
      <c r="G790" s="22">
        <v>45146</v>
      </c>
      <c r="H790" s="19">
        <f t="shared" si="13"/>
        <v>5.75</v>
      </c>
    </row>
    <row r="791" spans="6:8" ht="15.6" x14ac:dyDescent="0.3">
      <c r="F791" s="19">
        <v>786</v>
      </c>
      <c r="G791" s="22">
        <v>45145</v>
      </c>
      <c r="H791" s="19">
        <f t="shared" si="13"/>
        <v>5.75</v>
      </c>
    </row>
    <row r="792" spans="6:8" ht="15.6" x14ac:dyDescent="0.3">
      <c r="F792" s="19">
        <v>787</v>
      </c>
      <c r="G792" s="22">
        <v>45144</v>
      </c>
      <c r="H792" s="19">
        <f t="shared" si="13"/>
        <v>5.75</v>
      </c>
    </row>
    <row r="793" spans="6:8" ht="15.6" x14ac:dyDescent="0.3">
      <c r="F793" s="19">
        <v>788</v>
      </c>
      <c r="G793" s="22">
        <v>45143</v>
      </c>
      <c r="H793" s="19">
        <f t="shared" si="13"/>
        <v>5.75</v>
      </c>
    </row>
    <row r="794" spans="6:8" ht="15.6" x14ac:dyDescent="0.3">
      <c r="F794" s="19">
        <v>789</v>
      </c>
      <c r="G794" s="22">
        <v>45142</v>
      </c>
      <c r="H794" s="19">
        <f t="shared" si="13"/>
        <v>5.75</v>
      </c>
    </row>
    <row r="795" spans="6:8" ht="15.6" x14ac:dyDescent="0.3">
      <c r="F795" s="19">
        <v>790</v>
      </c>
      <c r="G795" s="22">
        <v>45141</v>
      </c>
      <c r="H795" s="19">
        <f t="shared" si="13"/>
        <v>5.75</v>
      </c>
    </row>
    <row r="796" spans="6:8" ht="15.6" x14ac:dyDescent="0.3">
      <c r="F796" s="19">
        <v>791</v>
      </c>
      <c r="G796" s="22">
        <v>45140</v>
      </c>
      <c r="H796" s="19">
        <f t="shared" si="13"/>
        <v>5.75</v>
      </c>
    </row>
    <row r="797" spans="6:8" ht="15.6" x14ac:dyDescent="0.3">
      <c r="F797" s="19">
        <v>792</v>
      </c>
      <c r="G797" s="22">
        <v>45139</v>
      </c>
      <c r="H797" s="19">
        <f t="shared" si="13"/>
        <v>5.75</v>
      </c>
    </row>
    <row r="798" spans="6:8" ht="15.6" x14ac:dyDescent="0.3">
      <c r="F798" s="19">
        <v>793</v>
      </c>
      <c r="G798" s="22">
        <v>45138</v>
      </c>
      <c r="H798" s="19">
        <f t="shared" si="13"/>
        <v>5.75</v>
      </c>
    </row>
    <row r="799" spans="6:8" ht="15.6" x14ac:dyDescent="0.3">
      <c r="F799" s="19">
        <v>794</v>
      </c>
      <c r="G799" s="22">
        <v>45137</v>
      </c>
      <c r="H799" s="19">
        <f t="shared" si="13"/>
        <v>5.75</v>
      </c>
    </row>
    <row r="800" spans="6:8" ht="15.6" x14ac:dyDescent="0.3">
      <c r="F800" s="19">
        <v>795</v>
      </c>
      <c r="G800" s="22">
        <v>45136</v>
      </c>
      <c r="H800" s="19">
        <f t="shared" si="13"/>
        <v>5.75</v>
      </c>
    </row>
    <row r="801" spans="6:8" ht="15.6" x14ac:dyDescent="0.3">
      <c r="F801" s="19">
        <v>796</v>
      </c>
      <c r="G801" s="22">
        <v>45135</v>
      </c>
      <c r="H801" s="19">
        <f t="shared" si="13"/>
        <v>5.75</v>
      </c>
    </row>
    <row r="802" spans="6:8" ht="15.6" x14ac:dyDescent="0.3">
      <c r="F802" s="19">
        <v>797</v>
      </c>
      <c r="G802" s="22">
        <v>45134</v>
      </c>
      <c r="H802" s="19">
        <f t="shared" si="13"/>
        <v>5.75</v>
      </c>
    </row>
    <row r="803" spans="6:8" ht="15.6" x14ac:dyDescent="0.3">
      <c r="F803" s="19">
        <v>798</v>
      </c>
      <c r="G803" s="22">
        <v>45133</v>
      </c>
      <c r="H803" s="19">
        <f t="shared" si="13"/>
        <v>5.75</v>
      </c>
    </row>
    <row r="804" spans="6:8" ht="15.6" x14ac:dyDescent="0.3">
      <c r="F804" s="19">
        <v>799</v>
      </c>
      <c r="G804" s="22">
        <v>45132</v>
      </c>
      <c r="H804" s="19">
        <f t="shared" si="13"/>
        <v>5.75</v>
      </c>
    </row>
    <row r="805" spans="6:8" ht="15.6" x14ac:dyDescent="0.3">
      <c r="F805" s="19">
        <v>800</v>
      </c>
      <c r="G805" s="22">
        <v>45131</v>
      </c>
      <c r="H805" s="19">
        <f t="shared" si="13"/>
        <v>5.75</v>
      </c>
    </row>
    <row r="806" spans="6:8" ht="15.6" x14ac:dyDescent="0.3">
      <c r="F806" s="19">
        <v>801</v>
      </c>
      <c r="G806" s="22">
        <v>45130</v>
      </c>
      <c r="H806" s="19">
        <f t="shared" si="13"/>
        <v>5.75</v>
      </c>
    </row>
    <row r="807" spans="6:8" ht="15.6" x14ac:dyDescent="0.3">
      <c r="F807" s="19">
        <v>802</v>
      </c>
      <c r="G807" s="22">
        <v>45129</v>
      </c>
      <c r="H807" s="19">
        <f t="shared" si="13"/>
        <v>5.75</v>
      </c>
    </row>
    <row r="808" spans="6:8" ht="15.6" x14ac:dyDescent="0.3">
      <c r="F808" s="19">
        <v>803</v>
      </c>
      <c r="G808" s="22">
        <v>45128</v>
      </c>
      <c r="H808" s="19">
        <f t="shared" si="13"/>
        <v>5.75</v>
      </c>
    </row>
    <row r="809" spans="6:8" ht="15.6" x14ac:dyDescent="0.3">
      <c r="F809" s="19">
        <v>804</v>
      </c>
      <c r="G809" s="22">
        <v>45127</v>
      </c>
      <c r="H809" s="19">
        <f t="shared" si="13"/>
        <v>5.75</v>
      </c>
    </row>
    <row r="810" spans="6:8" ht="15.6" x14ac:dyDescent="0.3">
      <c r="F810" s="19">
        <v>805</v>
      </c>
      <c r="G810" s="22">
        <v>45126</v>
      </c>
      <c r="H810" s="19">
        <f t="shared" si="13"/>
        <v>5.75</v>
      </c>
    </row>
    <row r="811" spans="6:8" ht="15.6" x14ac:dyDescent="0.3">
      <c r="F811" s="19">
        <v>806</v>
      </c>
      <c r="G811" s="22">
        <v>45125</v>
      </c>
      <c r="H811" s="19">
        <f t="shared" si="13"/>
        <v>5.75</v>
      </c>
    </row>
    <row r="812" spans="6:8" ht="15.6" x14ac:dyDescent="0.3">
      <c r="F812" s="19">
        <v>807</v>
      </c>
      <c r="G812" s="22">
        <v>45124</v>
      </c>
      <c r="H812" s="19">
        <f t="shared" si="13"/>
        <v>5.75</v>
      </c>
    </row>
    <row r="813" spans="6:8" ht="15.6" x14ac:dyDescent="0.3">
      <c r="F813" s="19">
        <v>808</v>
      </c>
      <c r="G813" s="22">
        <v>45123</v>
      </c>
      <c r="H813" s="19">
        <f t="shared" si="13"/>
        <v>5.75</v>
      </c>
    </row>
    <row r="814" spans="6:8" ht="15.6" x14ac:dyDescent="0.3">
      <c r="F814" s="19">
        <v>809</v>
      </c>
      <c r="G814" s="22">
        <v>45122</v>
      </c>
      <c r="H814" s="19">
        <f t="shared" si="13"/>
        <v>5.75</v>
      </c>
    </row>
    <row r="815" spans="6:8" ht="15.6" x14ac:dyDescent="0.3">
      <c r="F815" s="19">
        <v>810</v>
      </c>
      <c r="G815" s="22">
        <v>45121</v>
      </c>
      <c r="H815" s="19">
        <f t="shared" si="13"/>
        <v>5.75</v>
      </c>
    </row>
    <row r="816" spans="6:8" ht="15.6" x14ac:dyDescent="0.3">
      <c r="F816" s="19">
        <v>811</v>
      </c>
      <c r="G816" s="22">
        <v>45120</v>
      </c>
      <c r="H816" s="19">
        <f t="shared" si="13"/>
        <v>5.75</v>
      </c>
    </row>
    <row r="817" spans="6:8" ht="15.6" x14ac:dyDescent="0.3">
      <c r="F817" s="19">
        <v>812</v>
      </c>
      <c r="G817" s="22">
        <v>45119</v>
      </c>
      <c r="H817" s="19">
        <f t="shared" si="13"/>
        <v>5.75</v>
      </c>
    </row>
    <row r="818" spans="6:8" ht="15.6" x14ac:dyDescent="0.3">
      <c r="F818" s="19">
        <v>813</v>
      </c>
      <c r="G818" s="22">
        <v>45118</v>
      </c>
      <c r="H818" s="19">
        <f t="shared" si="13"/>
        <v>5.75</v>
      </c>
    </row>
    <row r="819" spans="6:8" ht="15.6" x14ac:dyDescent="0.3">
      <c r="F819" s="19">
        <v>814</v>
      </c>
      <c r="G819" s="22">
        <v>45117</v>
      </c>
      <c r="H819" s="19">
        <f t="shared" si="13"/>
        <v>5.75</v>
      </c>
    </row>
    <row r="820" spans="6:8" ht="15.6" x14ac:dyDescent="0.3">
      <c r="F820" s="19">
        <v>815</v>
      </c>
      <c r="G820" s="22">
        <v>45116</v>
      </c>
      <c r="H820" s="19">
        <f t="shared" si="13"/>
        <v>5.75</v>
      </c>
    </row>
    <row r="821" spans="6:8" ht="15.6" x14ac:dyDescent="0.3">
      <c r="F821" s="19">
        <v>816</v>
      </c>
      <c r="G821" s="22">
        <v>45115</v>
      </c>
      <c r="H821" s="19">
        <f t="shared" si="13"/>
        <v>5.75</v>
      </c>
    </row>
    <row r="822" spans="6:8" ht="15.6" x14ac:dyDescent="0.3">
      <c r="F822" s="19">
        <v>817</v>
      </c>
      <c r="G822" s="22">
        <v>45114</v>
      </c>
      <c r="H822" s="19">
        <f t="shared" si="13"/>
        <v>5.75</v>
      </c>
    </row>
    <row r="823" spans="6:8" ht="15.6" x14ac:dyDescent="0.3">
      <c r="F823" s="19">
        <v>818</v>
      </c>
      <c r="G823" s="22">
        <v>45113</v>
      </c>
      <c r="H823" s="19">
        <f t="shared" si="13"/>
        <v>5.75</v>
      </c>
    </row>
    <row r="824" spans="6:8" ht="15.6" x14ac:dyDescent="0.3">
      <c r="F824" s="19">
        <v>819</v>
      </c>
      <c r="G824" s="22">
        <v>45112</v>
      </c>
      <c r="H824" s="19">
        <f t="shared" si="13"/>
        <v>5.75</v>
      </c>
    </row>
    <row r="825" spans="6:8" ht="15.6" x14ac:dyDescent="0.3">
      <c r="F825" s="19">
        <v>820</v>
      </c>
      <c r="G825" s="22">
        <v>45111</v>
      </c>
      <c r="H825" s="19">
        <f t="shared" si="13"/>
        <v>5.75</v>
      </c>
    </row>
    <row r="826" spans="6:8" ht="15.6" x14ac:dyDescent="0.3">
      <c r="F826" s="19">
        <v>821</v>
      </c>
      <c r="G826" s="22">
        <v>45110</v>
      </c>
      <c r="H826" s="19">
        <f t="shared" si="13"/>
        <v>5.75</v>
      </c>
    </row>
    <row r="827" spans="6:8" ht="15.6" x14ac:dyDescent="0.3">
      <c r="F827" s="19">
        <v>822</v>
      </c>
      <c r="G827" s="22">
        <v>45109</v>
      </c>
      <c r="H827" s="19">
        <f t="shared" si="13"/>
        <v>5.75</v>
      </c>
    </row>
    <row r="828" spans="6:8" ht="15.6" x14ac:dyDescent="0.3">
      <c r="F828" s="19">
        <v>823</v>
      </c>
      <c r="G828" s="22">
        <v>45108</v>
      </c>
      <c r="H828" s="19">
        <f t="shared" si="13"/>
        <v>5.75</v>
      </c>
    </row>
    <row r="829" spans="6:8" ht="15.6" x14ac:dyDescent="0.3">
      <c r="F829" s="19">
        <v>824</v>
      </c>
      <c r="G829" s="22">
        <v>45107</v>
      </c>
      <c r="H829" s="19">
        <f t="shared" si="13"/>
        <v>5.75</v>
      </c>
    </row>
    <row r="830" spans="6:8" ht="15.6" x14ac:dyDescent="0.3">
      <c r="F830" s="19">
        <v>825</v>
      </c>
      <c r="G830" s="22">
        <v>45106</v>
      </c>
      <c r="H830" s="19">
        <f t="shared" si="13"/>
        <v>5.75</v>
      </c>
    </row>
    <row r="831" spans="6:8" ht="15.6" x14ac:dyDescent="0.3">
      <c r="F831" s="19">
        <v>826</v>
      </c>
      <c r="G831" s="22">
        <v>45105</v>
      </c>
      <c r="H831" s="19">
        <f t="shared" si="13"/>
        <v>5.75</v>
      </c>
    </row>
    <row r="832" spans="6:8" ht="15.6" x14ac:dyDescent="0.3">
      <c r="F832" s="19">
        <v>827</v>
      </c>
      <c r="G832" s="22">
        <v>45104</v>
      </c>
      <c r="H832" s="19">
        <f t="shared" si="13"/>
        <v>5.75</v>
      </c>
    </row>
    <row r="833" spans="6:8" ht="15.6" x14ac:dyDescent="0.3">
      <c r="F833" s="19">
        <v>828</v>
      </c>
      <c r="G833" s="22">
        <v>45103</v>
      </c>
      <c r="H833" s="19">
        <f t="shared" si="13"/>
        <v>5.75</v>
      </c>
    </row>
    <row r="834" spans="6:8" ht="15.6" x14ac:dyDescent="0.3">
      <c r="F834" s="19">
        <v>829</v>
      </c>
      <c r="G834" s="22">
        <v>45102</v>
      </c>
      <c r="H834" s="19">
        <f t="shared" si="13"/>
        <v>5.75</v>
      </c>
    </row>
    <row r="835" spans="6:8" ht="15.6" x14ac:dyDescent="0.3">
      <c r="F835" s="19">
        <v>830</v>
      </c>
      <c r="G835" s="22">
        <v>45101</v>
      </c>
      <c r="H835" s="19">
        <f t="shared" si="13"/>
        <v>5.75</v>
      </c>
    </row>
    <row r="836" spans="6:8" ht="15.6" x14ac:dyDescent="0.3">
      <c r="F836" s="19">
        <v>831</v>
      </c>
      <c r="G836" s="22">
        <v>45100</v>
      </c>
      <c r="H836" s="19">
        <f t="shared" si="13"/>
        <v>5.75</v>
      </c>
    </row>
    <row r="837" spans="6:8" ht="15.6" x14ac:dyDescent="0.3">
      <c r="F837" s="19">
        <v>832</v>
      </c>
      <c r="G837" s="22">
        <v>45099</v>
      </c>
      <c r="H837" s="19">
        <f t="shared" si="13"/>
        <v>5.75</v>
      </c>
    </row>
    <row r="838" spans="6:8" ht="15.6" x14ac:dyDescent="0.3">
      <c r="F838" s="19">
        <v>833</v>
      </c>
      <c r="G838" s="22">
        <v>45098</v>
      </c>
      <c r="H838" s="19">
        <f t="shared" si="13"/>
        <v>5.75</v>
      </c>
    </row>
    <row r="839" spans="6:8" ht="15.6" x14ac:dyDescent="0.3">
      <c r="F839" s="19">
        <v>834</v>
      </c>
      <c r="G839" s="22">
        <v>45097</v>
      </c>
      <c r="H839" s="19">
        <f t="shared" ref="H839:H902" si="14">_xlfn.XLOOKUP(G839,$B$6:$B$39,$C$6:$C$39,,-1)</f>
        <v>5.75</v>
      </c>
    </row>
    <row r="840" spans="6:8" ht="15.6" x14ac:dyDescent="0.3">
      <c r="F840" s="19">
        <v>835</v>
      </c>
      <c r="G840" s="22">
        <v>45096</v>
      </c>
      <c r="H840" s="19">
        <f t="shared" si="14"/>
        <v>5.75</v>
      </c>
    </row>
    <row r="841" spans="6:8" ht="15.6" x14ac:dyDescent="0.3">
      <c r="F841" s="19">
        <v>836</v>
      </c>
      <c r="G841" s="22">
        <v>45095</v>
      </c>
      <c r="H841" s="19">
        <f t="shared" si="14"/>
        <v>5.75</v>
      </c>
    </row>
    <row r="842" spans="6:8" ht="15.6" x14ac:dyDescent="0.3">
      <c r="F842" s="19">
        <v>837</v>
      </c>
      <c r="G842" s="22">
        <v>45094</v>
      </c>
      <c r="H842" s="19">
        <f t="shared" si="14"/>
        <v>5.75</v>
      </c>
    </row>
    <row r="843" spans="6:8" ht="15.6" x14ac:dyDescent="0.3">
      <c r="F843" s="19">
        <v>838</v>
      </c>
      <c r="G843" s="22">
        <v>45093</v>
      </c>
      <c r="H843" s="19">
        <f t="shared" si="14"/>
        <v>5.75</v>
      </c>
    </row>
    <row r="844" spans="6:8" ht="15.6" x14ac:dyDescent="0.3">
      <c r="F844" s="19">
        <v>839</v>
      </c>
      <c r="G844" s="22">
        <v>45092</v>
      </c>
      <c r="H844" s="19">
        <f t="shared" si="14"/>
        <v>5.75</v>
      </c>
    </row>
    <row r="845" spans="6:8" ht="15.6" x14ac:dyDescent="0.3">
      <c r="F845" s="19">
        <v>840</v>
      </c>
      <c r="G845" s="22">
        <v>45091</v>
      </c>
      <c r="H845" s="19">
        <f t="shared" si="14"/>
        <v>5.75</v>
      </c>
    </row>
    <row r="846" spans="6:8" ht="15.6" x14ac:dyDescent="0.3">
      <c r="F846" s="19">
        <v>841</v>
      </c>
      <c r="G846" s="22">
        <v>45090</v>
      </c>
      <c r="H846" s="19">
        <f t="shared" si="14"/>
        <v>5.75</v>
      </c>
    </row>
    <row r="847" spans="6:8" ht="15.6" x14ac:dyDescent="0.3">
      <c r="F847" s="19">
        <v>842</v>
      </c>
      <c r="G847" s="22">
        <v>45089</v>
      </c>
      <c r="H847" s="19">
        <f t="shared" si="14"/>
        <v>5.75</v>
      </c>
    </row>
    <row r="848" spans="6:8" ht="15.6" x14ac:dyDescent="0.3">
      <c r="F848" s="19">
        <v>843</v>
      </c>
      <c r="G848" s="22">
        <v>45088</v>
      </c>
      <c r="H848" s="19">
        <f t="shared" si="14"/>
        <v>5.75</v>
      </c>
    </row>
    <row r="849" spans="6:8" ht="15.6" x14ac:dyDescent="0.3">
      <c r="F849" s="19">
        <v>844</v>
      </c>
      <c r="G849" s="22">
        <v>45087</v>
      </c>
      <c r="H849" s="19">
        <f t="shared" si="14"/>
        <v>5.75</v>
      </c>
    </row>
    <row r="850" spans="6:8" ht="15.6" x14ac:dyDescent="0.3">
      <c r="F850" s="19">
        <v>845</v>
      </c>
      <c r="G850" s="22">
        <v>45086</v>
      </c>
      <c r="H850" s="19">
        <f t="shared" si="14"/>
        <v>5.75</v>
      </c>
    </row>
    <row r="851" spans="6:8" ht="15.6" x14ac:dyDescent="0.3">
      <c r="F851" s="19">
        <v>846</v>
      </c>
      <c r="G851" s="22">
        <v>45085</v>
      </c>
      <c r="H851" s="19">
        <f t="shared" si="14"/>
        <v>5.75</v>
      </c>
    </row>
    <row r="852" spans="6:8" ht="15.6" x14ac:dyDescent="0.3">
      <c r="F852" s="19">
        <v>847</v>
      </c>
      <c r="G852" s="22">
        <v>45084</v>
      </c>
      <c r="H852" s="19">
        <f t="shared" si="14"/>
        <v>5.75</v>
      </c>
    </row>
    <row r="853" spans="6:8" ht="15.6" x14ac:dyDescent="0.3">
      <c r="F853" s="19">
        <v>848</v>
      </c>
      <c r="G853" s="22">
        <v>45083</v>
      </c>
      <c r="H853" s="19">
        <f t="shared" si="14"/>
        <v>5.75</v>
      </c>
    </row>
    <row r="854" spans="6:8" ht="15.6" x14ac:dyDescent="0.3">
      <c r="F854" s="19">
        <v>849</v>
      </c>
      <c r="G854" s="22">
        <v>45082</v>
      </c>
      <c r="H854" s="19">
        <f t="shared" si="14"/>
        <v>5.75</v>
      </c>
    </row>
    <row r="855" spans="6:8" ht="15.6" x14ac:dyDescent="0.3">
      <c r="F855" s="19">
        <v>850</v>
      </c>
      <c r="G855" s="22">
        <v>45081</v>
      </c>
      <c r="H855" s="19">
        <f t="shared" si="14"/>
        <v>5.75</v>
      </c>
    </row>
    <row r="856" spans="6:8" ht="15.6" x14ac:dyDescent="0.3">
      <c r="F856" s="19">
        <v>851</v>
      </c>
      <c r="G856" s="22">
        <v>45080</v>
      </c>
      <c r="H856" s="19">
        <f t="shared" si="14"/>
        <v>5.75</v>
      </c>
    </row>
    <row r="857" spans="6:8" ht="15.6" x14ac:dyDescent="0.3">
      <c r="F857" s="19">
        <v>852</v>
      </c>
      <c r="G857" s="22">
        <v>45079</v>
      </c>
      <c r="H857" s="19">
        <f t="shared" si="14"/>
        <v>5.75</v>
      </c>
    </row>
    <row r="858" spans="6:8" ht="15.6" x14ac:dyDescent="0.3">
      <c r="F858" s="19">
        <v>853</v>
      </c>
      <c r="G858" s="22">
        <v>45078</v>
      </c>
      <c r="H858" s="19">
        <f t="shared" si="14"/>
        <v>5.75</v>
      </c>
    </row>
    <row r="859" spans="6:8" ht="15.6" x14ac:dyDescent="0.3">
      <c r="F859" s="19">
        <v>854</v>
      </c>
      <c r="G859" s="22">
        <v>45077</v>
      </c>
      <c r="H859" s="19">
        <f t="shared" si="14"/>
        <v>5.75</v>
      </c>
    </row>
    <row r="860" spans="6:8" ht="15.6" x14ac:dyDescent="0.3">
      <c r="F860" s="19">
        <v>855</v>
      </c>
      <c r="G860" s="22">
        <v>45076</v>
      </c>
      <c r="H860" s="19">
        <f t="shared" si="14"/>
        <v>5.75</v>
      </c>
    </row>
    <row r="861" spans="6:8" ht="15.6" x14ac:dyDescent="0.3">
      <c r="F861" s="19">
        <v>856</v>
      </c>
      <c r="G861" s="22">
        <v>45075</v>
      </c>
      <c r="H861" s="19">
        <f t="shared" si="14"/>
        <v>5.75</v>
      </c>
    </row>
    <row r="862" spans="6:8" ht="15.6" x14ac:dyDescent="0.3">
      <c r="F862" s="19">
        <v>857</v>
      </c>
      <c r="G862" s="22">
        <v>45074</v>
      </c>
      <c r="H862" s="19">
        <f t="shared" si="14"/>
        <v>5.75</v>
      </c>
    </row>
    <row r="863" spans="6:8" ht="15.6" x14ac:dyDescent="0.3">
      <c r="F863" s="19">
        <v>858</v>
      </c>
      <c r="G863" s="22">
        <v>45073</v>
      </c>
      <c r="H863" s="19">
        <f t="shared" si="14"/>
        <v>5.75</v>
      </c>
    </row>
    <row r="864" spans="6:8" ht="15.6" x14ac:dyDescent="0.3">
      <c r="F864" s="19">
        <v>859</v>
      </c>
      <c r="G864" s="22">
        <v>45072</v>
      </c>
      <c r="H864" s="19">
        <f t="shared" si="14"/>
        <v>5.75</v>
      </c>
    </row>
    <row r="865" spans="6:8" ht="15.6" x14ac:dyDescent="0.3">
      <c r="F865" s="19">
        <v>860</v>
      </c>
      <c r="G865" s="22">
        <v>45071</v>
      </c>
      <c r="H865" s="19">
        <f t="shared" si="14"/>
        <v>5.75</v>
      </c>
    </row>
    <row r="866" spans="6:8" ht="15.6" x14ac:dyDescent="0.3">
      <c r="F866" s="19">
        <v>861</v>
      </c>
      <c r="G866" s="22">
        <v>45070</v>
      </c>
      <c r="H866" s="19">
        <f t="shared" si="14"/>
        <v>5.75</v>
      </c>
    </row>
    <row r="867" spans="6:8" ht="15.6" x14ac:dyDescent="0.3">
      <c r="F867" s="19">
        <v>862</v>
      </c>
      <c r="G867" s="22">
        <v>45069</v>
      </c>
      <c r="H867" s="19">
        <f t="shared" si="14"/>
        <v>5.75</v>
      </c>
    </row>
    <row r="868" spans="6:8" ht="15.6" x14ac:dyDescent="0.3">
      <c r="F868" s="19">
        <v>863</v>
      </c>
      <c r="G868" s="22">
        <v>45068</v>
      </c>
      <c r="H868" s="19">
        <f t="shared" si="14"/>
        <v>5.75</v>
      </c>
    </row>
    <row r="869" spans="6:8" ht="15.6" x14ac:dyDescent="0.3">
      <c r="F869" s="19">
        <v>864</v>
      </c>
      <c r="G869" s="22">
        <v>45067</v>
      </c>
      <c r="H869" s="19">
        <f t="shared" si="14"/>
        <v>5.75</v>
      </c>
    </row>
    <row r="870" spans="6:8" ht="15.6" x14ac:dyDescent="0.3">
      <c r="F870" s="19">
        <v>865</v>
      </c>
      <c r="G870" s="22">
        <v>45066</v>
      </c>
      <c r="H870" s="19">
        <f t="shared" si="14"/>
        <v>5.75</v>
      </c>
    </row>
    <row r="871" spans="6:8" ht="15.6" x14ac:dyDescent="0.3">
      <c r="F871" s="19">
        <v>866</v>
      </c>
      <c r="G871" s="22">
        <v>45065</v>
      </c>
      <c r="H871" s="19">
        <f t="shared" si="14"/>
        <v>5.75</v>
      </c>
    </row>
    <row r="872" spans="6:8" ht="15.6" x14ac:dyDescent="0.3">
      <c r="F872" s="19">
        <v>867</v>
      </c>
      <c r="G872" s="22">
        <v>45064</v>
      </c>
      <c r="H872" s="19">
        <f t="shared" si="14"/>
        <v>5.75</v>
      </c>
    </row>
    <row r="873" spans="6:8" ht="15.6" x14ac:dyDescent="0.3">
      <c r="F873" s="19">
        <v>868</v>
      </c>
      <c r="G873" s="22">
        <v>45063</v>
      </c>
      <c r="H873" s="19">
        <f t="shared" si="14"/>
        <v>5.75</v>
      </c>
    </row>
    <row r="874" spans="6:8" ht="15.6" x14ac:dyDescent="0.3">
      <c r="F874" s="19">
        <v>869</v>
      </c>
      <c r="G874" s="22">
        <v>45062</v>
      </c>
      <c r="H874" s="19">
        <f t="shared" si="14"/>
        <v>5.75</v>
      </c>
    </row>
    <row r="875" spans="6:8" ht="15.6" x14ac:dyDescent="0.3">
      <c r="F875" s="19">
        <v>870</v>
      </c>
      <c r="G875" s="22">
        <v>45061</v>
      </c>
      <c r="H875" s="19">
        <f t="shared" si="14"/>
        <v>5.75</v>
      </c>
    </row>
    <row r="876" spans="6:8" ht="15.6" x14ac:dyDescent="0.3">
      <c r="F876" s="19">
        <v>871</v>
      </c>
      <c r="G876" s="22">
        <v>45060</v>
      </c>
      <c r="H876" s="19">
        <f t="shared" si="14"/>
        <v>5.75</v>
      </c>
    </row>
    <row r="877" spans="6:8" ht="15.6" x14ac:dyDescent="0.3">
      <c r="F877" s="19">
        <v>872</v>
      </c>
      <c r="G877" s="22">
        <v>45059</v>
      </c>
      <c r="H877" s="19">
        <f t="shared" si="14"/>
        <v>5.75</v>
      </c>
    </row>
    <row r="878" spans="6:8" ht="15.6" x14ac:dyDescent="0.3">
      <c r="F878" s="19">
        <v>873</v>
      </c>
      <c r="G878" s="22">
        <v>45058</v>
      </c>
      <c r="H878" s="19">
        <f t="shared" si="14"/>
        <v>5.75</v>
      </c>
    </row>
    <row r="879" spans="6:8" ht="15.6" x14ac:dyDescent="0.3">
      <c r="F879" s="19">
        <v>874</v>
      </c>
      <c r="G879" s="22">
        <v>45057</v>
      </c>
      <c r="H879" s="19">
        <f t="shared" si="14"/>
        <v>5.75</v>
      </c>
    </row>
    <row r="880" spans="6:8" ht="15.6" x14ac:dyDescent="0.3">
      <c r="F880" s="19">
        <v>875</v>
      </c>
      <c r="G880" s="22">
        <v>45056</v>
      </c>
      <c r="H880" s="19">
        <f t="shared" si="14"/>
        <v>5.75</v>
      </c>
    </row>
    <row r="881" spans="6:8" ht="15.6" x14ac:dyDescent="0.3">
      <c r="F881" s="19">
        <v>876</v>
      </c>
      <c r="G881" s="22">
        <v>45055</v>
      </c>
      <c r="H881" s="19">
        <f t="shared" si="14"/>
        <v>5.75</v>
      </c>
    </row>
    <row r="882" spans="6:8" ht="15.6" x14ac:dyDescent="0.3">
      <c r="F882" s="19">
        <v>877</v>
      </c>
      <c r="G882" s="22">
        <v>45054</v>
      </c>
      <c r="H882" s="19">
        <f t="shared" si="14"/>
        <v>5.75</v>
      </c>
    </row>
    <row r="883" spans="6:8" ht="15.6" x14ac:dyDescent="0.3">
      <c r="F883" s="19">
        <v>878</v>
      </c>
      <c r="G883" s="22">
        <v>45053</v>
      </c>
      <c r="H883" s="19">
        <f t="shared" si="14"/>
        <v>5.75</v>
      </c>
    </row>
    <row r="884" spans="6:8" ht="15.6" x14ac:dyDescent="0.3">
      <c r="F884" s="19">
        <v>879</v>
      </c>
      <c r="G884" s="22">
        <v>45052</v>
      </c>
      <c r="H884" s="19">
        <f t="shared" si="14"/>
        <v>5.75</v>
      </c>
    </row>
    <row r="885" spans="6:8" ht="15.6" x14ac:dyDescent="0.3">
      <c r="F885" s="19">
        <v>880</v>
      </c>
      <c r="G885" s="22">
        <v>45051</v>
      </c>
      <c r="H885" s="19">
        <f t="shared" si="14"/>
        <v>5.75</v>
      </c>
    </row>
    <row r="886" spans="6:8" ht="15.6" x14ac:dyDescent="0.3">
      <c r="F886" s="19">
        <v>881</v>
      </c>
      <c r="G886" s="22">
        <v>45050</v>
      </c>
      <c r="H886" s="19">
        <f t="shared" si="14"/>
        <v>5.75</v>
      </c>
    </row>
    <row r="887" spans="6:8" ht="15.6" x14ac:dyDescent="0.3">
      <c r="F887" s="19">
        <v>882</v>
      </c>
      <c r="G887" s="22">
        <v>45049</v>
      </c>
      <c r="H887" s="19">
        <f t="shared" si="14"/>
        <v>5.75</v>
      </c>
    </row>
    <row r="888" spans="6:8" ht="15.6" x14ac:dyDescent="0.3">
      <c r="F888" s="19">
        <v>883</v>
      </c>
      <c r="G888" s="22">
        <v>45048</v>
      </c>
      <c r="H888" s="19">
        <f t="shared" si="14"/>
        <v>5.75</v>
      </c>
    </row>
    <row r="889" spans="6:8" ht="15.6" x14ac:dyDescent="0.3">
      <c r="F889" s="19">
        <v>884</v>
      </c>
      <c r="G889" s="22">
        <v>45047</v>
      </c>
      <c r="H889" s="19">
        <f t="shared" si="14"/>
        <v>5.75</v>
      </c>
    </row>
    <row r="890" spans="6:8" ht="15.6" x14ac:dyDescent="0.3">
      <c r="F890" s="19">
        <v>885</v>
      </c>
      <c r="G890" s="22">
        <v>45046</v>
      </c>
      <c r="H890" s="19">
        <f t="shared" si="14"/>
        <v>5.75</v>
      </c>
    </row>
    <row r="891" spans="6:8" ht="15.6" x14ac:dyDescent="0.3">
      <c r="F891" s="19">
        <v>886</v>
      </c>
      <c r="G891" s="22">
        <v>45045</v>
      </c>
      <c r="H891" s="19">
        <f t="shared" si="14"/>
        <v>5.75</v>
      </c>
    </row>
    <row r="892" spans="6:8" ht="15.6" x14ac:dyDescent="0.3">
      <c r="F892" s="19">
        <v>887</v>
      </c>
      <c r="G892" s="22">
        <v>45044</v>
      </c>
      <c r="H892" s="19">
        <f t="shared" si="14"/>
        <v>5.75</v>
      </c>
    </row>
    <row r="893" spans="6:8" ht="15.6" x14ac:dyDescent="0.3">
      <c r="F893" s="19">
        <v>888</v>
      </c>
      <c r="G893" s="22">
        <v>45043</v>
      </c>
      <c r="H893" s="19">
        <f t="shared" si="14"/>
        <v>5.75</v>
      </c>
    </row>
    <row r="894" spans="6:8" ht="15.6" x14ac:dyDescent="0.3">
      <c r="F894" s="19">
        <v>889</v>
      </c>
      <c r="G894" s="22">
        <v>45042</v>
      </c>
      <c r="H894" s="19">
        <f t="shared" si="14"/>
        <v>5.75</v>
      </c>
    </row>
    <row r="895" spans="6:8" ht="15.6" x14ac:dyDescent="0.3">
      <c r="F895" s="19">
        <v>890</v>
      </c>
      <c r="G895" s="22">
        <v>45041</v>
      </c>
      <c r="H895" s="19">
        <f t="shared" si="14"/>
        <v>5.75</v>
      </c>
    </row>
    <row r="896" spans="6:8" ht="15.6" x14ac:dyDescent="0.3">
      <c r="F896" s="19">
        <v>891</v>
      </c>
      <c r="G896" s="22">
        <v>45040</v>
      </c>
      <c r="H896" s="19">
        <f t="shared" si="14"/>
        <v>5.75</v>
      </c>
    </row>
    <row r="897" spans="6:8" ht="15.6" x14ac:dyDescent="0.3">
      <c r="F897" s="19">
        <v>892</v>
      </c>
      <c r="G897" s="22">
        <v>45039</v>
      </c>
      <c r="H897" s="19">
        <f t="shared" si="14"/>
        <v>5.75</v>
      </c>
    </row>
    <row r="898" spans="6:8" ht="15.6" x14ac:dyDescent="0.3">
      <c r="F898" s="19">
        <v>893</v>
      </c>
      <c r="G898" s="22">
        <v>45038</v>
      </c>
      <c r="H898" s="19">
        <f t="shared" si="14"/>
        <v>5.75</v>
      </c>
    </row>
    <row r="899" spans="6:8" ht="15.6" x14ac:dyDescent="0.3">
      <c r="F899" s="19">
        <v>894</v>
      </c>
      <c r="G899" s="22">
        <v>45037</v>
      </c>
      <c r="H899" s="19">
        <f t="shared" si="14"/>
        <v>5.75</v>
      </c>
    </row>
    <row r="900" spans="6:8" ht="15.6" x14ac:dyDescent="0.3">
      <c r="F900" s="19">
        <v>895</v>
      </c>
      <c r="G900" s="22">
        <v>45036</v>
      </c>
      <c r="H900" s="19">
        <f t="shared" si="14"/>
        <v>5.75</v>
      </c>
    </row>
    <row r="901" spans="6:8" ht="15.6" x14ac:dyDescent="0.3">
      <c r="F901" s="19">
        <v>896</v>
      </c>
      <c r="G901" s="22">
        <v>45035</v>
      </c>
      <c r="H901" s="19">
        <f t="shared" si="14"/>
        <v>5.75</v>
      </c>
    </row>
    <row r="902" spans="6:8" ht="15.6" x14ac:dyDescent="0.3">
      <c r="F902" s="19">
        <v>897</v>
      </c>
      <c r="G902" s="22">
        <v>45034</v>
      </c>
      <c r="H902" s="19">
        <f t="shared" si="14"/>
        <v>5.75</v>
      </c>
    </row>
    <row r="903" spans="6:8" ht="15.6" x14ac:dyDescent="0.3">
      <c r="F903" s="19">
        <v>898</v>
      </c>
      <c r="G903" s="22">
        <v>45033</v>
      </c>
      <c r="H903" s="19">
        <f t="shared" ref="H903:H966" si="15">_xlfn.XLOOKUP(G903,$B$6:$B$39,$C$6:$C$39,,-1)</f>
        <v>5.75</v>
      </c>
    </row>
    <row r="904" spans="6:8" ht="15.6" x14ac:dyDescent="0.3">
      <c r="F904" s="19">
        <v>899</v>
      </c>
      <c r="G904" s="22">
        <v>45032</v>
      </c>
      <c r="H904" s="19">
        <f t="shared" si="15"/>
        <v>5.75</v>
      </c>
    </row>
    <row r="905" spans="6:8" ht="15.6" x14ac:dyDescent="0.3">
      <c r="F905" s="19">
        <v>900</v>
      </c>
      <c r="G905" s="22">
        <v>45031</v>
      </c>
      <c r="H905" s="19">
        <f t="shared" si="15"/>
        <v>5.75</v>
      </c>
    </row>
    <row r="906" spans="6:8" ht="15.6" x14ac:dyDescent="0.3">
      <c r="F906" s="19">
        <v>901</v>
      </c>
      <c r="G906" s="22">
        <v>45030</v>
      </c>
      <c r="H906" s="19">
        <f t="shared" si="15"/>
        <v>5.75</v>
      </c>
    </row>
    <row r="907" spans="6:8" ht="15.6" x14ac:dyDescent="0.3">
      <c r="F907" s="19">
        <v>902</v>
      </c>
      <c r="G907" s="22">
        <v>45029</v>
      </c>
      <c r="H907" s="19">
        <f t="shared" si="15"/>
        <v>5.75</v>
      </c>
    </row>
    <row r="908" spans="6:8" ht="15.6" x14ac:dyDescent="0.3">
      <c r="F908" s="19">
        <v>903</v>
      </c>
      <c r="G908" s="22">
        <v>45028</v>
      </c>
      <c r="H908" s="19">
        <f t="shared" si="15"/>
        <v>5.75</v>
      </c>
    </row>
    <row r="909" spans="6:8" ht="15.6" x14ac:dyDescent="0.3">
      <c r="F909" s="19">
        <v>904</v>
      </c>
      <c r="G909" s="22">
        <v>45027</v>
      </c>
      <c r="H909" s="19">
        <f t="shared" si="15"/>
        <v>5.75</v>
      </c>
    </row>
    <row r="910" spans="6:8" ht="15.6" x14ac:dyDescent="0.3">
      <c r="F910" s="19">
        <v>905</v>
      </c>
      <c r="G910" s="22">
        <v>45026</v>
      </c>
      <c r="H910" s="19">
        <f t="shared" si="15"/>
        <v>5.75</v>
      </c>
    </row>
    <row r="911" spans="6:8" ht="15.6" x14ac:dyDescent="0.3">
      <c r="F911" s="19">
        <v>906</v>
      </c>
      <c r="G911" s="22">
        <v>45025</v>
      </c>
      <c r="H911" s="19">
        <f t="shared" si="15"/>
        <v>5.75</v>
      </c>
    </row>
    <row r="912" spans="6:8" ht="15.6" x14ac:dyDescent="0.3">
      <c r="F912" s="19">
        <v>907</v>
      </c>
      <c r="G912" s="22">
        <v>45024</v>
      </c>
      <c r="H912" s="19">
        <f t="shared" si="15"/>
        <v>5.75</v>
      </c>
    </row>
    <row r="913" spans="6:8" ht="15.6" x14ac:dyDescent="0.3">
      <c r="F913" s="19">
        <v>908</v>
      </c>
      <c r="G913" s="22">
        <v>45023</v>
      </c>
      <c r="H913" s="19">
        <f t="shared" si="15"/>
        <v>5.75</v>
      </c>
    </row>
    <row r="914" spans="6:8" ht="15.6" x14ac:dyDescent="0.3">
      <c r="F914" s="19">
        <v>909</v>
      </c>
      <c r="G914" s="22">
        <v>45022</v>
      </c>
      <c r="H914" s="19">
        <f t="shared" si="15"/>
        <v>5.75</v>
      </c>
    </row>
    <row r="915" spans="6:8" ht="15.6" x14ac:dyDescent="0.3">
      <c r="F915" s="19">
        <v>910</v>
      </c>
      <c r="G915" s="22">
        <v>45021</v>
      </c>
      <c r="H915" s="19">
        <f t="shared" si="15"/>
        <v>5.75</v>
      </c>
    </row>
    <row r="916" spans="6:8" ht="15.6" x14ac:dyDescent="0.3">
      <c r="F916" s="19">
        <v>911</v>
      </c>
      <c r="G916" s="22">
        <v>45020</v>
      </c>
      <c r="H916" s="19">
        <f t="shared" si="15"/>
        <v>5.75</v>
      </c>
    </row>
    <row r="917" spans="6:8" ht="15.6" x14ac:dyDescent="0.3">
      <c r="F917" s="19">
        <v>912</v>
      </c>
      <c r="G917" s="22">
        <v>45019</v>
      </c>
      <c r="H917" s="19">
        <f t="shared" si="15"/>
        <v>5.75</v>
      </c>
    </row>
    <row r="918" spans="6:8" ht="15.6" x14ac:dyDescent="0.3">
      <c r="F918" s="19">
        <v>913</v>
      </c>
      <c r="G918" s="22">
        <v>45018</v>
      </c>
      <c r="H918" s="19">
        <f t="shared" si="15"/>
        <v>5.75</v>
      </c>
    </row>
    <row r="919" spans="6:8" ht="15.6" x14ac:dyDescent="0.3">
      <c r="F919" s="19">
        <v>914</v>
      </c>
      <c r="G919" s="22">
        <v>45017</v>
      </c>
      <c r="H919" s="19">
        <f t="shared" si="15"/>
        <v>5.75</v>
      </c>
    </row>
    <row r="920" spans="6:8" ht="15.6" x14ac:dyDescent="0.3">
      <c r="F920" s="19">
        <v>915</v>
      </c>
      <c r="G920" s="22">
        <v>45016</v>
      </c>
      <c r="H920" s="19">
        <f t="shared" si="15"/>
        <v>5.75</v>
      </c>
    </row>
    <row r="921" spans="6:8" ht="15.6" x14ac:dyDescent="0.3">
      <c r="F921" s="19">
        <v>916</v>
      </c>
      <c r="G921" s="22">
        <v>45015</v>
      </c>
      <c r="H921" s="19">
        <f t="shared" si="15"/>
        <v>5.75</v>
      </c>
    </row>
    <row r="922" spans="6:8" ht="15.6" x14ac:dyDescent="0.3">
      <c r="F922" s="19">
        <v>917</v>
      </c>
      <c r="G922" s="22">
        <v>45014</v>
      </c>
      <c r="H922" s="19">
        <f t="shared" si="15"/>
        <v>5.75</v>
      </c>
    </row>
    <row r="923" spans="6:8" ht="15.6" x14ac:dyDescent="0.3">
      <c r="F923" s="19">
        <v>918</v>
      </c>
      <c r="G923" s="22">
        <v>45013</v>
      </c>
      <c r="H923" s="19">
        <f t="shared" si="15"/>
        <v>5.75</v>
      </c>
    </row>
    <row r="924" spans="6:8" ht="15.6" x14ac:dyDescent="0.3">
      <c r="F924" s="19">
        <v>919</v>
      </c>
      <c r="G924" s="22">
        <v>45012</v>
      </c>
      <c r="H924" s="19">
        <f t="shared" si="15"/>
        <v>5.75</v>
      </c>
    </row>
    <row r="925" spans="6:8" ht="15.6" x14ac:dyDescent="0.3">
      <c r="F925" s="19">
        <v>920</v>
      </c>
      <c r="G925" s="22">
        <v>45011</v>
      </c>
      <c r="H925" s="19">
        <f t="shared" si="15"/>
        <v>5.75</v>
      </c>
    </row>
    <row r="926" spans="6:8" ht="15.6" x14ac:dyDescent="0.3">
      <c r="F926" s="19">
        <v>921</v>
      </c>
      <c r="G926" s="22">
        <v>45010</v>
      </c>
      <c r="H926" s="19">
        <f t="shared" si="15"/>
        <v>5.75</v>
      </c>
    </row>
    <row r="927" spans="6:8" ht="15.6" x14ac:dyDescent="0.3">
      <c r="F927" s="19">
        <v>922</v>
      </c>
      <c r="G927" s="22">
        <v>45009</v>
      </c>
      <c r="H927" s="19">
        <f t="shared" si="15"/>
        <v>5.75</v>
      </c>
    </row>
    <row r="928" spans="6:8" ht="15.6" x14ac:dyDescent="0.3">
      <c r="F928" s="19">
        <v>923</v>
      </c>
      <c r="G928" s="22">
        <v>45008</v>
      </c>
      <c r="H928" s="19">
        <f t="shared" si="15"/>
        <v>5.75</v>
      </c>
    </row>
    <row r="929" spans="6:8" ht="15.6" x14ac:dyDescent="0.3">
      <c r="F929" s="19">
        <v>924</v>
      </c>
      <c r="G929" s="22">
        <v>45007</v>
      </c>
      <c r="H929" s="19">
        <f t="shared" si="15"/>
        <v>5.75</v>
      </c>
    </row>
    <row r="930" spans="6:8" ht="15.6" x14ac:dyDescent="0.3">
      <c r="F930" s="19">
        <v>925</v>
      </c>
      <c r="G930" s="22">
        <v>45006</v>
      </c>
      <c r="H930" s="19">
        <f t="shared" si="15"/>
        <v>5.75</v>
      </c>
    </row>
    <row r="931" spans="6:8" ht="15.6" x14ac:dyDescent="0.3">
      <c r="F931" s="19">
        <v>926</v>
      </c>
      <c r="G931" s="22">
        <v>45005</v>
      </c>
      <c r="H931" s="19">
        <f t="shared" si="15"/>
        <v>5.75</v>
      </c>
    </row>
    <row r="932" spans="6:8" ht="15.6" x14ac:dyDescent="0.3">
      <c r="F932" s="19">
        <v>927</v>
      </c>
      <c r="G932" s="22">
        <v>45004</v>
      </c>
      <c r="H932" s="19">
        <f t="shared" si="15"/>
        <v>5.75</v>
      </c>
    </row>
    <row r="933" spans="6:8" ht="15.6" x14ac:dyDescent="0.3">
      <c r="F933" s="19">
        <v>928</v>
      </c>
      <c r="G933" s="22">
        <v>45003</v>
      </c>
      <c r="H933" s="19">
        <f t="shared" si="15"/>
        <v>5.75</v>
      </c>
    </row>
    <row r="934" spans="6:8" ht="15.6" x14ac:dyDescent="0.3">
      <c r="F934" s="19">
        <v>929</v>
      </c>
      <c r="G934" s="22">
        <v>45002</v>
      </c>
      <c r="H934" s="19">
        <f t="shared" si="15"/>
        <v>5.75</v>
      </c>
    </row>
    <row r="935" spans="6:8" ht="15.6" x14ac:dyDescent="0.3">
      <c r="F935" s="19">
        <v>930</v>
      </c>
      <c r="G935" s="22">
        <v>45001</v>
      </c>
      <c r="H935" s="19">
        <f t="shared" si="15"/>
        <v>5.75</v>
      </c>
    </row>
    <row r="936" spans="6:8" ht="15.6" x14ac:dyDescent="0.3">
      <c r="F936" s="19">
        <v>931</v>
      </c>
      <c r="G936" s="22">
        <v>45000</v>
      </c>
      <c r="H936" s="19">
        <f t="shared" si="15"/>
        <v>5.75</v>
      </c>
    </row>
    <row r="937" spans="6:8" ht="15.6" x14ac:dyDescent="0.3">
      <c r="F937" s="19">
        <v>932</v>
      </c>
      <c r="G937" s="22">
        <v>44999</v>
      </c>
      <c r="H937" s="19">
        <f t="shared" si="15"/>
        <v>5.75</v>
      </c>
    </row>
    <row r="938" spans="6:8" ht="15.6" x14ac:dyDescent="0.3">
      <c r="F938" s="19">
        <v>933</v>
      </c>
      <c r="G938" s="22">
        <v>44998</v>
      </c>
      <c r="H938" s="19">
        <f t="shared" si="15"/>
        <v>5.75</v>
      </c>
    </row>
    <row r="939" spans="6:8" ht="15.6" x14ac:dyDescent="0.3">
      <c r="F939" s="19">
        <v>934</v>
      </c>
      <c r="G939" s="22">
        <v>44997</v>
      </c>
      <c r="H939" s="19">
        <f t="shared" si="15"/>
        <v>5.75</v>
      </c>
    </row>
    <row r="940" spans="6:8" ht="15.6" x14ac:dyDescent="0.3">
      <c r="F940" s="19">
        <v>935</v>
      </c>
      <c r="G940" s="22">
        <v>44996</v>
      </c>
      <c r="H940" s="19">
        <f t="shared" si="15"/>
        <v>5.75</v>
      </c>
    </row>
    <row r="941" spans="6:8" ht="15.6" x14ac:dyDescent="0.3">
      <c r="F941" s="19">
        <v>936</v>
      </c>
      <c r="G941" s="22">
        <v>44995</v>
      </c>
      <c r="H941" s="19">
        <f t="shared" si="15"/>
        <v>5.75</v>
      </c>
    </row>
    <row r="942" spans="6:8" ht="15.6" x14ac:dyDescent="0.3">
      <c r="F942" s="19">
        <v>937</v>
      </c>
      <c r="G942" s="22">
        <v>44994</v>
      </c>
      <c r="H942" s="19">
        <f t="shared" si="15"/>
        <v>5.75</v>
      </c>
    </row>
    <row r="943" spans="6:8" ht="15.6" x14ac:dyDescent="0.3">
      <c r="F943" s="19">
        <v>938</v>
      </c>
      <c r="G943" s="22">
        <v>44993</v>
      </c>
      <c r="H943" s="19">
        <f t="shared" si="15"/>
        <v>5.75</v>
      </c>
    </row>
    <row r="944" spans="6:8" ht="15.6" x14ac:dyDescent="0.3">
      <c r="F944" s="19">
        <v>939</v>
      </c>
      <c r="G944" s="22">
        <v>44992</v>
      </c>
      <c r="H944" s="19">
        <f t="shared" si="15"/>
        <v>5.75</v>
      </c>
    </row>
    <row r="945" spans="6:8" ht="15.6" x14ac:dyDescent="0.3">
      <c r="F945" s="19">
        <v>940</v>
      </c>
      <c r="G945" s="22">
        <v>44991</v>
      </c>
      <c r="H945" s="19">
        <f t="shared" si="15"/>
        <v>5.75</v>
      </c>
    </row>
    <row r="946" spans="6:8" ht="15.6" x14ac:dyDescent="0.3">
      <c r="F946" s="19">
        <v>941</v>
      </c>
      <c r="G946" s="22">
        <v>44990</v>
      </c>
      <c r="H946" s="19">
        <f t="shared" si="15"/>
        <v>5.75</v>
      </c>
    </row>
    <row r="947" spans="6:8" ht="15.6" x14ac:dyDescent="0.3">
      <c r="F947" s="19">
        <v>942</v>
      </c>
      <c r="G947" s="22">
        <v>44989</v>
      </c>
      <c r="H947" s="19">
        <f t="shared" si="15"/>
        <v>5.75</v>
      </c>
    </row>
    <row r="948" spans="6:8" ht="15.6" x14ac:dyDescent="0.3">
      <c r="F948" s="19">
        <v>943</v>
      </c>
      <c r="G948" s="22">
        <v>44988</v>
      </c>
      <c r="H948" s="19">
        <f t="shared" si="15"/>
        <v>5.75</v>
      </c>
    </row>
    <row r="949" spans="6:8" ht="15.6" x14ac:dyDescent="0.3">
      <c r="F949" s="19">
        <v>944</v>
      </c>
      <c r="G949" s="22">
        <v>44987</v>
      </c>
      <c r="H949" s="19">
        <f t="shared" si="15"/>
        <v>5.75</v>
      </c>
    </row>
    <row r="950" spans="6:8" ht="15.6" x14ac:dyDescent="0.3">
      <c r="F950" s="19">
        <v>945</v>
      </c>
      <c r="G950" s="22">
        <v>44986</v>
      </c>
      <c r="H950" s="19">
        <f t="shared" si="15"/>
        <v>5.75</v>
      </c>
    </row>
    <row r="951" spans="6:8" ht="15.6" x14ac:dyDescent="0.3">
      <c r="F951" s="19">
        <v>946</v>
      </c>
      <c r="G951" s="22">
        <v>44985</v>
      </c>
      <c r="H951" s="19">
        <f t="shared" si="15"/>
        <v>5.75</v>
      </c>
    </row>
    <row r="952" spans="6:8" ht="15.6" x14ac:dyDescent="0.3">
      <c r="F952" s="19">
        <v>947</v>
      </c>
      <c r="G952" s="22">
        <v>44984</v>
      </c>
      <c r="H952" s="19">
        <f t="shared" si="15"/>
        <v>5.75</v>
      </c>
    </row>
    <row r="953" spans="6:8" ht="15.6" x14ac:dyDescent="0.3">
      <c r="F953" s="19">
        <v>948</v>
      </c>
      <c r="G953" s="22">
        <v>44983</v>
      </c>
      <c r="H953" s="19">
        <f t="shared" si="15"/>
        <v>5.75</v>
      </c>
    </row>
    <row r="954" spans="6:8" ht="15.6" x14ac:dyDescent="0.3">
      <c r="F954" s="19">
        <v>949</v>
      </c>
      <c r="G954" s="22">
        <v>44982</v>
      </c>
      <c r="H954" s="19">
        <f t="shared" si="15"/>
        <v>5.75</v>
      </c>
    </row>
    <row r="955" spans="6:8" ht="15.6" x14ac:dyDescent="0.3">
      <c r="F955" s="19">
        <v>950</v>
      </c>
      <c r="G955" s="22">
        <v>44981</v>
      </c>
      <c r="H955" s="19">
        <f t="shared" si="15"/>
        <v>5.75</v>
      </c>
    </row>
    <row r="956" spans="6:8" ht="15.6" x14ac:dyDescent="0.3">
      <c r="F956" s="19">
        <v>951</v>
      </c>
      <c r="G956" s="22">
        <v>44980</v>
      </c>
      <c r="H956" s="19">
        <f t="shared" si="15"/>
        <v>5.75</v>
      </c>
    </row>
    <row r="957" spans="6:8" ht="15.6" x14ac:dyDescent="0.3">
      <c r="F957" s="19">
        <v>952</v>
      </c>
      <c r="G957" s="22">
        <v>44979</v>
      </c>
      <c r="H957" s="19">
        <f t="shared" si="15"/>
        <v>5.75</v>
      </c>
    </row>
    <row r="958" spans="6:8" ht="15.6" x14ac:dyDescent="0.3">
      <c r="F958" s="19">
        <v>953</v>
      </c>
      <c r="G958" s="22">
        <v>44978</v>
      </c>
      <c r="H958" s="19">
        <f t="shared" si="15"/>
        <v>5.75</v>
      </c>
    </row>
    <row r="959" spans="6:8" ht="15.6" x14ac:dyDescent="0.3">
      <c r="F959" s="19">
        <v>954</v>
      </c>
      <c r="G959" s="22">
        <v>44977</v>
      </c>
      <c r="H959" s="19">
        <f t="shared" si="15"/>
        <v>5.75</v>
      </c>
    </row>
    <row r="960" spans="6:8" ht="15.6" x14ac:dyDescent="0.3">
      <c r="F960" s="19">
        <v>955</v>
      </c>
      <c r="G960" s="22">
        <v>44976</v>
      </c>
      <c r="H960" s="19">
        <f t="shared" si="15"/>
        <v>5.75</v>
      </c>
    </row>
    <row r="961" spans="6:8" ht="15.6" x14ac:dyDescent="0.3">
      <c r="F961" s="19">
        <v>956</v>
      </c>
      <c r="G961" s="22">
        <v>44975</v>
      </c>
      <c r="H961" s="19">
        <f t="shared" si="15"/>
        <v>5.75</v>
      </c>
    </row>
    <row r="962" spans="6:8" ht="15.6" x14ac:dyDescent="0.3">
      <c r="F962" s="19">
        <v>957</v>
      </c>
      <c r="G962" s="22">
        <v>44974</v>
      </c>
      <c r="H962" s="19">
        <f t="shared" si="15"/>
        <v>5.75</v>
      </c>
    </row>
    <row r="963" spans="6:8" ht="15.6" x14ac:dyDescent="0.3">
      <c r="F963" s="19">
        <v>958</v>
      </c>
      <c r="G963" s="22">
        <v>44973</v>
      </c>
      <c r="H963" s="19">
        <f t="shared" si="15"/>
        <v>5.75</v>
      </c>
    </row>
    <row r="964" spans="6:8" ht="15.6" x14ac:dyDescent="0.3">
      <c r="F964" s="19">
        <v>959</v>
      </c>
      <c r="G964" s="22">
        <v>44972</v>
      </c>
      <c r="H964" s="19">
        <f t="shared" si="15"/>
        <v>5.75</v>
      </c>
    </row>
    <row r="965" spans="6:8" ht="15.6" x14ac:dyDescent="0.3">
      <c r="F965" s="19">
        <v>960</v>
      </c>
      <c r="G965" s="22">
        <v>44971</v>
      </c>
      <c r="H965" s="19">
        <f t="shared" si="15"/>
        <v>5.75</v>
      </c>
    </row>
    <row r="966" spans="6:8" ht="15.6" x14ac:dyDescent="0.3">
      <c r="F966" s="19">
        <v>961</v>
      </c>
      <c r="G966" s="22">
        <v>44970</v>
      </c>
      <c r="H966" s="19">
        <f t="shared" si="15"/>
        <v>5.75</v>
      </c>
    </row>
    <row r="967" spans="6:8" ht="15.6" x14ac:dyDescent="0.3">
      <c r="F967" s="19">
        <v>962</v>
      </c>
      <c r="G967" s="22">
        <v>44969</v>
      </c>
      <c r="H967" s="19">
        <f t="shared" ref="H967:H1009" si="16">_xlfn.XLOOKUP(G967,$B$6:$B$39,$C$6:$C$39,,-1)</f>
        <v>5.75</v>
      </c>
    </row>
    <row r="968" spans="6:8" ht="15.6" x14ac:dyDescent="0.3">
      <c r="F968" s="19">
        <v>963</v>
      </c>
      <c r="G968" s="22">
        <v>44968</v>
      </c>
      <c r="H968" s="19">
        <f t="shared" si="16"/>
        <v>5.75</v>
      </c>
    </row>
    <row r="969" spans="6:8" ht="15.6" x14ac:dyDescent="0.3">
      <c r="F969" s="19">
        <v>964</v>
      </c>
      <c r="G969" s="22">
        <v>44967</v>
      </c>
      <c r="H969" s="19">
        <f t="shared" si="16"/>
        <v>5.75</v>
      </c>
    </row>
    <row r="970" spans="6:8" ht="15.6" x14ac:dyDescent="0.3">
      <c r="F970" s="19">
        <v>965</v>
      </c>
      <c r="G970" s="22">
        <v>44966</v>
      </c>
      <c r="H970" s="19">
        <f t="shared" si="16"/>
        <v>5.75</v>
      </c>
    </row>
    <row r="971" spans="6:8" ht="15.6" x14ac:dyDescent="0.3">
      <c r="F971" s="19">
        <v>966</v>
      </c>
      <c r="G971" s="22">
        <v>44965</v>
      </c>
      <c r="H971" s="19">
        <f t="shared" si="16"/>
        <v>5.75</v>
      </c>
    </row>
    <row r="972" spans="6:8" ht="15.6" x14ac:dyDescent="0.3">
      <c r="F972" s="19">
        <v>967</v>
      </c>
      <c r="G972" s="22">
        <v>44964</v>
      </c>
      <c r="H972" s="19">
        <f t="shared" si="16"/>
        <v>5.75</v>
      </c>
    </row>
    <row r="973" spans="6:8" ht="15.6" x14ac:dyDescent="0.3">
      <c r="F973" s="19">
        <v>968</v>
      </c>
      <c r="G973" s="22">
        <v>44963</v>
      </c>
      <c r="H973" s="19">
        <f t="shared" si="16"/>
        <v>5.75</v>
      </c>
    </row>
    <row r="974" spans="6:8" ht="15.6" x14ac:dyDescent="0.3">
      <c r="F974" s="19">
        <v>969</v>
      </c>
      <c r="G974" s="22">
        <v>44962</v>
      </c>
      <c r="H974" s="19">
        <f t="shared" si="16"/>
        <v>5.75</v>
      </c>
    </row>
    <row r="975" spans="6:8" ht="15.6" x14ac:dyDescent="0.3">
      <c r="F975" s="19">
        <v>970</v>
      </c>
      <c r="G975" s="22">
        <v>44961</v>
      </c>
      <c r="H975" s="19">
        <f t="shared" si="16"/>
        <v>5.75</v>
      </c>
    </row>
    <row r="976" spans="6:8" ht="15.6" x14ac:dyDescent="0.3">
      <c r="F976" s="19">
        <v>971</v>
      </c>
      <c r="G976" s="22">
        <v>44960</v>
      </c>
      <c r="H976" s="19">
        <f t="shared" si="16"/>
        <v>5.75</v>
      </c>
    </row>
    <row r="977" spans="6:8" ht="15.6" x14ac:dyDescent="0.3">
      <c r="F977" s="19">
        <v>972</v>
      </c>
      <c r="G977" s="22">
        <v>44959</v>
      </c>
      <c r="H977" s="19">
        <f t="shared" si="16"/>
        <v>5.75</v>
      </c>
    </row>
    <row r="978" spans="6:8" ht="15.6" x14ac:dyDescent="0.3">
      <c r="F978" s="19">
        <v>973</v>
      </c>
      <c r="G978" s="22">
        <v>44958</v>
      </c>
      <c r="H978" s="19">
        <f t="shared" si="16"/>
        <v>5.75</v>
      </c>
    </row>
    <row r="979" spans="6:8" ht="15.6" x14ac:dyDescent="0.3">
      <c r="F979" s="19">
        <v>974</v>
      </c>
      <c r="G979" s="22">
        <v>44957</v>
      </c>
      <c r="H979" s="19">
        <f t="shared" si="16"/>
        <v>5.75</v>
      </c>
    </row>
    <row r="980" spans="6:8" ht="15.6" x14ac:dyDescent="0.3">
      <c r="F980" s="19">
        <v>975</v>
      </c>
      <c r="G980" s="22">
        <v>44956</v>
      </c>
      <c r="H980" s="19">
        <f t="shared" si="16"/>
        <v>5.75</v>
      </c>
    </row>
    <row r="981" spans="6:8" ht="15.6" x14ac:dyDescent="0.3">
      <c r="F981" s="19">
        <v>976</v>
      </c>
      <c r="G981" s="22">
        <v>44955</v>
      </c>
      <c r="H981" s="19">
        <f t="shared" si="16"/>
        <v>5.75</v>
      </c>
    </row>
    <row r="982" spans="6:8" ht="15.6" x14ac:dyDescent="0.3">
      <c r="F982" s="19">
        <v>977</v>
      </c>
      <c r="G982" s="22">
        <v>44954</v>
      </c>
      <c r="H982" s="19">
        <f t="shared" si="16"/>
        <v>5.75</v>
      </c>
    </row>
    <row r="983" spans="6:8" ht="15.6" x14ac:dyDescent="0.3">
      <c r="F983" s="19">
        <v>978</v>
      </c>
      <c r="G983" s="22">
        <v>44953</v>
      </c>
      <c r="H983" s="19">
        <f t="shared" si="16"/>
        <v>5.75</v>
      </c>
    </row>
    <row r="984" spans="6:8" ht="15.6" x14ac:dyDescent="0.3">
      <c r="F984" s="19">
        <v>979</v>
      </c>
      <c r="G984" s="22">
        <v>44952</v>
      </c>
      <c r="H984" s="19">
        <f t="shared" si="16"/>
        <v>5.75</v>
      </c>
    </row>
    <row r="985" spans="6:8" ht="15.6" x14ac:dyDescent="0.3">
      <c r="F985" s="19">
        <v>980</v>
      </c>
      <c r="G985" s="22">
        <v>44951</v>
      </c>
      <c r="H985" s="19">
        <f t="shared" si="16"/>
        <v>5.75</v>
      </c>
    </row>
    <row r="986" spans="6:8" ht="15.6" x14ac:dyDescent="0.3">
      <c r="F986" s="19">
        <v>981</v>
      </c>
      <c r="G986" s="22">
        <v>44950</v>
      </c>
      <c r="H986" s="19">
        <f t="shared" si="16"/>
        <v>5.75</v>
      </c>
    </row>
    <row r="987" spans="6:8" ht="15.6" x14ac:dyDescent="0.3">
      <c r="F987" s="19">
        <v>982</v>
      </c>
      <c r="G987" s="22">
        <v>44949</v>
      </c>
      <c r="H987" s="19">
        <f t="shared" si="16"/>
        <v>5.75</v>
      </c>
    </row>
    <row r="988" spans="6:8" ht="15.6" x14ac:dyDescent="0.3">
      <c r="F988" s="19">
        <v>983</v>
      </c>
      <c r="G988" s="22">
        <v>44948</v>
      </c>
      <c r="H988" s="19">
        <f t="shared" si="16"/>
        <v>5.75</v>
      </c>
    </row>
    <row r="989" spans="6:8" ht="15.6" x14ac:dyDescent="0.3">
      <c r="F989" s="19">
        <v>984</v>
      </c>
      <c r="G989" s="22">
        <v>44947</v>
      </c>
      <c r="H989" s="19">
        <f t="shared" si="16"/>
        <v>5.75</v>
      </c>
    </row>
    <row r="990" spans="6:8" ht="15.6" x14ac:dyDescent="0.3">
      <c r="F990" s="19">
        <v>985</v>
      </c>
      <c r="G990" s="22">
        <v>44946</v>
      </c>
      <c r="H990" s="19">
        <f t="shared" si="16"/>
        <v>5.75</v>
      </c>
    </row>
    <row r="991" spans="6:8" ht="15.6" x14ac:dyDescent="0.3">
      <c r="F991" s="19">
        <v>986</v>
      </c>
      <c r="G991" s="22">
        <v>44945</v>
      </c>
      <c r="H991" s="19">
        <f t="shared" si="16"/>
        <v>5.75</v>
      </c>
    </row>
    <row r="992" spans="6:8" ht="15.6" x14ac:dyDescent="0.3">
      <c r="F992" s="19">
        <v>987</v>
      </c>
      <c r="G992" s="22">
        <v>44944</v>
      </c>
      <c r="H992" s="19">
        <f t="shared" si="16"/>
        <v>5.5</v>
      </c>
    </row>
    <row r="993" spans="6:8" ht="15.6" x14ac:dyDescent="0.3">
      <c r="F993" s="19">
        <v>988</v>
      </c>
      <c r="G993" s="22">
        <v>44943</v>
      </c>
      <c r="H993" s="19">
        <f t="shared" si="16"/>
        <v>5.5</v>
      </c>
    </row>
    <row r="994" spans="6:8" ht="15.6" x14ac:dyDescent="0.3">
      <c r="F994" s="19">
        <v>989</v>
      </c>
      <c r="G994" s="22">
        <v>44942</v>
      </c>
      <c r="H994" s="19">
        <f t="shared" si="16"/>
        <v>5.5</v>
      </c>
    </row>
    <row r="995" spans="6:8" ht="15.6" x14ac:dyDescent="0.3">
      <c r="F995" s="19">
        <v>990</v>
      </c>
      <c r="G995" s="22">
        <v>44941</v>
      </c>
      <c r="H995" s="19">
        <f t="shared" si="16"/>
        <v>5.5</v>
      </c>
    </row>
    <row r="996" spans="6:8" ht="15.6" x14ac:dyDescent="0.3">
      <c r="F996" s="19">
        <v>991</v>
      </c>
      <c r="G996" s="22">
        <v>44940</v>
      </c>
      <c r="H996" s="19">
        <f t="shared" si="16"/>
        <v>5.5</v>
      </c>
    </row>
    <row r="997" spans="6:8" ht="15.6" x14ac:dyDescent="0.3">
      <c r="F997" s="19">
        <v>992</v>
      </c>
      <c r="G997" s="22">
        <v>44939</v>
      </c>
      <c r="H997" s="19">
        <f t="shared" si="16"/>
        <v>5.5</v>
      </c>
    </row>
    <row r="998" spans="6:8" ht="15.6" x14ac:dyDescent="0.3">
      <c r="F998" s="19">
        <v>993</v>
      </c>
      <c r="G998" s="22">
        <v>44938</v>
      </c>
      <c r="H998" s="19">
        <f t="shared" si="16"/>
        <v>5.5</v>
      </c>
    </row>
    <row r="999" spans="6:8" ht="15.6" x14ac:dyDescent="0.3">
      <c r="F999" s="19">
        <v>994</v>
      </c>
      <c r="G999" s="22">
        <v>44937</v>
      </c>
      <c r="H999" s="19">
        <f t="shared" si="16"/>
        <v>5.5</v>
      </c>
    </row>
    <row r="1000" spans="6:8" ht="15.6" x14ac:dyDescent="0.3">
      <c r="F1000" s="19">
        <v>995</v>
      </c>
      <c r="G1000" s="22">
        <v>44936</v>
      </c>
      <c r="H1000" s="19">
        <f t="shared" si="16"/>
        <v>5.5</v>
      </c>
    </row>
    <row r="1001" spans="6:8" ht="15.6" x14ac:dyDescent="0.3">
      <c r="F1001" s="19">
        <v>996</v>
      </c>
      <c r="G1001" s="22">
        <v>44935</v>
      </c>
      <c r="H1001" s="19">
        <f t="shared" si="16"/>
        <v>5.5</v>
      </c>
    </row>
    <row r="1002" spans="6:8" ht="15.6" x14ac:dyDescent="0.3">
      <c r="F1002" s="19">
        <v>997</v>
      </c>
      <c r="G1002" s="22">
        <v>44934</v>
      </c>
      <c r="H1002" s="19">
        <f t="shared" si="16"/>
        <v>5.5</v>
      </c>
    </row>
    <row r="1003" spans="6:8" ht="15.6" x14ac:dyDescent="0.3">
      <c r="F1003" s="19">
        <v>998</v>
      </c>
      <c r="G1003" s="22">
        <v>44933</v>
      </c>
      <c r="H1003" s="19">
        <f t="shared" si="16"/>
        <v>5.5</v>
      </c>
    </row>
    <row r="1004" spans="6:8" ht="15.6" x14ac:dyDescent="0.3">
      <c r="F1004" s="19">
        <v>999</v>
      </c>
      <c r="G1004" s="22">
        <v>44932</v>
      </c>
      <c r="H1004" s="19">
        <f t="shared" si="16"/>
        <v>5.5</v>
      </c>
    </row>
    <row r="1005" spans="6:8" ht="15.6" x14ac:dyDescent="0.3">
      <c r="F1005" s="19">
        <v>1000</v>
      </c>
      <c r="G1005" s="22">
        <v>44931</v>
      </c>
      <c r="H1005" s="19">
        <f t="shared" si="16"/>
        <v>5.5</v>
      </c>
    </row>
    <row r="1006" spans="6:8" ht="15.6" x14ac:dyDescent="0.3">
      <c r="F1006" s="19">
        <v>1001</v>
      </c>
      <c r="G1006" s="22">
        <v>44930</v>
      </c>
      <c r="H1006" s="19">
        <f t="shared" si="16"/>
        <v>5.5</v>
      </c>
    </row>
    <row r="1007" spans="6:8" ht="15.6" x14ac:dyDescent="0.3">
      <c r="F1007" s="19">
        <v>1002</v>
      </c>
      <c r="G1007" s="22">
        <v>44929</v>
      </c>
      <c r="H1007" s="19">
        <f t="shared" si="16"/>
        <v>5.5</v>
      </c>
    </row>
    <row r="1008" spans="6:8" ht="15.6" x14ac:dyDescent="0.3">
      <c r="F1008" s="19">
        <v>1003</v>
      </c>
      <c r="G1008" s="22">
        <v>44928</v>
      </c>
      <c r="H1008" s="19">
        <f t="shared" si="16"/>
        <v>5.5</v>
      </c>
    </row>
    <row r="1009" spans="6:8" ht="15.6" x14ac:dyDescent="0.3">
      <c r="F1009" s="19">
        <v>1004</v>
      </c>
      <c r="G1009" s="22">
        <v>44927</v>
      </c>
      <c r="H1009" s="19">
        <f t="shared" si="16"/>
        <v>5.5</v>
      </c>
    </row>
  </sheetData>
  <mergeCells count="1"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4E6F-C4A0-494D-88E2-8DDCC09E961C}">
  <dimension ref="A3:H1009"/>
  <sheetViews>
    <sheetView zoomScale="98" zoomScaleNormal="177" workbookViewId="0">
      <selection activeCell="F6" sqref="F6:H1009"/>
    </sheetView>
  </sheetViews>
  <sheetFormatPr defaultRowHeight="15.6" x14ac:dyDescent="0.3"/>
  <cols>
    <col min="1" max="1" width="5.109375" bestFit="1" customWidth="1"/>
    <col min="2" max="2" width="13.44140625" bestFit="1" customWidth="1"/>
    <col min="3" max="3" width="14.5546875" bestFit="1" customWidth="1"/>
    <col min="6" max="6" width="6.44140625" style="18" bestFit="1" customWidth="1"/>
    <col min="7" max="7" width="13.44140625" bestFit="1" customWidth="1"/>
    <col min="8" max="8" width="16.33203125" bestFit="1" customWidth="1"/>
    <col min="10" max="10" width="12.6640625" bestFit="1" customWidth="1"/>
    <col min="11" max="11" width="6.88671875" bestFit="1" customWidth="1"/>
    <col min="12" max="12" width="13.33203125" bestFit="1" customWidth="1"/>
    <col min="13" max="13" width="12.44140625" bestFit="1" customWidth="1"/>
    <col min="14" max="14" width="11.44140625" bestFit="1" customWidth="1"/>
    <col min="15" max="15" width="9.33203125" bestFit="1" customWidth="1"/>
    <col min="16" max="17" width="13.33203125" bestFit="1" customWidth="1"/>
    <col min="18" max="18" width="13.44140625" bestFit="1" customWidth="1"/>
    <col min="19" max="19" width="12.44140625" bestFit="1" customWidth="1"/>
    <col min="20" max="20" width="12.5546875" bestFit="1" customWidth="1"/>
    <col min="21" max="21" width="11.5546875" bestFit="1" customWidth="1"/>
    <col min="22" max="22" width="14.109375" bestFit="1" customWidth="1"/>
    <col min="23" max="23" width="14" bestFit="1" customWidth="1"/>
    <col min="24" max="24" width="12.6640625" bestFit="1" customWidth="1"/>
    <col min="25" max="25" width="17" customWidth="1"/>
    <col min="26" max="26" width="13" bestFit="1" customWidth="1"/>
  </cols>
  <sheetData>
    <row r="3" spans="1:8" ht="20.399999999999999" x14ac:dyDescent="0.35">
      <c r="A3" s="42" t="s">
        <v>12</v>
      </c>
      <c r="B3" s="42" t="s">
        <v>12</v>
      </c>
      <c r="C3" s="42" t="s">
        <v>12</v>
      </c>
      <c r="D3" s="42" t="s">
        <v>12</v>
      </c>
    </row>
    <row r="5" spans="1:8" x14ac:dyDescent="0.3">
      <c r="A5" s="14" t="s">
        <v>4</v>
      </c>
      <c r="B5" s="43" t="s">
        <v>5</v>
      </c>
      <c r="C5" s="43" t="s">
        <v>13</v>
      </c>
      <c r="D5" s="13"/>
      <c r="F5" s="16" t="str">
        <f>A5</f>
        <v>NO</v>
      </c>
      <c r="G5" s="16" t="str">
        <f t="shared" ref="G5" si="0">B5</f>
        <v>Tanggal</v>
      </c>
      <c r="H5" s="14" t="s">
        <v>13</v>
      </c>
    </row>
    <row r="6" spans="1:8" x14ac:dyDescent="0.3">
      <c r="A6" s="15">
        <v>1</v>
      </c>
      <c r="B6" s="21">
        <v>45930</v>
      </c>
      <c r="C6" s="15">
        <v>16692</v>
      </c>
      <c r="D6" s="13"/>
      <c r="F6" s="19">
        <v>1</v>
      </c>
      <c r="G6" s="22">
        <v>45930</v>
      </c>
      <c r="H6" s="31">
        <f>_xlfn.XLOOKUP(G6,$B$6:$B$656,$C$6:$C$656,,-1)</f>
        <v>16692</v>
      </c>
    </row>
    <row r="7" spans="1:8" x14ac:dyDescent="0.3">
      <c r="A7" s="15">
        <v>2</v>
      </c>
      <c r="B7" s="21">
        <v>45929</v>
      </c>
      <c r="C7" s="15">
        <v>16680</v>
      </c>
      <c r="D7" s="13"/>
      <c r="F7" s="19">
        <v>2</v>
      </c>
      <c r="G7" s="22">
        <v>45929</v>
      </c>
      <c r="H7" s="31">
        <f t="shared" ref="H7:H70" si="1">_xlfn.XLOOKUP(G7,$B$6:$B$656,$C$6:$C$656,,-1)</f>
        <v>16680</v>
      </c>
    </row>
    <row r="8" spans="1:8" x14ac:dyDescent="0.3">
      <c r="A8" s="15">
        <v>3</v>
      </c>
      <c r="B8" s="21">
        <v>45926</v>
      </c>
      <c r="C8" s="15">
        <v>16775</v>
      </c>
      <c r="D8" s="13"/>
      <c r="F8" s="19">
        <v>3</v>
      </c>
      <c r="G8" s="22">
        <v>45928</v>
      </c>
      <c r="H8" s="31">
        <f t="shared" si="1"/>
        <v>16775</v>
      </c>
    </row>
    <row r="9" spans="1:8" x14ac:dyDescent="0.3">
      <c r="A9" s="15">
        <v>4</v>
      </c>
      <c r="B9" s="21">
        <v>45925</v>
      </c>
      <c r="C9" s="15">
        <v>16752</v>
      </c>
      <c r="D9" s="13"/>
      <c r="F9" s="19">
        <v>4</v>
      </c>
      <c r="G9" s="22">
        <v>45927</v>
      </c>
      <c r="H9" s="31">
        <f t="shared" si="1"/>
        <v>16775</v>
      </c>
    </row>
    <row r="10" spans="1:8" x14ac:dyDescent="0.3">
      <c r="A10" s="15">
        <v>5</v>
      </c>
      <c r="B10" s="21">
        <v>45924</v>
      </c>
      <c r="C10" s="15">
        <v>16680</v>
      </c>
      <c r="D10" s="13"/>
      <c r="F10" s="19">
        <v>5</v>
      </c>
      <c r="G10" s="22">
        <v>45926</v>
      </c>
      <c r="H10" s="31">
        <f t="shared" si="1"/>
        <v>16775</v>
      </c>
    </row>
    <row r="11" spans="1:8" x14ac:dyDescent="0.3">
      <c r="A11" s="15">
        <v>6</v>
      </c>
      <c r="B11" s="21">
        <v>45923</v>
      </c>
      <c r="C11" s="15">
        <v>16636</v>
      </c>
      <c r="D11" s="13"/>
      <c r="F11" s="19">
        <v>6</v>
      </c>
      <c r="G11" s="22">
        <v>45925</v>
      </c>
      <c r="H11" s="31">
        <f t="shared" si="1"/>
        <v>16752</v>
      </c>
    </row>
    <row r="12" spans="1:8" x14ac:dyDescent="0.3">
      <c r="A12" s="15">
        <v>7</v>
      </c>
      <c r="B12" s="21">
        <v>45922</v>
      </c>
      <c r="C12" s="15">
        <v>16607</v>
      </c>
      <c r="D12" s="13"/>
      <c r="F12" s="19">
        <v>7</v>
      </c>
      <c r="G12" s="22">
        <v>45924</v>
      </c>
      <c r="H12" s="31">
        <f t="shared" si="1"/>
        <v>16680</v>
      </c>
    </row>
    <row r="13" spans="1:8" x14ac:dyDescent="0.3">
      <c r="A13" s="15">
        <v>8</v>
      </c>
      <c r="B13" s="21">
        <v>45919</v>
      </c>
      <c r="C13" s="15">
        <v>16578</v>
      </c>
      <c r="D13" s="13"/>
      <c r="F13" s="19">
        <v>8</v>
      </c>
      <c r="G13" s="22">
        <v>45923</v>
      </c>
      <c r="H13" s="31">
        <f t="shared" si="1"/>
        <v>16636</v>
      </c>
    </row>
    <row r="14" spans="1:8" x14ac:dyDescent="0.3">
      <c r="A14" s="15">
        <v>9</v>
      </c>
      <c r="B14" s="21">
        <v>45918</v>
      </c>
      <c r="C14" s="15">
        <v>16498</v>
      </c>
      <c r="D14" s="13"/>
      <c r="F14" s="19">
        <v>9</v>
      </c>
      <c r="G14" s="22">
        <v>45922</v>
      </c>
      <c r="H14" s="31">
        <f t="shared" si="1"/>
        <v>16607</v>
      </c>
    </row>
    <row r="15" spans="1:8" x14ac:dyDescent="0.3">
      <c r="A15" s="15">
        <v>10</v>
      </c>
      <c r="B15" s="21">
        <v>45917</v>
      </c>
      <c r="C15" s="15">
        <v>16430</v>
      </c>
      <c r="D15" s="13"/>
      <c r="F15" s="19">
        <v>10</v>
      </c>
      <c r="G15" s="22">
        <v>45921</v>
      </c>
      <c r="H15" s="31">
        <f t="shared" si="1"/>
        <v>16578</v>
      </c>
    </row>
    <row r="16" spans="1:8" x14ac:dyDescent="0.3">
      <c r="A16" s="15">
        <v>11</v>
      </c>
      <c r="B16" s="21">
        <v>45916</v>
      </c>
      <c r="C16" s="15">
        <v>16385</v>
      </c>
      <c r="D16" s="13"/>
      <c r="F16" s="19">
        <v>11</v>
      </c>
      <c r="G16" s="22">
        <v>45920</v>
      </c>
      <c r="H16" s="31">
        <f t="shared" si="1"/>
        <v>16578</v>
      </c>
    </row>
    <row r="17" spans="1:8" x14ac:dyDescent="0.3">
      <c r="A17" s="15">
        <v>12</v>
      </c>
      <c r="B17" s="21">
        <v>45915</v>
      </c>
      <c r="C17" s="15">
        <v>16405</v>
      </c>
      <c r="F17" s="19">
        <v>12</v>
      </c>
      <c r="G17" s="22">
        <v>45919</v>
      </c>
      <c r="H17" s="31">
        <f t="shared" si="1"/>
        <v>16578</v>
      </c>
    </row>
    <row r="18" spans="1:8" x14ac:dyDescent="0.3">
      <c r="A18" s="15">
        <v>13</v>
      </c>
      <c r="B18" s="21">
        <v>45912</v>
      </c>
      <c r="C18" s="15">
        <v>16391</v>
      </c>
      <c r="F18" s="19">
        <v>13</v>
      </c>
      <c r="G18" s="22">
        <v>45918</v>
      </c>
      <c r="H18" s="31">
        <f t="shared" si="1"/>
        <v>16498</v>
      </c>
    </row>
    <row r="19" spans="1:8" x14ac:dyDescent="0.3">
      <c r="A19" s="15">
        <v>14</v>
      </c>
      <c r="B19" s="21">
        <v>45911</v>
      </c>
      <c r="C19" s="15">
        <v>16468</v>
      </c>
      <c r="F19" s="19">
        <v>14</v>
      </c>
      <c r="G19" s="22">
        <v>45917</v>
      </c>
      <c r="H19" s="31">
        <f t="shared" si="1"/>
        <v>16430</v>
      </c>
    </row>
    <row r="20" spans="1:8" x14ac:dyDescent="0.3">
      <c r="A20" s="15">
        <v>15</v>
      </c>
      <c r="B20" s="21">
        <v>45910</v>
      </c>
      <c r="C20" s="15">
        <v>16457</v>
      </c>
      <c r="F20" s="19">
        <v>15</v>
      </c>
      <c r="G20" s="22">
        <v>45916</v>
      </c>
      <c r="H20" s="31">
        <f t="shared" si="1"/>
        <v>16385</v>
      </c>
    </row>
    <row r="21" spans="1:8" x14ac:dyDescent="0.3">
      <c r="A21" s="15">
        <v>16</v>
      </c>
      <c r="B21" s="21">
        <v>45909</v>
      </c>
      <c r="C21" s="15">
        <v>16462</v>
      </c>
      <c r="F21" s="19">
        <v>16</v>
      </c>
      <c r="G21" s="22">
        <v>45915</v>
      </c>
      <c r="H21" s="31">
        <f t="shared" si="1"/>
        <v>16405</v>
      </c>
    </row>
    <row r="22" spans="1:8" x14ac:dyDescent="0.3">
      <c r="A22" s="15">
        <v>17</v>
      </c>
      <c r="B22" s="21">
        <v>45908</v>
      </c>
      <c r="C22" s="15">
        <v>16348</v>
      </c>
      <c r="F22" s="19">
        <v>17</v>
      </c>
      <c r="G22" s="22">
        <v>45914</v>
      </c>
      <c r="H22" s="31">
        <f t="shared" si="1"/>
        <v>16391</v>
      </c>
    </row>
    <row r="23" spans="1:8" x14ac:dyDescent="0.3">
      <c r="A23" s="15">
        <v>18</v>
      </c>
      <c r="B23" s="21">
        <v>45904</v>
      </c>
      <c r="C23" s="15">
        <v>16438</v>
      </c>
      <c r="F23" s="19">
        <v>18</v>
      </c>
      <c r="G23" s="22">
        <v>45913</v>
      </c>
      <c r="H23" s="31">
        <f t="shared" si="1"/>
        <v>16391</v>
      </c>
    </row>
    <row r="24" spans="1:8" x14ac:dyDescent="0.3">
      <c r="A24" s="15">
        <v>19</v>
      </c>
      <c r="B24" s="21">
        <v>45903</v>
      </c>
      <c r="C24" s="15">
        <v>16424</v>
      </c>
      <c r="F24" s="19">
        <v>19</v>
      </c>
      <c r="G24" s="22">
        <v>45912</v>
      </c>
      <c r="H24" s="31">
        <f t="shared" si="1"/>
        <v>16391</v>
      </c>
    </row>
    <row r="25" spans="1:8" x14ac:dyDescent="0.3">
      <c r="A25" s="15">
        <v>20</v>
      </c>
      <c r="B25" s="21">
        <v>45902</v>
      </c>
      <c r="C25" s="15">
        <v>16418</v>
      </c>
      <c r="F25" s="19">
        <v>20</v>
      </c>
      <c r="G25" s="22">
        <v>45911</v>
      </c>
      <c r="H25" s="31">
        <f t="shared" si="1"/>
        <v>16468</v>
      </c>
    </row>
    <row r="26" spans="1:8" x14ac:dyDescent="0.3">
      <c r="A26" s="15">
        <v>21</v>
      </c>
      <c r="B26" s="21">
        <v>45901</v>
      </c>
      <c r="C26" s="15">
        <v>16463</v>
      </c>
      <c r="F26" s="19">
        <v>21</v>
      </c>
      <c r="G26" s="22">
        <v>45910</v>
      </c>
      <c r="H26" s="31">
        <f t="shared" si="1"/>
        <v>16457</v>
      </c>
    </row>
    <row r="27" spans="1:8" x14ac:dyDescent="0.3">
      <c r="A27" s="15">
        <v>22</v>
      </c>
      <c r="B27" s="21">
        <v>45898</v>
      </c>
      <c r="C27" s="15">
        <v>16461</v>
      </c>
      <c r="F27" s="19">
        <v>22</v>
      </c>
      <c r="G27" s="22">
        <v>45909</v>
      </c>
      <c r="H27" s="31">
        <f t="shared" si="1"/>
        <v>16462</v>
      </c>
    </row>
    <row r="28" spans="1:8" x14ac:dyDescent="0.3">
      <c r="A28" s="15">
        <v>23</v>
      </c>
      <c r="B28" s="21">
        <v>45897</v>
      </c>
      <c r="C28" s="15">
        <v>16356</v>
      </c>
      <c r="F28" s="19">
        <v>23</v>
      </c>
      <c r="G28" s="22">
        <v>45908</v>
      </c>
      <c r="H28" s="31">
        <f t="shared" si="1"/>
        <v>16348</v>
      </c>
    </row>
    <row r="29" spans="1:8" x14ac:dyDescent="0.3">
      <c r="A29" s="15">
        <v>24</v>
      </c>
      <c r="B29" s="21">
        <v>45896</v>
      </c>
      <c r="C29" s="15">
        <v>16355</v>
      </c>
      <c r="F29" s="19">
        <v>24</v>
      </c>
      <c r="G29" s="22">
        <v>45907</v>
      </c>
      <c r="H29" s="31">
        <f t="shared" si="1"/>
        <v>16438</v>
      </c>
    </row>
    <row r="30" spans="1:8" x14ac:dyDescent="0.3">
      <c r="A30" s="15">
        <v>25</v>
      </c>
      <c r="B30" s="21">
        <v>45895</v>
      </c>
      <c r="C30" s="15">
        <v>16277</v>
      </c>
      <c r="F30" s="19">
        <v>25</v>
      </c>
      <c r="G30" s="22">
        <v>45906</v>
      </c>
      <c r="H30" s="31">
        <f t="shared" si="1"/>
        <v>16438</v>
      </c>
    </row>
    <row r="31" spans="1:8" x14ac:dyDescent="0.3">
      <c r="A31" s="15">
        <v>26</v>
      </c>
      <c r="B31" s="21">
        <v>45894</v>
      </c>
      <c r="C31" s="15">
        <v>16255</v>
      </c>
      <c r="F31" s="19">
        <v>26</v>
      </c>
      <c r="G31" s="22">
        <v>45905</v>
      </c>
      <c r="H31" s="31">
        <f t="shared" si="1"/>
        <v>16438</v>
      </c>
    </row>
    <row r="32" spans="1:8" x14ac:dyDescent="0.3">
      <c r="A32" s="15">
        <v>27</v>
      </c>
      <c r="B32" s="21">
        <v>45891</v>
      </c>
      <c r="C32" s="15">
        <v>16340</v>
      </c>
      <c r="F32" s="19">
        <v>27</v>
      </c>
      <c r="G32" s="22">
        <v>45904</v>
      </c>
      <c r="H32" s="31">
        <f t="shared" si="1"/>
        <v>16438</v>
      </c>
    </row>
    <row r="33" spans="1:8" x14ac:dyDescent="0.3">
      <c r="A33" s="15">
        <v>28</v>
      </c>
      <c r="B33" s="21">
        <v>45890</v>
      </c>
      <c r="C33" s="15">
        <v>16283</v>
      </c>
      <c r="F33" s="19">
        <v>28</v>
      </c>
      <c r="G33" s="22">
        <v>45903</v>
      </c>
      <c r="H33" s="31">
        <f t="shared" si="1"/>
        <v>16424</v>
      </c>
    </row>
    <row r="34" spans="1:8" x14ac:dyDescent="0.3">
      <c r="A34" s="15">
        <v>29</v>
      </c>
      <c r="B34" s="21">
        <v>45889</v>
      </c>
      <c r="C34" s="15">
        <v>16291</v>
      </c>
      <c r="F34" s="19">
        <v>29</v>
      </c>
      <c r="G34" s="22">
        <v>45902</v>
      </c>
      <c r="H34" s="31">
        <f t="shared" si="1"/>
        <v>16418</v>
      </c>
    </row>
    <row r="35" spans="1:8" x14ac:dyDescent="0.3">
      <c r="A35" s="15">
        <v>30</v>
      </c>
      <c r="B35" s="21">
        <v>45888</v>
      </c>
      <c r="C35" s="15">
        <v>16241</v>
      </c>
      <c r="F35" s="19">
        <v>30</v>
      </c>
      <c r="G35" s="22">
        <v>45901</v>
      </c>
      <c r="H35" s="31">
        <f t="shared" si="1"/>
        <v>16463</v>
      </c>
    </row>
    <row r="36" spans="1:8" x14ac:dyDescent="0.3">
      <c r="A36" s="15">
        <v>31</v>
      </c>
      <c r="B36" s="21">
        <v>45884</v>
      </c>
      <c r="C36" s="15">
        <v>16162</v>
      </c>
      <c r="F36" s="19">
        <v>31</v>
      </c>
      <c r="G36" s="22">
        <v>45900</v>
      </c>
      <c r="H36" s="31">
        <f t="shared" si="1"/>
        <v>16461</v>
      </c>
    </row>
    <row r="37" spans="1:8" x14ac:dyDescent="0.3">
      <c r="A37" s="15">
        <v>32</v>
      </c>
      <c r="B37" s="21">
        <v>45883</v>
      </c>
      <c r="C37" s="15">
        <v>16109</v>
      </c>
      <c r="F37" s="19">
        <v>32</v>
      </c>
      <c r="G37" s="22">
        <v>45899</v>
      </c>
      <c r="H37" s="31">
        <f t="shared" si="1"/>
        <v>16461</v>
      </c>
    </row>
    <row r="38" spans="1:8" x14ac:dyDescent="0.3">
      <c r="A38" s="15">
        <v>33</v>
      </c>
      <c r="B38" s="21">
        <v>45882</v>
      </c>
      <c r="C38" s="15">
        <v>16237</v>
      </c>
      <c r="F38" s="19">
        <v>33</v>
      </c>
      <c r="G38" s="22">
        <v>45898</v>
      </c>
      <c r="H38" s="31">
        <f t="shared" si="1"/>
        <v>16461</v>
      </c>
    </row>
    <row r="39" spans="1:8" x14ac:dyDescent="0.3">
      <c r="A39" s="15">
        <v>34</v>
      </c>
      <c r="B39" s="21">
        <v>45881</v>
      </c>
      <c r="C39" s="15">
        <v>16298</v>
      </c>
      <c r="F39" s="19">
        <v>34</v>
      </c>
      <c r="G39" s="22">
        <v>45897</v>
      </c>
      <c r="H39" s="31">
        <f t="shared" si="1"/>
        <v>16356</v>
      </c>
    </row>
    <row r="40" spans="1:8" x14ac:dyDescent="0.3">
      <c r="A40" s="15">
        <v>35</v>
      </c>
      <c r="B40" s="21">
        <v>45880</v>
      </c>
      <c r="C40" s="15">
        <v>16253</v>
      </c>
      <c r="F40" s="19">
        <v>35</v>
      </c>
      <c r="G40" s="22">
        <v>45896</v>
      </c>
      <c r="H40" s="31">
        <f t="shared" si="1"/>
        <v>16355</v>
      </c>
    </row>
    <row r="41" spans="1:8" x14ac:dyDescent="0.3">
      <c r="A41" s="15">
        <v>36</v>
      </c>
      <c r="B41" s="21">
        <v>45877</v>
      </c>
      <c r="C41" s="15">
        <v>16299</v>
      </c>
      <c r="F41" s="19">
        <v>36</v>
      </c>
      <c r="G41" s="22">
        <v>45895</v>
      </c>
      <c r="H41" s="31">
        <f t="shared" si="1"/>
        <v>16277</v>
      </c>
    </row>
    <row r="42" spans="1:8" x14ac:dyDescent="0.3">
      <c r="A42" s="15">
        <v>37</v>
      </c>
      <c r="B42" s="21">
        <v>45876</v>
      </c>
      <c r="C42" s="15">
        <v>16312</v>
      </c>
      <c r="F42" s="19">
        <v>37</v>
      </c>
      <c r="G42" s="22">
        <v>45894</v>
      </c>
      <c r="H42" s="31">
        <f t="shared" si="1"/>
        <v>16255</v>
      </c>
    </row>
    <row r="43" spans="1:8" x14ac:dyDescent="0.3">
      <c r="A43" s="15">
        <v>38</v>
      </c>
      <c r="B43" s="21">
        <v>45875</v>
      </c>
      <c r="C43" s="15">
        <v>16379</v>
      </c>
      <c r="F43" s="19">
        <v>38</v>
      </c>
      <c r="G43" s="22">
        <v>45893</v>
      </c>
      <c r="H43" s="31">
        <f t="shared" si="1"/>
        <v>16340</v>
      </c>
    </row>
    <row r="44" spans="1:8" x14ac:dyDescent="0.3">
      <c r="A44" s="15">
        <v>39</v>
      </c>
      <c r="B44" s="21">
        <v>45874</v>
      </c>
      <c r="C44" s="15">
        <v>16388</v>
      </c>
      <c r="F44" s="19">
        <v>39</v>
      </c>
      <c r="G44" s="22">
        <v>45892</v>
      </c>
      <c r="H44" s="31">
        <f t="shared" si="1"/>
        <v>16340</v>
      </c>
    </row>
    <row r="45" spans="1:8" x14ac:dyDescent="0.3">
      <c r="A45" s="15">
        <v>40</v>
      </c>
      <c r="B45" s="21">
        <v>45873</v>
      </c>
      <c r="C45" s="15">
        <v>16388</v>
      </c>
      <c r="F45" s="19">
        <v>40</v>
      </c>
      <c r="G45" s="22">
        <v>45891</v>
      </c>
      <c r="H45" s="31">
        <f t="shared" si="1"/>
        <v>16340</v>
      </c>
    </row>
    <row r="46" spans="1:8" x14ac:dyDescent="0.3">
      <c r="A46" s="15">
        <v>41</v>
      </c>
      <c r="B46" s="21">
        <v>45870</v>
      </c>
      <c r="C46" s="15">
        <v>16494</v>
      </c>
      <c r="F46" s="19">
        <v>41</v>
      </c>
      <c r="G46" s="22">
        <v>45890</v>
      </c>
      <c r="H46" s="31">
        <f t="shared" si="1"/>
        <v>16283</v>
      </c>
    </row>
    <row r="47" spans="1:8" x14ac:dyDescent="0.3">
      <c r="A47" s="15">
        <v>42</v>
      </c>
      <c r="B47" s="21">
        <v>45869</v>
      </c>
      <c r="C47" s="15">
        <v>16459</v>
      </c>
      <c r="F47" s="19">
        <v>42</v>
      </c>
      <c r="G47" s="22">
        <v>45889</v>
      </c>
      <c r="H47" s="31">
        <f t="shared" si="1"/>
        <v>16291</v>
      </c>
    </row>
    <row r="48" spans="1:8" x14ac:dyDescent="0.3">
      <c r="A48" s="15">
        <v>43</v>
      </c>
      <c r="B48" s="21">
        <v>45868</v>
      </c>
      <c r="C48" s="15">
        <v>16387</v>
      </c>
      <c r="F48" s="19">
        <v>43</v>
      </c>
      <c r="G48" s="22">
        <v>45888</v>
      </c>
      <c r="H48" s="31">
        <f t="shared" si="1"/>
        <v>16241</v>
      </c>
    </row>
    <row r="49" spans="1:8" x14ac:dyDescent="0.3">
      <c r="A49" s="15">
        <v>44</v>
      </c>
      <c r="B49" s="21">
        <v>45867</v>
      </c>
      <c r="C49" s="15">
        <v>16399</v>
      </c>
      <c r="F49" s="19">
        <v>44</v>
      </c>
      <c r="G49" s="22">
        <v>45887</v>
      </c>
      <c r="H49" s="31">
        <f t="shared" si="1"/>
        <v>16162</v>
      </c>
    </row>
    <row r="50" spans="1:8" x14ac:dyDescent="0.3">
      <c r="A50" s="15">
        <v>45</v>
      </c>
      <c r="B50" s="21">
        <v>45866</v>
      </c>
      <c r="C50" s="15">
        <v>16341</v>
      </c>
      <c r="F50" s="19">
        <v>45</v>
      </c>
      <c r="G50" s="22">
        <v>45886</v>
      </c>
      <c r="H50" s="31">
        <f t="shared" si="1"/>
        <v>16162</v>
      </c>
    </row>
    <row r="51" spans="1:8" x14ac:dyDescent="0.3">
      <c r="A51" s="15">
        <v>46</v>
      </c>
      <c r="B51" s="21">
        <v>45863</v>
      </c>
      <c r="C51" s="15">
        <v>16325</v>
      </c>
      <c r="F51" s="19">
        <v>46</v>
      </c>
      <c r="G51" s="22">
        <v>45885</v>
      </c>
      <c r="H51" s="31">
        <f t="shared" si="1"/>
        <v>16162</v>
      </c>
    </row>
    <row r="52" spans="1:8" x14ac:dyDescent="0.3">
      <c r="A52" s="15">
        <v>47</v>
      </c>
      <c r="B52" s="21">
        <v>45862</v>
      </c>
      <c r="C52" s="15">
        <v>16283</v>
      </c>
      <c r="F52" s="19">
        <v>47</v>
      </c>
      <c r="G52" s="22">
        <v>45884</v>
      </c>
      <c r="H52" s="31">
        <f t="shared" si="1"/>
        <v>16162</v>
      </c>
    </row>
    <row r="53" spans="1:8" x14ac:dyDescent="0.3">
      <c r="A53" s="15">
        <v>48</v>
      </c>
      <c r="B53" s="21">
        <v>45861</v>
      </c>
      <c r="C53" s="15">
        <v>16298</v>
      </c>
      <c r="F53" s="19">
        <v>48</v>
      </c>
      <c r="G53" s="22">
        <v>45883</v>
      </c>
      <c r="H53" s="31">
        <f t="shared" si="1"/>
        <v>16109</v>
      </c>
    </row>
    <row r="54" spans="1:8" x14ac:dyDescent="0.3">
      <c r="A54" s="15">
        <v>49</v>
      </c>
      <c r="B54" s="21">
        <v>45860</v>
      </c>
      <c r="C54" s="15">
        <v>16307</v>
      </c>
      <c r="F54" s="19">
        <v>49</v>
      </c>
      <c r="G54" s="22">
        <v>45882</v>
      </c>
      <c r="H54" s="31">
        <f t="shared" si="1"/>
        <v>16237</v>
      </c>
    </row>
    <row r="55" spans="1:8" x14ac:dyDescent="0.3">
      <c r="A55" s="15">
        <v>50</v>
      </c>
      <c r="B55" s="21">
        <v>45859</v>
      </c>
      <c r="C55" s="15">
        <v>16330</v>
      </c>
      <c r="F55" s="19">
        <v>50</v>
      </c>
      <c r="G55" s="22">
        <v>45881</v>
      </c>
      <c r="H55" s="31">
        <f t="shared" si="1"/>
        <v>16298</v>
      </c>
    </row>
    <row r="56" spans="1:8" x14ac:dyDescent="0.3">
      <c r="A56" s="15">
        <v>51</v>
      </c>
      <c r="B56" s="21">
        <v>45856</v>
      </c>
      <c r="C56" s="15">
        <v>16301</v>
      </c>
      <c r="F56" s="19">
        <v>51</v>
      </c>
      <c r="G56" s="22">
        <v>45880</v>
      </c>
      <c r="H56" s="31">
        <f t="shared" si="1"/>
        <v>16253</v>
      </c>
    </row>
    <row r="57" spans="1:8" x14ac:dyDescent="0.3">
      <c r="A57" s="15">
        <v>52</v>
      </c>
      <c r="B57" s="21">
        <v>45855</v>
      </c>
      <c r="C57" s="15">
        <v>16329</v>
      </c>
      <c r="F57" s="19">
        <v>52</v>
      </c>
      <c r="G57" s="22">
        <v>45879</v>
      </c>
      <c r="H57" s="31">
        <f t="shared" si="1"/>
        <v>16299</v>
      </c>
    </row>
    <row r="58" spans="1:8" x14ac:dyDescent="0.3">
      <c r="A58" s="15">
        <v>53</v>
      </c>
      <c r="B58" s="21">
        <v>45854</v>
      </c>
      <c r="C58" s="15">
        <v>16288</v>
      </c>
      <c r="F58" s="19">
        <v>53</v>
      </c>
      <c r="G58" s="22">
        <v>45878</v>
      </c>
      <c r="H58" s="31">
        <f t="shared" si="1"/>
        <v>16299</v>
      </c>
    </row>
    <row r="59" spans="1:8" x14ac:dyDescent="0.3">
      <c r="A59" s="15">
        <v>54</v>
      </c>
      <c r="B59" s="21">
        <v>45853</v>
      </c>
      <c r="C59" s="15">
        <v>16281</v>
      </c>
      <c r="F59" s="19">
        <v>54</v>
      </c>
      <c r="G59" s="22">
        <v>45877</v>
      </c>
      <c r="H59" s="31">
        <f t="shared" si="1"/>
        <v>16299</v>
      </c>
    </row>
    <row r="60" spans="1:8" x14ac:dyDescent="0.3">
      <c r="A60" s="15">
        <v>55</v>
      </c>
      <c r="B60" s="21">
        <v>45852</v>
      </c>
      <c r="C60" s="15">
        <v>16247</v>
      </c>
      <c r="F60" s="19">
        <v>55</v>
      </c>
      <c r="G60" s="22">
        <v>45876</v>
      </c>
      <c r="H60" s="31">
        <f t="shared" si="1"/>
        <v>16312</v>
      </c>
    </row>
    <row r="61" spans="1:8" x14ac:dyDescent="0.3">
      <c r="A61" s="15">
        <v>56</v>
      </c>
      <c r="B61" s="21">
        <v>45849</v>
      </c>
      <c r="C61" s="15">
        <v>16221</v>
      </c>
      <c r="F61" s="19">
        <v>56</v>
      </c>
      <c r="G61" s="22">
        <v>45875</v>
      </c>
      <c r="H61" s="31">
        <f t="shared" si="1"/>
        <v>16379</v>
      </c>
    </row>
    <row r="62" spans="1:8" x14ac:dyDescent="0.3">
      <c r="A62" s="15">
        <v>57</v>
      </c>
      <c r="B62" s="21">
        <v>45848</v>
      </c>
      <c r="C62" s="15">
        <v>16220</v>
      </c>
      <c r="F62" s="19">
        <v>57</v>
      </c>
      <c r="G62" s="22">
        <v>45874</v>
      </c>
      <c r="H62" s="31">
        <f t="shared" si="1"/>
        <v>16388</v>
      </c>
    </row>
    <row r="63" spans="1:8" x14ac:dyDescent="0.3">
      <c r="A63" s="15">
        <v>58</v>
      </c>
      <c r="B63" s="21">
        <v>45847</v>
      </c>
      <c r="C63" s="15">
        <v>16254</v>
      </c>
      <c r="F63" s="19">
        <v>58</v>
      </c>
      <c r="G63" s="22">
        <v>45873</v>
      </c>
      <c r="H63" s="31">
        <f t="shared" si="1"/>
        <v>16388</v>
      </c>
    </row>
    <row r="64" spans="1:8" x14ac:dyDescent="0.3">
      <c r="A64" s="15">
        <v>59</v>
      </c>
      <c r="B64" s="21">
        <v>45846</v>
      </c>
      <c r="C64" s="15">
        <v>16238</v>
      </c>
      <c r="F64" s="19">
        <v>59</v>
      </c>
      <c r="G64" s="22">
        <v>45872</v>
      </c>
      <c r="H64" s="31">
        <f t="shared" si="1"/>
        <v>16494</v>
      </c>
    </row>
    <row r="65" spans="1:8" x14ac:dyDescent="0.3">
      <c r="A65" s="15">
        <v>60</v>
      </c>
      <c r="B65" s="21">
        <v>45845</v>
      </c>
      <c r="C65" s="15">
        <v>16237</v>
      </c>
      <c r="F65" s="19">
        <v>60</v>
      </c>
      <c r="G65" s="22">
        <v>45871</v>
      </c>
      <c r="H65" s="31">
        <f t="shared" si="1"/>
        <v>16494</v>
      </c>
    </row>
    <row r="66" spans="1:8" x14ac:dyDescent="0.3">
      <c r="A66" s="15">
        <v>61</v>
      </c>
      <c r="B66" s="21">
        <v>45842</v>
      </c>
      <c r="C66" s="15">
        <v>16204</v>
      </c>
      <c r="F66" s="19">
        <v>61</v>
      </c>
      <c r="G66" s="22">
        <v>45870</v>
      </c>
      <c r="H66" s="31">
        <f t="shared" si="1"/>
        <v>16494</v>
      </c>
    </row>
    <row r="67" spans="1:8" x14ac:dyDescent="0.3">
      <c r="A67" s="15">
        <v>62</v>
      </c>
      <c r="B67" s="21">
        <v>45841</v>
      </c>
      <c r="C67" s="15">
        <v>16209</v>
      </c>
      <c r="F67" s="19">
        <v>62</v>
      </c>
      <c r="G67" s="22">
        <v>45869</v>
      </c>
      <c r="H67" s="31">
        <f t="shared" si="1"/>
        <v>16459</v>
      </c>
    </row>
    <row r="68" spans="1:8" x14ac:dyDescent="0.3">
      <c r="A68" s="15">
        <v>63</v>
      </c>
      <c r="B68" s="21">
        <v>45840</v>
      </c>
      <c r="C68" s="15">
        <v>16236</v>
      </c>
      <c r="F68" s="19">
        <v>63</v>
      </c>
      <c r="G68" s="22">
        <v>45868</v>
      </c>
      <c r="H68" s="31">
        <f t="shared" si="1"/>
        <v>16387</v>
      </c>
    </row>
    <row r="69" spans="1:8" x14ac:dyDescent="0.3">
      <c r="A69" s="15">
        <v>64</v>
      </c>
      <c r="B69" s="21">
        <v>45839</v>
      </c>
      <c r="C69" s="15">
        <v>16192</v>
      </c>
      <c r="F69" s="19">
        <v>64</v>
      </c>
      <c r="G69" s="22">
        <v>45867</v>
      </c>
      <c r="H69" s="31">
        <f t="shared" si="1"/>
        <v>16399</v>
      </c>
    </row>
    <row r="70" spans="1:8" x14ac:dyDescent="0.3">
      <c r="A70" s="15">
        <v>65</v>
      </c>
      <c r="B70" s="21">
        <v>45838</v>
      </c>
      <c r="C70" s="15">
        <v>16231</v>
      </c>
      <c r="F70" s="19">
        <v>65</v>
      </c>
      <c r="G70" s="22">
        <v>45866</v>
      </c>
      <c r="H70" s="31">
        <f t="shared" si="1"/>
        <v>16341</v>
      </c>
    </row>
    <row r="71" spans="1:8" x14ac:dyDescent="0.3">
      <c r="A71" s="15">
        <v>66</v>
      </c>
      <c r="B71" s="21">
        <v>45834</v>
      </c>
      <c r="C71" s="15">
        <v>16233</v>
      </c>
      <c r="F71" s="19">
        <v>66</v>
      </c>
      <c r="G71" s="22">
        <v>45865</v>
      </c>
      <c r="H71" s="31">
        <f t="shared" ref="H71:H134" si="2">_xlfn.XLOOKUP(G71,$B$6:$B$656,$C$6:$C$656,,-1)</f>
        <v>16325</v>
      </c>
    </row>
    <row r="72" spans="1:8" x14ac:dyDescent="0.3">
      <c r="A72" s="15">
        <v>67</v>
      </c>
      <c r="B72" s="21">
        <v>45833</v>
      </c>
      <c r="C72" s="15">
        <v>16292</v>
      </c>
      <c r="F72" s="19">
        <v>67</v>
      </c>
      <c r="G72" s="22">
        <v>45864</v>
      </c>
      <c r="H72" s="31">
        <f t="shared" si="2"/>
        <v>16325</v>
      </c>
    </row>
    <row r="73" spans="1:8" x14ac:dyDescent="0.3">
      <c r="A73" s="15">
        <v>68</v>
      </c>
      <c r="B73" s="21">
        <v>45832</v>
      </c>
      <c r="C73" s="15">
        <v>16370</v>
      </c>
      <c r="F73" s="19">
        <v>68</v>
      </c>
      <c r="G73" s="22">
        <v>45863</v>
      </c>
      <c r="H73" s="31">
        <f t="shared" si="2"/>
        <v>16325</v>
      </c>
    </row>
    <row r="74" spans="1:8" x14ac:dyDescent="0.3">
      <c r="A74" s="15">
        <v>69</v>
      </c>
      <c r="B74" s="21">
        <v>45831</v>
      </c>
      <c r="C74" s="15">
        <v>16484</v>
      </c>
      <c r="F74" s="19">
        <v>69</v>
      </c>
      <c r="G74" s="22">
        <v>45862</v>
      </c>
      <c r="H74" s="31">
        <f t="shared" si="2"/>
        <v>16283</v>
      </c>
    </row>
    <row r="75" spans="1:8" x14ac:dyDescent="0.3">
      <c r="A75" s="15">
        <v>70</v>
      </c>
      <c r="B75" s="21">
        <v>45828</v>
      </c>
      <c r="C75" s="15">
        <v>16399</v>
      </c>
      <c r="F75" s="19">
        <v>70</v>
      </c>
      <c r="G75" s="22">
        <v>45861</v>
      </c>
      <c r="H75" s="31">
        <f t="shared" si="2"/>
        <v>16298</v>
      </c>
    </row>
    <row r="76" spans="1:8" x14ac:dyDescent="0.3">
      <c r="A76" s="15">
        <v>71</v>
      </c>
      <c r="B76" s="21">
        <v>45827</v>
      </c>
      <c r="C76" s="15">
        <v>16378</v>
      </c>
      <c r="F76" s="19">
        <v>71</v>
      </c>
      <c r="G76" s="22">
        <v>45860</v>
      </c>
      <c r="H76" s="31">
        <f t="shared" si="2"/>
        <v>16307</v>
      </c>
    </row>
    <row r="77" spans="1:8" x14ac:dyDescent="0.3">
      <c r="A77" s="15">
        <v>72</v>
      </c>
      <c r="B77" s="21">
        <v>45826</v>
      </c>
      <c r="C77" s="15">
        <v>16319</v>
      </c>
      <c r="F77" s="19">
        <v>72</v>
      </c>
      <c r="G77" s="22">
        <v>45859</v>
      </c>
      <c r="H77" s="31">
        <f t="shared" si="2"/>
        <v>16330</v>
      </c>
    </row>
    <row r="78" spans="1:8" x14ac:dyDescent="0.3">
      <c r="A78" s="15">
        <v>73</v>
      </c>
      <c r="B78" s="21">
        <v>45825</v>
      </c>
      <c r="C78" s="15">
        <v>16281</v>
      </c>
      <c r="F78" s="19">
        <v>73</v>
      </c>
      <c r="G78" s="22">
        <v>45858</v>
      </c>
      <c r="H78" s="31">
        <f t="shared" si="2"/>
        <v>16301</v>
      </c>
    </row>
    <row r="79" spans="1:8" x14ac:dyDescent="0.3">
      <c r="A79" s="15">
        <v>74</v>
      </c>
      <c r="B79" s="21">
        <v>45824</v>
      </c>
      <c r="C79" s="15">
        <v>16296</v>
      </c>
      <c r="F79" s="19">
        <v>74</v>
      </c>
      <c r="G79" s="22">
        <v>45857</v>
      </c>
      <c r="H79" s="31">
        <f t="shared" si="2"/>
        <v>16301</v>
      </c>
    </row>
    <row r="80" spans="1:8" x14ac:dyDescent="0.3">
      <c r="A80" s="15">
        <v>75</v>
      </c>
      <c r="B80" s="21">
        <v>45821</v>
      </c>
      <c r="C80" s="15">
        <v>16293</v>
      </c>
      <c r="F80" s="19">
        <v>75</v>
      </c>
      <c r="G80" s="22">
        <v>45856</v>
      </c>
      <c r="H80" s="31">
        <f t="shared" si="2"/>
        <v>16301</v>
      </c>
    </row>
    <row r="81" spans="1:8" x14ac:dyDescent="0.3">
      <c r="A81" s="15">
        <v>76</v>
      </c>
      <c r="B81" s="21">
        <v>45820</v>
      </c>
      <c r="C81" s="15">
        <v>16237</v>
      </c>
      <c r="F81" s="19">
        <v>76</v>
      </c>
      <c r="G81" s="22">
        <v>45855</v>
      </c>
      <c r="H81" s="31">
        <f t="shared" si="2"/>
        <v>16329</v>
      </c>
    </row>
    <row r="82" spans="1:8" x14ac:dyDescent="0.3">
      <c r="A82" s="15">
        <v>77</v>
      </c>
      <c r="B82" s="21">
        <v>45819</v>
      </c>
      <c r="C82" s="15">
        <v>16265</v>
      </c>
      <c r="F82" s="19">
        <v>77</v>
      </c>
      <c r="G82" s="22">
        <v>45854</v>
      </c>
      <c r="H82" s="31">
        <f t="shared" si="2"/>
        <v>16288</v>
      </c>
    </row>
    <row r="83" spans="1:8" x14ac:dyDescent="0.3">
      <c r="A83" s="15">
        <v>78</v>
      </c>
      <c r="B83" s="21">
        <v>45818</v>
      </c>
      <c r="C83" s="15">
        <v>16276</v>
      </c>
      <c r="F83" s="19">
        <v>78</v>
      </c>
      <c r="G83" s="22">
        <v>45853</v>
      </c>
      <c r="H83" s="31">
        <f t="shared" si="2"/>
        <v>16281</v>
      </c>
    </row>
    <row r="84" spans="1:8" x14ac:dyDescent="0.3">
      <c r="A84" s="15">
        <v>79</v>
      </c>
      <c r="B84" s="21">
        <v>45813</v>
      </c>
      <c r="C84" s="15">
        <v>16277</v>
      </c>
      <c r="F84" s="19">
        <v>79</v>
      </c>
      <c r="G84" s="22">
        <v>45852</v>
      </c>
      <c r="H84" s="31">
        <f t="shared" si="2"/>
        <v>16247</v>
      </c>
    </row>
    <row r="85" spans="1:8" x14ac:dyDescent="0.3">
      <c r="A85" s="15">
        <v>80</v>
      </c>
      <c r="B85" s="21">
        <v>45812</v>
      </c>
      <c r="C85" s="15">
        <v>16305</v>
      </c>
      <c r="F85" s="19">
        <v>80</v>
      </c>
      <c r="G85" s="22">
        <v>45851</v>
      </c>
      <c r="H85" s="31">
        <f t="shared" si="2"/>
        <v>16221</v>
      </c>
    </row>
    <row r="86" spans="1:8" x14ac:dyDescent="0.3">
      <c r="A86" s="15">
        <v>81</v>
      </c>
      <c r="B86" s="21">
        <v>45811</v>
      </c>
      <c r="C86" s="15">
        <v>16288</v>
      </c>
      <c r="F86" s="19">
        <v>81</v>
      </c>
      <c r="G86" s="22">
        <v>45850</v>
      </c>
      <c r="H86" s="31">
        <f t="shared" si="2"/>
        <v>16221</v>
      </c>
    </row>
    <row r="87" spans="1:8" x14ac:dyDescent="0.3">
      <c r="A87" s="15">
        <v>82</v>
      </c>
      <c r="B87" s="21">
        <v>45810</v>
      </c>
      <c r="C87" s="15">
        <v>16297</v>
      </c>
      <c r="F87" s="19">
        <v>82</v>
      </c>
      <c r="G87" s="22">
        <v>45849</v>
      </c>
      <c r="H87" s="31">
        <f t="shared" si="2"/>
        <v>16221</v>
      </c>
    </row>
    <row r="88" spans="1:8" x14ac:dyDescent="0.3">
      <c r="A88" s="15">
        <v>83</v>
      </c>
      <c r="B88" s="21">
        <v>45805</v>
      </c>
      <c r="C88" s="15">
        <v>16300</v>
      </c>
      <c r="F88" s="19">
        <v>83</v>
      </c>
      <c r="G88" s="22">
        <v>45848</v>
      </c>
      <c r="H88" s="31">
        <f t="shared" si="2"/>
        <v>16220</v>
      </c>
    </row>
    <row r="89" spans="1:8" x14ac:dyDescent="0.3">
      <c r="A89" s="15">
        <v>84</v>
      </c>
      <c r="B89" s="21">
        <v>45804</v>
      </c>
      <c r="C89" s="15">
        <v>16255</v>
      </c>
      <c r="F89" s="19">
        <v>84</v>
      </c>
      <c r="G89" s="22">
        <v>45847</v>
      </c>
      <c r="H89" s="31">
        <f t="shared" si="2"/>
        <v>16254</v>
      </c>
    </row>
    <row r="90" spans="1:8" x14ac:dyDescent="0.3">
      <c r="A90" s="15">
        <v>85</v>
      </c>
      <c r="B90" s="21">
        <v>45803</v>
      </c>
      <c r="C90" s="15">
        <v>16207</v>
      </c>
      <c r="F90" s="19">
        <v>85</v>
      </c>
      <c r="G90" s="22">
        <v>45846</v>
      </c>
      <c r="H90" s="31">
        <f t="shared" si="2"/>
        <v>16238</v>
      </c>
    </row>
    <row r="91" spans="1:8" x14ac:dyDescent="0.3">
      <c r="A91" s="15">
        <v>86</v>
      </c>
      <c r="B91" s="21">
        <v>45800</v>
      </c>
      <c r="C91" s="15">
        <v>16289</v>
      </c>
      <c r="F91" s="19">
        <v>86</v>
      </c>
      <c r="G91" s="22">
        <v>45845</v>
      </c>
      <c r="H91" s="31">
        <f t="shared" si="2"/>
        <v>16237</v>
      </c>
    </row>
    <row r="92" spans="1:8" x14ac:dyDescent="0.3">
      <c r="A92" s="15">
        <v>87</v>
      </c>
      <c r="B92" s="21">
        <v>45799</v>
      </c>
      <c r="C92" s="15">
        <v>16313</v>
      </c>
      <c r="F92" s="19">
        <v>87</v>
      </c>
      <c r="G92" s="22">
        <v>45844</v>
      </c>
      <c r="H92" s="31">
        <f t="shared" si="2"/>
        <v>16204</v>
      </c>
    </row>
    <row r="93" spans="1:8" x14ac:dyDescent="0.3">
      <c r="A93" s="15">
        <v>88</v>
      </c>
      <c r="B93" s="21">
        <v>45798</v>
      </c>
      <c r="C93" s="15">
        <v>16413</v>
      </c>
      <c r="F93" s="19">
        <v>88</v>
      </c>
      <c r="G93" s="22">
        <v>45843</v>
      </c>
      <c r="H93" s="31">
        <f t="shared" si="2"/>
        <v>16204</v>
      </c>
    </row>
    <row r="94" spans="1:8" x14ac:dyDescent="0.3">
      <c r="A94" s="15">
        <v>89</v>
      </c>
      <c r="B94" s="21">
        <v>45797</v>
      </c>
      <c r="C94" s="15">
        <v>16406</v>
      </c>
      <c r="F94" s="19">
        <v>89</v>
      </c>
      <c r="G94" s="22">
        <v>45842</v>
      </c>
      <c r="H94" s="31">
        <f t="shared" si="2"/>
        <v>16204</v>
      </c>
    </row>
    <row r="95" spans="1:8" x14ac:dyDescent="0.3">
      <c r="A95" s="15">
        <v>90</v>
      </c>
      <c r="B95" s="21">
        <v>45796</v>
      </c>
      <c r="C95" s="15">
        <v>16455</v>
      </c>
      <c r="F95" s="19">
        <v>90</v>
      </c>
      <c r="G95" s="22">
        <v>45841</v>
      </c>
      <c r="H95" s="31">
        <f t="shared" si="2"/>
        <v>16209</v>
      </c>
    </row>
    <row r="96" spans="1:8" x14ac:dyDescent="0.3">
      <c r="A96" s="15">
        <v>91</v>
      </c>
      <c r="B96" s="21">
        <v>45793</v>
      </c>
      <c r="C96" s="15">
        <v>16424</v>
      </c>
      <c r="F96" s="19">
        <v>91</v>
      </c>
      <c r="G96" s="22">
        <v>45840</v>
      </c>
      <c r="H96" s="31">
        <f t="shared" si="2"/>
        <v>16236</v>
      </c>
    </row>
    <row r="97" spans="1:8" x14ac:dyDescent="0.3">
      <c r="A97" s="15">
        <v>92</v>
      </c>
      <c r="B97" s="21">
        <v>45792</v>
      </c>
      <c r="C97" s="15">
        <v>16535</v>
      </c>
      <c r="F97" s="19">
        <v>92</v>
      </c>
      <c r="G97" s="22">
        <v>45839</v>
      </c>
      <c r="H97" s="31">
        <f t="shared" si="2"/>
        <v>16192</v>
      </c>
    </row>
    <row r="98" spans="1:8" x14ac:dyDescent="0.3">
      <c r="A98" s="15">
        <v>93</v>
      </c>
      <c r="B98" s="21">
        <v>45791</v>
      </c>
      <c r="C98" s="15">
        <v>16568</v>
      </c>
      <c r="F98" s="19">
        <v>93</v>
      </c>
      <c r="G98" s="22">
        <v>45838</v>
      </c>
      <c r="H98" s="31">
        <f t="shared" si="2"/>
        <v>16231</v>
      </c>
    </row>
    <row r="99" spans="1:8" x14ac:dyDescent="0.3">
      <c r="A99" s="15">
        <v>94</v>
      </c>
      <c r="B99" s="21">
        <v>45786</v>
      </c>
      <c r="C99" s="15">
        <v>16532</v>
      </c>
      <c r="F99" s="19">
        <v>94</v>
      </c>
      <c r="G99" s="22">
        <v>45837</v>
      </c>
      <c r="H99" s="31">
        <f t="shared" si="2"/>
        <v>16233</v>
      </c>
    </row>
    <row r="100" spans="1:8" x14ac:dyDescent="0.3">
      <c r="A100" s="15">
        <v>95</v>
      </c>
      <c r="B100" s="21">
        <v>45785</v>
      </c>
      <c r="C100" s="15">
        <v>16497</v>
      </c>
      <c r="F100" s="19">
        <v>95</v>
      </c>
      <c r="G100" s="22">
        <v>45836</v>
      </c>
      <c r="H100" s="31">
        <f t="shared" si="2"/>
        <v>16233</v>
      </c>
    </row>
    <row r="101" spans="1:8" x14ac:dyDescent="0.3">
      <c r="A101" s="15">
        <v>96</v>
      </c>
      <c r="B101" s="21">
        <v>45784</v>
      </c>
      <c r="C101" s="15">
        <v>16533</v>
      </c>
      <c r="F101" s="19">
        <v>96</v>
      </c>
      <c r="G101" s="22">
        <v>45835</v>
      </c>
      <c r="H101" s="31">
        <f t="shared" si="2"/>
        <v>16233</v>
      </c>
    </row>
    <row r="102" spans="1:8" x14ac:dyDescent="0.3">
      <c r="A102" s="15">
        <v>97</v>
      </c>
      <c r="B102" s="21">
        <v>45783</v>
      </c>
      <c r="C102" s="15">
        <v>16472</v>
      </c>
      <c r="F102" s="19">
        <v>97</v>
      </c>
      <c r="G102" s="22">
        <v>45834</v>
      </c>
      <c r="H102" s="31">
        <f t="shared" si="2"/>
        <v>16233</v>
      </c>
    </row>
    <row r="103" spans="1:8" x14ac:dyDescent="0.3">
      <c r="A103" s="15">
        <v>98</v>
      </c>
      <c r="B103" s="21">
        <v>45782</v>
      </c>
      <c r="C103" s="15">
        <v>16421</v>
      </c>
      <c r="F103" s="19">
        <v>98</v>
      </c>
      <c r="G103" s="22">
        <v>45833</v>
      </c>
      <c r="H103" s="31">
        <f t="shared" si="2"/>
        <v>16292</v>
      </c>
    </row>
    <row r="104" spans="1:8" x14ac:dyDescent="0.3">
      <c r="A104" s="15">
        <v>99</v>
      </c>
      <c r="B104" s="21">
        <v>45779</v>
      </c>
      <c r="C104" s="15">
        <v>16493</v>
      </c>
      <c r="F104" s="19">
        <v>99</v>
      </c>
      <c r="G104" s="22">
        <v>45832</v>
      </c>
      <c r="H104" s="31">
        <f t="shared" si="2"/>
        <v>16370</v>
      </c>
    </row>
    <row r="105" spans="1:8" x14ac:dyDescent="0.3">
      <c r="A105" s="15">
        <v>100</v>
      </c>
      <c r="B105" s="21">
        <v>45777</v>
      </c>
      <c r="C105" s="15">
        <v>16679</v>
      </c>
      <c r="F105" s="19">
        <v>100</v>
      </c>
      <c r="G105" s="22">
        <v>45831</v>
      </c>
      <c r="H105" s="31">
        <f t="shared" si="2"/>
        <v>16484</v>
      </c>
    </row>
    <row r="106" spans="1:8" x14ac:dyDescent="0.3">
      <c r="A106" s="15">
        <v>101</v>
      </c>
      <c r="B106" s="21">
        <v>45776</v>
      </c>
      <c r="C106" s="15">
        <v>16787</v>
      </c>
      <c r="F106" s="19">
        <v>101</v>
      </c>
      <c r="G106" s="22">
        <v>45830</v>
      </c>
      <c r="H106" s="31">
        <f t="shared" si="2"/>
        <v>16399</v>
      </c>
    </row>
    <row r="107" spans="1:8" x14ac:dyDescent="0.3">
      <c r="A107" s="15">
        <v>102</v>
      </c>
      <c r="B107" s="21">
        <v>45775</v>
      </c>
      <c r="C107" s="15">
        <v>16862</v>
      </c>
      <c r="F107" s="19">
        <v>102</v>
      </c>
      <c r="G107" s="22">
        <v>45829</v>
      </c>
      <c r="H107" s="31">
        <f t="shared" si="2"/>
        <v>16399</v>
      </c>
    </row>
    <row r="108" spans="1:8" x14ac:dyDescent="0.3">
      <c r="A108" s="15">
        <v>103</v>
      </c>
      <c r="B108" s="21">
        <v>45772</v>
      </c>
      <c r="C108" s="15">
        <v>16829</v>
      </c>
      <c r="F108" s="19">
        <v>103</v>
      </c>
      <c r="G108" s="22">
        <v>45828</v>
      </c>
      <c r="H108" s="31">
        <f t="shared" si="2"/>
        <v>16399</v>
      </c>
    </row>
    <row r="109" spans="1:8" x14ac:dyDescent="0.3">
      <c r="A109" s="15">
        <v>104</v>
      </c>
      <c r="B109" s="21">
        <v>45771</v>
      </c>
      <c r="C109" s="15">
        <v>16884</v>
      </c>
      <c r="F109" s="19">
        <v>104</v>
      </c>
      <c r="G109" s="22">
        <v>45827</v>
      </c>
      <c r="H109" s="31">
        <f t="shared" si="2"/>
        <v>16378</v>
      </c>
    </row>
    <row r="110" spans="1:8" x14ac:dyDescent="0.3">
      <c r="A110" s="15">
        <v>105</v>
      </c>
      <c r="B110" s="21">
        <v>45770</v>
      </c>
      <c r="C110" s="15">
        <v>16880</v>
      </c>
      <c r="F110" s="19">
        <v>105</v>
      </c>
      <c r="G110" s="22">
        <v>45826</v>
      </c>
      <c r="H110" s="31">
        <f t="shared" si="2"/>
        <v>16319</v>
      </c>
    </row>
    <row r="111" spans="1:8" x14ac:dyDescent="0.3">
      <c r="A111" s="15">
        <v>106</v>
      </c>
      <c r="B111" s="21">
        <v>45769</v>
      </c>
      <c r="C111" s="15">
        <v>16862</v>
      </c>
      <c r="F111" s="19">
        <v>106</v>
      </c>
      <c r="G111" s="22">
        <v>45825</v>
      </c>
      <c r="H111" s="31">
        <f t="shared" si="2"/>
        <v>16281</v>
      </c>
    </row>
    <row r="112" spans="1:8" x14ac:dyDescent="0.3">
      <c r="A112" s="15">
        <v>107</v>
      </c>
      <c r="B112" s="21">
        <v>45768</v>
      </c>
      <c r="C112" s="15">
        <v>16808</v>
      </c>
      <c r="F112" s="19">
        <v>107</v>
      </c>
      <c r="G112" s="22">
        <v>45824</v>
      </c>
      <c r="H112" s="31">
        <f t="shared" si="2"/>
        <v>16296</v>
      </c>
    </row>
    <row r="113" spans="1:8" x14ac:dyDescent="0.3">
      <c r="A113" s="15">
        <v>108</v>
      </c>
      <c r="B113" s="21">
        <v>45764</v>
      </c>
      <c r="C113" s="15">
        <v>16833</v>
      </c>
      <c r="F113" s="19">
        <v>108</v>
      </c>
      <c r="G113" s="22">
        <v>45823</v>
      </c>
      <c r="H113" s="31">
        <f t="shared" si="2"/>
        <v>16293</v>
      </c>
    </row>
    <row r="114" spans="1:8" x14ac:dyDescent="0.3">
      <c r="A114" s="15">
        <v>109</v>
      </c>
      <c r="B114" s="21">
        <v>45763</v>
      </c>
      <c r="C114" s="15">
        <v>16845</v>
      </c>
      <c r="F114" s="19">
        <v>109</v>
      </c>
      <c r="G114" s="22">
        <v>45822</v>
      </c>
      <c r="H114" s="31">
        <f t="shared" si="2"/>
        <v>16293</v>
      </c>
    </row>
    <row r="115" spans="1:8" x14ac:dyDescent="0.3">
      <c r="A115" s="15">
        <v>110</v>
      </c>
      <c r="B115" s="21">
        <v>45762</v>
      </c>
      <c r="C115" s="15">
        <v>16815</v>
      </c>
      <c r="F115" s="19">
        <v>110</v>
      </c>
      <c r="G115" s="22">
        <v>45821</v>
      </c>
      <c r="H115" s="31">
        <f t="shared" si="2"/>
        <v>16293</v>
      </c>
    </row>
    <row r="116" spans="1:8" x14ac:dyDescent="0.3">
      <c r="A116" s="15">
        <v>111</v>
      </c>
      <c r="B116" s="21">
        <v>45761</v>
      </c>
      <c r="C116" s="15">
        <v>16773</v>
      </c>
      <c r="F116" s="19">
        <v>111</v>
      </c>
      <c r="G116" s="22">
        <v>45820</v>
      </c>
      <c r="H116" s="31">
        <f t="shared" si="2"/>
        <v>16237</v>
      </c>
    </row>
    <row r="117" spans="1:8" x14ac:dyDescent="0.3">
      <c r="A117" s="15">
        <v>112</v>
      </c>
      <c r="B117" s="21">
        <v>45758</v>
      </c>
      <c r="C117" s="15">
        <v>16805</v>
      </c>
      <c r="F117" s="19">
        <v>112</v>
      </c>
      <c r="G117" s="22">
        <v>45819</v>
      </c>
      <c r="H117" s="31">
        <f t="shared" si="2"/>
        <v>16265</v>
      </c>
    </row>
    <row r="118" spans="1:8" x14ac:dyDescent="0.3">
      <c r="A118" s="15">
        <v>113</v>
      </c>
      <c r="B118" s="21">
        <v>45757</v>
      </c>
      <c r="C118" s="15">
        <v>16779</v>
      </c>
      <c r="F118" s="19">
        <v>113</v>
      </c>
      <c r="G118" s="22">
        <v>45818</v>
      </c>
      <c r="H118" s="31">
        <f t="shared" si="2"/>
        <v>16276</v>
      </c>
    </row>
    <row r="119" spans="1:8" x14ac:dyDescent="0.3">
      <c r="A119" s="15">
        <v>114</v>
      </c>
      <c r="B119" s="21">
        <v>45756</v>
      </c>
      <c r="C119" s="15">
        <v>16943</v>
      </c>
      <c r="F119" s="19">
        <v>114</v>
      </c>
      <c r="G119" s="22">
        <v>45817</v>
      </c>
      <c r="H119" s="31">
        <f t="shared" si="2"/>
        <v>16277</v>
      </c>
    </row>
    <row r="120" spans="1:8" x14ac:dyDescent="0.3">
      <c r="A120" s="15">
        <v>115</v>
      </c>
      <c r="B120" s="21">
        <v>45755</v>
      </c>
      <c r="C120" s="15">
        <v>16849</v>
      </c>
      <c r="F120" s="19">
        <v>115</v>
      </c>
      <c r="G120" s="22">
        <v>45816</v>
      </c>
      <c r="H120" s="31">
        <f t="shared" si="2"/>
        <v>16277</v>
      </c>
    </row>
    <row r="121" spans="1:8" x14ac:dyDescent="0.3">
      <c r="A121" s="15">
        <v>116</v>
      </c>
      <c r="B121" s="21">
        <v>45743</v>
      </c>
      <c r="C121" s="15">
        <v>16566</v>
      </c>
      <c r="F121" s="19">
        <v>116</v>
      </c>
      <c r="G121" s="22">
        <v>45815</v>
      </c>
      <c r="H121" s="31">
        <f t="shared" si="2"/>
        <v>16277</v>
      </c>
    </row>
    <row r="122" spans="1:8" x14ac:dyDescent="0.3">
      <c r="A122" s="15">
        <v>117</v>
      </c>
      <c r="B122" s="21">
        <v>45742</v>
      </c>
      <c r="C122" s="15">
        <v>16588</v>
      </c>
      <c r="F122" s="19">
        <v>117</v>
      </c>
      <c r="G122" s="22">
        <v>45814</v>
      </c>
      <c r="H122" s="31">
        <f t="shared" si="2"/>
        <v>16277</v>
      </c>
    </row>
    <row r="123" spans="1:8" x14ac:dyDescent="0.3">
      <c r="A123" s="15">
        <v>118</v>
      </c>
      <c r="B123" s="21">
        <v>45741</v>
      </c>
      <c r="C123" s="15">
        <v>16622</v>
      </c>
      <c r="F123" s="19">
        <v>118</v>
      </c>
      <c r="G123" s="22">
        <v>45813</v>
      </c>
      <c r="H123" s="31">
        <f t="shared" si="2"/>
        <v>16277</v>
      </c>
    </row>
    <row r="124" spans="1:8" x14ac:dyDescent="0.3">
      <c r="A124" s="15">
        <v>119</v>
      </c>
      <c r="B124" s="21">
        <v>45740</v>
      </c>
      <c r="C124" s="15">
        <v>16561</v>
      </c>
      <c r="F124" s="19">
        <v>119</v>
      </c>
      <c r="G124" s="22">
        <v>45812</v>
      </c>
      <c r="H124" s="31">
        <f t="shared" si="2"/>
        <v>16305</v>
      </c>
    </row>
    <row r="125" spans="1:8" x14ac:dyDescent="0.3">
      <c r="A125" s="15">
        <v>120</v>
      </c>
      <c r="B125" s="21">
        <v>45737</v>
      </c>
      <c r="C125" s="15">
        <v>16501</v>
      </c>
      <c r="F125" s="19">
        <v>120</v>
      </c>
      <c r="G125" s="22">
        <v>45811</v>
      </c>
      <c r="H125" s="31">
        <f t="shared" si="2"/>
        <v>16288</v>
      </c>
    </row>
    <row r="126" spans="1:8" x14ac:dyDescent="0.3">
      <c r="A126" s="15">
        <v>121</v>
      </c>
      <c r="B126" s="21">
        <v>45736</v>
      </c>
      <c r="C126" s="15">
        <v>16481</v>
      </c>
      <c r="F126" s="19">
        <v>121</v>
      </c>
      <c r="G126" s="22">
        <v>45810</v>
      </c>
      <c r="H126" s="31">
        <f t="shared" si="2"/>
        <v>16297</v>
      </c>
    </row>
    <row r="127" spans="1:8" x14ac:dyDescent="0.3">
      <c r="A127" s="15">
        <v>122</v>
      </c>
      <c r="B127" s="21">
        <v>45735</v>
      </c>
      <c r="C127" s="15">
        <v>16528</v>
      </c>
      <c r="F127" s="19">
        <v>122</v>
      </c>
      <c r="G127" s="22">
        <v>45809</v>
      </c>
      <c r="H127" s="31">
        <f t="shared" si="2"/>
        <v>16300</v>
      </c>
    </row>
    <row r="128" spans="1:8" x14ac:dyDescent="0.3">
      <c r="A128" s="15">
        <v>123</v>
      </c>
      <c r="B128" s="21">
        <v>45734</v>
      </c>
      <c r="C128" s="15">
        <v>16432</v>
      </c>
      <c r="F128" s="19">
        <v>123</v>
      </c>
      <c r="G128" s="22">
        <v>45808</v>
      </c>
      <c r="H128" s="31">
        <f t="shared" si="2"/>
        <v>16300</v>
      </c>
    </row>
    <row r="129" spans="1:8" x14ac:dyDescent="0.3">
      <c r="A129" s="15">
        <v>124</v>
      </c>
      <c r="B129" s="21">
        <v>45733</v>
      </c>
      <c r="C129" s="15">
        <v>16379</v>
      </c>
      <c r="F129" s="19">
        <v>124</v>
      </c>
      <c r="G129" s="22">
        <v>45807</v>
      </c>
      <c r="H129" s="31">
        <f t="shared" si="2"/>
        <v>16300</v>
      </c>
    </row>
    <row r="130" spans="1:8" x14ac:dyDescent="0.3">
      <c r="A130" s="15">
        <v>125</v>
      </c>
      <c r="B130" s="21">
        <v>45730</v>
      </c>
      <c r="C130" s="15">
        <v>16392</v>
      </c>
      <c r="F130" s="19">
        <v>125</v>
      </c>
      <c r="G130" s="22">
        <v>45806</v>
      </c>
      <c r="H130" s="31">
        <f t="shared" si="2"/>
        <v>16300</v>
      </c>
    </row>
    <row r="131" spans="1:8" x14ac:dyDescent="0.3">
      <c r="A131" s="15">
        <v>126</v>
      </c>
      <c r="B131" s="21">
        <v>45729</v>
      </c>
      <c r="C131" s="15">
        <v>16428</v>
      </c>
      <c r="F131" s="19">
        <v>126</v>
      </c>
      <c r="G131" s="22">
        <v>45805</v>
      </c>
      <c r="H131" s="31">
        <f t="shared" si="2"/>
        <v>16300</v>
      </c>
    </row>
    <row r="132" spans="1:8" x14ac:dyDescent="0.3">
      <c r="A132" s="15">
        <v>127</v>
      </c>
      <c r="B132" s="21">
        <v>45728</v>
      </c>
      <c r="C132" s="15">
        <v>16453</v>
      </c>
      <c r="F132" s="19">
        <v>127</v>
      </c>
      <c r="G132" s="22">
        <v>45804</v>
      </c>
      <c r="H132" s="31">
        <f t="shared" si="2"/>
        <v>16255</v>
      </c>
    </row>
    <row r="133" spans="1:8" x14ac:dyDescent="0.3">
      <c r="A133" s="15">
        <v>128</v>
      </c>
      <c r="B133" s="21">
        <v>45727</v>
      </c>
      <c r="C133" s="15">
        <v>16430</v>
      </c>
      <c r="F133" s="19">
        <v>128</v>
      </c>
      <c r="G133" s="22">
        <v>45803</v>
      </c>
      <c r="H133" s="31">
        <f t="shared" si="2"/>
        <v>16207</v>
      </c>
    </row>
    <row r="134" spans="1:8" x14ac:dyDescent="0.3">
      <c r="A134" s="15">
        <v>129</v>
      </c>
      <c r="B134" s="21">
        <v>45726</v>
      </c>
      <c r="C134" s="15">
        <v>16326</v>
      </c>
      <c r="F134" s="19">
        <v>129</v>
      </c>
      <c r="G134" s="22">
        <v>45802</v>
      </c>
      <c r="H134" s="31">
        <f t="shared" si="2"/>
        <v>16289</v>
      </c>
    </row>
    <row r="135" spans="1:8" x14ac:dyDescent="0.3">
      <c r="A135" s="15">
        <v>130</v>
      </c>
      <c r="B135" s="21">
        <v>45723</v>
      </c>
      <c r="C135" s="15">
        <v>16336</v>
      </c>
      <c r="F135" s="19">
        <v>130</v>
      </c>
      <c r="G135" s="22">
        <v>45801</v>
      </c>
      <c r="H135" s="31">
        <f t="shared" ref="H135:H198" si="3">_xlfn.XLOOKUP(G135,$B$6:$B$656,$C$6:$C$656,,-1)</f>
        <v>16289</v>
      </c>
    </row>
    <row r="136" spans="1:8" x14ac:dyDescent="0.3">
      <c r="A136" s="15">
        <v>131</v>
      </c>
      <c r="B136" s="21">
        <v>45722</v>
      </c>
      <c r="C136" s="15">
        <v>16315</v>
      </c>
      <c r="F136" s="19">
        <v>131</v>
      </c>
      <c r="G136" s="22">
        <v>45800</v>
      </c>
      <c r="H136" s="31">
        <f t="shared" si="3"/>
        <v>16289</v>
      </c>
    </row>
    <row r="137" spans="1:8" x14ac:dyDescent="0.3">
      <c r="A137" s="15">
        <v>132</v>
      </c>
      <c r="B137" s="21">
        <v>45721</v>
      </c>
      <c r="C137" s="15">
        <v>16371</v>
      </c>
      <c r="F137" s="19">
        <v>132</v>
      </c>
      <c r="G137" s="22">
        <v>45799</v>
      </c>
      <c r="H137" s="31">
        <f t="shared" si="3"/>
        <v>16313</v>
      </c>
    </row>
    <row r="138" spans="1:8" x14ac:dyDescent="0.3">
      <c r="A138" s="15">
        <v>133</v>
      </c>
      <c r="B138" s="21">
        <v>45720</v>
      </c>
      <c r="C138" s="15">
        <v>16443</v>
      </c>
      <c r="F138" s="19">
        <v>133</v>
      </c>
      <c r="G138" s="22">
        <v>45798</v>
      </c>
      <c r="H138" s="31">
        <f t="shared" si="3"/>
        <v>16413</v>
      </c>
    </row>
    <row r="139" spans="1:8" x14ac:dyDescent="0.3">
      <c r="A139" s="15">
        <v>134</v>
      </c>
      <c r="B139" s="21">
        <v>45719</v>
      </c>
      <c r="C139" s="15">
        <v>16506</v>
      </c>
      <c r="F139" s="19">
        <v>134</v>
      </c>
      <c r="G139" s="22">
        <v>45797</v>
      </c>
      <c r="H139" s="31">
        <f t="shared" si="3"/>
        <v>16406</v>
      </c>
    </row>
    <row r="140" spans="1:8" x14ac:dyDescent="0.3">
      <c r="A140" s="15">
        <v>135</v>
      </c>
      <c r="B140" s="21">
        <v>45716</v>
      </c>
      <c r="C140" s="15">
        <v>16575</v>
      </c>
      <c r="F140" s="19">
        <v>135</v>
      </c>
      <c r="G140" s="22">
        <v>45796</v>
      </c>
      <c r="H140" s="31">
        <f t="shared" si="3"/>
        <v>16455</v>
      </c>
    </row>
    <row r="141" spans="1:8" x14ac:dyDescent="0.3">
      <c r="A141" s="15">
        <v>136</v>
      </c>
      <c r="B141" s="21">
        <v>45715</v>
      </c>
      <c r="C141" s="15">
        <v>16431</v>
      </c>
      <c r="F141" s="19">
        <v>136</v>
      </c>
      <c r="G141" s="22">
        <v>45795</v>
      </c>
      <c r="H141" s="31">
        <f t="shared" si="3"/>
        <v>16424</v>
      </c>
    </row>
    <row r="142" spans="1:8" x14ac:dyDescent="0.3">
      <c r="A142" s="15">
        <v>137</v>
      </c>
      <c r="B142" s="21">
        <v>45714</v>
      </c>
      <c r="C142" s="15">
        <v>16387</v>
      </c>
      <c r="F142" s="19">
        <v>137</v>
      </c>
      <c r="G142" s="22">
        <v>45794</v>
      </c>
      <c r="H142" s="31">
        <f t="shared" si="3"/>
        <v>16424</v>
      </c>
    </row>
    <row r="143" spans="1:8" x14ac:dyDescent="0.3">
      <c r="A143" s="15">
        <v>138</v>
      </c>
      <c r="B143" s="21">
        <v>45713</v>
      </c>
      <c r="C143" s="15">
        <v>16316</v>
      </c>
      <c r="F143" s="19">
        <v>138</v>
      </c>
      <c r="G143" s="22">
        <v>45793</v>
      </c>
      <c r="H143" s="31">
        <f t="shared" si="3"/>
        <v>16424</v>
      </c>
    </row>
    <row r="144" spans="1:8" x14ac:dyDescent="0.3">
      <c r="A144" s="15">
        <v>139</v>
      </c>
      <c r="B144" s="21">
        <v>45712</v>
      </c>
      <c r="C144" s="15">
        <v>16303</v>
      </c>
      <c r="F144" s="19">
        <v>139</v>
      </c>
      <c r="G144" s="22">
        <v>45792</v>
      </c>
      <c r="H144" s="31">
        <f t="shared" si="3"/>
        <v>16535</v>
      </c>
    </row>
    <row r="145" spans="1:8" x14ac:dyDescent="0.3">
      <c r="A145" s="15">
        <v>140</v>
      </c>
      <c r="B145" s="21">
        <v>45709</v>
      </c>
      <c r="C145" s="15">
        <v>16300</v>
      </c>
      <c r="F145" s="19">
        <v>140</v>
      </c>
      <c r="G145" s="22">
        <v>45791</v>
      </c>
      <c r="H145" s="31">
        <f t="shared" si="3"/>
        <v>16568</v>
      </c>
    </row>
    <row r="146" spans="1:8" x14ac:dyDescent="0.3">
      <c r="A146" s="15">
        <v>141</v>
      </c>
      <c r="B146" s="21">
        <v>45708</v>
      </c>
      <c r="C146" s="15">
        <v>16344</v>
      </c>
      <c r="F146" s="19">
        <v>141</v>
      </c>
      <c r="G146" s="22">
        <v>45790</v>
      </c>
      <c r="H146" s="31">
        <f t="shared" si="3"/>
        <v>16532</v>
      </c>
    </row>
    <row r="147" spans="1:8" x14ac:dyDescent="0.3">
      <c r="A147" s="15">
        <v>142</v>
      </c>
      <c r="B147" s="21">
        <v>45707</v>
      </c>
      <c r="C147" s="15">
        <v>16357</v>
      </c>
      <c r="F147" s="19">
        <v>142</v>
      </c>
      <c r="G147" s="22">
        <v>45789</v>
      </c>
      <c r="H147" s="31">
        <f t="shared" si="3"/>
        <v>16532</v>
      </c>
    </row>
    <row r="148" spans="1:8" x14ac:dyDescent="0.3">
      <c r="A148" s="15">
        <v>143</v>
      </c>
      <c r="B148" s="21">
        <v>45706</v>
      </c>
      <c r="C148" s="15">
        <v>16275</v>
      </c>
      <c r="F148" s="19">
        <v>143</v>
      </c>
      <c r="G148" s="22">
        <v>45788</v>
      </c>
      <c r="H148" s="31">
        <f t="shared" si="3"/>
        <v>16532</v>
      </c>
    </row>
    <row r="149" spans="1:8" x14ac:dyDescent="0.3">
      <c r="A149" s="15">
        <v>144</v>
      </c>
      <c r="B149" s="21">
        <v>45705</v>
      </c>
      <c r="C149" s="15">
        <v>16208</v>
      </c>
      <c r="F149" s="19">
        <v>144</v>
      </c>
      <c r="G149" s="22">
        <v>45787</v>
      </c>
      <c r="H149" s="31">
        <f t="shared" si="3"/>
        <v>16532</v>
      </c>
    </row>
    <row r="150" spans="1:8" x14ac:dyDescent="0.3">
      <c r="A150" s="15">
        <v>145</v>
      </c>
      <c r="B150" s="21">
        <v>45702</v>
      </c>
      <c r="C150" s="15">
        <v>16285</v>
      </c>
      <c r="F150" s="19">
        <v>145</v>
      </c>
      <c r="G150" s="22">
        <v>45786</v>
      </c>
      <c r="H150" s="31">
        <f t="shared" si="3"/>
        <v>16532</v>
      </c>
    </row>
    <row r="151" spans="1:8" x14ac:dyDescent="0.3">
      <c r="A151" s="15">
        <v>146</v>
      </c>
      <c r="B151" s="21">
        <v>45701</v>
      </c>
      <c r="C151" s="15">
        <v>16365</v>
      </c>
      <c r="F151" s="19">
        <v>146</v>
      </c>
      <c r="G151" s="22">
        <v>45785</v>
      </c>
      <c r="H151" s="31">
        <f t="shared" si="3"/>
        <v>16497</v>
      </c>
    </row>
    <row r="152" spans="1:8" x14ac:dyDescent="0.3">
      <c r="A152" s="15">
        <v>147</v>
      </c>
      <c r="B152" s="21">
        <v>45700</v>
      </c>
      <c r="C152" s="15">
        <v>16364</v>
      </c>
      <c r="F152" s="19">
        <v>147</v>
      </c>
      <c r="G152" s="22">
        <v>45784</v>
      </c>
      <c r="H152" s="31">
        <f t="shared" si="3"/>
        <v>16533</v>
      </c>
    </row>
    <row r="153" spans="1:8" x14ac:dyDescent="0.3">
      <c r="A153" s="15">
        <v>148</v>
      </c>
      <c r="B153" s="21">
        <v>45699</v>
      </c>
      <c r="C153" s="15">
        <v>16380</v>
      </c>
      <c r="F153" s="19">
        <v>148</v>
      </c>
      <c r="G153" s="22">
        <v>45783</v>
      </c>
      <c r="H153" s="31">
        <f t="shared" si="3"/>
        <v>16472</v>
      </c>
    </row>
    <row r="154" spans="1:8" x14ac:dyDescent="0.3">
      <c r="A154" s="15">
        <v>149</v>
      </c>
      <c r="B154" s="21">
        <v>45698</v>
      </c>
      <c r="C154" s="15">
        <v>16350</v>
      </c>
      <c r="F154" s="19">
        <v>149</v>
      </c>
      <c r="G154" s="22">
        <v>45782</v>
      </c>
      <c r="H154" s="31">
        <f t="shared" si="3"/>
        <v>16421</v>
      </c>
    </row>
    <row r="155" spans="1:8" x14ac:dyDescent="0.3">
      <c r="A155" s="15">
        <v>150</v>
      </c>
      <c r="B155" s="21">
        <v>45695</v>
      </c>
      <c r="C155" s="15">
        <v>16325</v>
      </c>
      <c r="F155" s="19">
        <v>150</v>
      </c>
      <c r="G155" s="22">
        <v>45781</v>
      </c>
      <c r="H155" s="31">
        <f t="shared" si="3"/>
        <v>16493</v>
      </c>
    </row>
    <row r="156" spans="1:8" x14ac:dyDescent="0.3">
      <c r="A156" s="15">
        <v>151</v>
      </c>
      <c r="B156" s="21">
        <v>45694</v>
      </c>
      <c r="C156" s="15">
        <v>16330</v>
      </c>
      <c r="F156" s="19">
        <v>151</v>
      </c>
      <c r="G156" s="22">
        <v>45780</v>
      </c>
      <c r="H156" s="31">
        <f t="shared" si="3"/>
        <v>16493</v>
      </c>
    </row>
    <row r="157" spans="1:8" x14ac:dyDescent="0.3">
      <c r="A157" s="15">
        <v>152</v>
      </c>
      <c r="B157" s="21">
        <v>45693</v>
      </c>
      <c r="C157" s="15">
        <v>16308</v>
      </c>
      <c r="F157" s="19">
        <v>152</v>
      </c>
      <c r="G157" s="22">
        <v>45779</v>
      </c>
      <c r="H157" s="31">
        <f t="shared" si="3"/>
        <v>16493</v>
      </c>
    </row>
    <row r="158" spans="1:8" x14ac:dyDescent="0.3">
      <c r="A158" s="15">
        <v>153</v>
      </c>
      <c r="B158" s="21">
        <v>45692</v>
      </c>
      <c r="C158" s="15">
        <v>16365</v>
      </c>
      <c r="F158" s="19">
        <v>153</v>
      </c>
      <c r="G158" s="22">
        <v>45778</v>
      </c>
      <c r="H158" s="31">
        <f t="shared" si="3"/>
        <v>16679</v>
      </c>
    </row>
    <row r="159" spans="1:8" x14ac:dyDescent="0.3">
      <c r="A159" s="15">
        <v>154</v>
      </c>
      <c r="B159" s="21">
        <v>45691</v>
      </c>
      <c r="C159" s="15">
        <v>16453</v>
      </c>
      <c r="F159" s="19">
        <v>154</v>
      </c>
      <c r="G159" s="22">
        <v>45777</v>
      </c>
      <c r="H159" s="31">
        <f t="shared" si="3"/>
        <v>16679</v>
      </c>
    </row>
    <row r="160" spans="1:8" x14ac:dyDescent="0.3">
      <c r="A160" s="15">
        <v>155</v>
      </c>
      <c r="B160" s="21">
        <v>45688</v>
      </c>
      <c r="C160" s="15">
        <v>16312</v>
      </c>
      <c r="F160" s="19">
        <v>155</v>
      </c>
      <c r="G160" s="22">
        <v>45776</v>
      </c>
      <c r="H160" s="31">
        <f t="shared" si="3"/>
        <v>16787</v>
      </c>
    </row>
    <row r="161" spans="1:8" x14ac:dyDescent="0.3">
      <c r="A161" s="15">
        <v>156</v>
      </c>
      <c r="B161" s="21">
        <v>45687</v>
      </c>
      <c r="C161" s="15">
        <v>16259</v>
      </c>
      <c r="F161" s="19">
        <v>156</v>
      </c>
      <c r="G161" s="22">
        <v>45775</v>
      </c>
      <c r="H161" s="31">
        <f t="shared" si="3"/>
        <v>16862</v>
      </c>
    </row>
    <row r="162" spans="1:8" x14ac:dyDescent="0.3">
      <c r="A162" s="15">
        <v>157</v>
      </c>
      <c r="B162" s="21">
        <v>45681</v>
      </c>
      <c r="C162" s="15">
        <v>16200</v>
      </c>
      <c r="F162" s="19">
        <v>157</v>
      </c>
      <c r="G162" s="22">
        <v>45774</v>
      </c>
      <c r="H162" s="31">
        <f t="shared" si="3"/>
        <v>16829</v>
      </c>
    </row>
    <row r="163" spans="1:8" x14ac:dyDescent="0.3">
      <c r="A163" s="15">
        <v>158</v>
      </c>
      <c r="B163" s="21">
        <v>45680</v>
      </c>
      <c r="C163" s="15">
        <v>16276</v>
      </c>
      <c r="F163" s="19">
        <v>158</v>
      </c>
      <c r="G163" s="22">
        <v>45773</v>
      </c>
      <c r="H163" s="31">
        <f t="shared" si="3"/>
        <v>16829</v>
      </c>
    </row>
    <row r="164" spans="1:8" x14ac:dyDescent="0.3">
      <c r="A164" s="15">
        <v>159</v>
      </c>
      <c r="B164" s="21">
        <v>45679</v>
      </c>
      <c r="C164" s="15">
        <v>16327</v>
      </c>
      <c r="F164" s="19">
        <v>159</v>
      </c>
      <c r="G164" s="22">
        <v>45772</v>
      </c>
      <c r="H164" s="31">
        <f t="shared" si="3"/>
        <v>16829</v>
      </c>
    </row>
    <row r="165" spans="1:8" x14ac:dyDescent="0.3">
      <c r="A165" s="15">
        <v>160</v>
      </c>
      <c r="B165" s="21">
        <v>45678</v>
      </c>
      <c r="C165" s="15">
        <v>16331</v>
      </c>
      <c r="F165" s="19">
        <v>160</v>
      </c>
      <c r="G165" s="22">
        <v>45771</v>
      </c>
      <c r="H165" s="31">
        <f t="shared" si="3"/>
        <v>16884</v>
      </c>
    </row>
    <row r="166" spans="1:8" x14ac:dyDescent="0.3">
      <c r="A166" s="15">
        <v>161</v>
      </c>
      <c r="B166" s="21">
        <v>45677</v>
      </c>
      <c r="C166" s="15">
        <v>16372</v>
      </c>
      <c r="F166" s="19">
        <v>161</v>
      </c>
      <c r="G166" s="22">
        <v>45770</v>
      </c>
      <c r="H166" s="31">
        <f t="shared" si="3"/>
        <v>16880</v>
      </c>
    </row>
    <row r="167" spans="1:8" x14ac:dyDescent="0.3">
      <c r="A167" s="15">
        <v>162</v>
      </c>
      <c r="B167" s="21">
        <v>45674</v>
      </c>
      <c r="C167" s="15">
        <v>16373</v>
      </c>
      <c r="F167" s="19">
        <v>162</v>
      </c>
      <c r="G167" s="22">
        <v>45769</v>
      </c>
      <c r="H167" s="31">
        <f t="shared" si="3"/>
        <v>16862</v>
      </c>
    </row>
    <row r="168" spans="1:8" x14ac:dyDescent="0.3">
      <c r="A168" s="15">
        <v>163</v>
      </c>
      <c r="B168" s="21">
        <v>45673</v>
      </c>
      <c r="C168" s="15">
        <v>16378</v>
      </c>
      <c r="F168" s="19">
        <v>163</v>
      </c>
      <c r="G168" s="22">
        <v>45768</v>
      </c>
      <c r="H168" s="31">
        <f t="shared" si="3"/>
        <v>16808</v>
      </c>
    </row>
    <row r="169" spans="1:8" x14ac:dyDescent="0.3">
      <c r="A169" s="15">
        <v>164</v>
      </c>
      <c r="B169" s="21">
        <v>45672</v>
      </c>
      <c r="C169" s="15">
        <v>16311</v>
      </c>
      <c r="F169" s="19">
        <v>164</v>
      </c>
      <c r="G169" s="22">
        <v>45767</v>
      </c>
      <c r="H169" s="31">
        <f t="shared" si="3"/>
        <v>16833</v>
      </c>
    </row>
    <row r="170" spans="1:8" x14ac:dyDescent="0.3">
      <c r="A170" s="15">
        <v>165</v>
      </c>
      <c r="B170" s="21">
        <v>45671</v>
      </c>
      <c r="C170" s="15">
        <v>16265</v>
      </c>
      <c r="F170" s="19">
        <v>165</v>
      </c>
      <c r="G170" s="22">
        <v>45766</v>
      </c>
      <c r="H170" s="31">
        <f t="shared" si="3"/>
        <v>16833</v>
      </c>
    </row>
    <row r="171" spans="1:8" x14ac:dyDescent="0.3">
      <c r="A171" s="15">
        <v>166</v>
      </c>
      <c r="B171" s="21">
        <v>45670</v>
      </c>
      <c r="C171" s="15">
        <v>16281</v>
      </c>
      <c r="F171" s="19">
        <v>166</v>
      </c>
      <c r="G171" s="22">
        <v>45765</v>
      </c>
      <c r="H171" s="31">
        <f t="shared" si="3"/>
        <v>16833</v>
      </c>
    </row>
    <row r="172" spans="1:8" x14ac:dyDescent="0.3">
      <c r="A172" s="15">
        <v>167</v>
      </c>
      <c r="B172" s="21">
        <v>45667</v>
      </c>
      <c r="C172" s="15">
        <v>16194</v>
      </c>
      <c r="F172" s="19">
        <v>167</v>
      </c>
      <c r="G172" s="22">
        <v>45764</v>
      </c>
      <c r="H172" s="31">
        <f t="shared" si="3"/>
        <v>16833</v>
      </c>
    </row>
    <row r="173" spans="1:8" x14ac:dyDescent="0.3">
      <c r="A173" s="15">
        <v>168</v>
      </c>
      <c r="B173" s="21">
        <v>45666</v>
      </c>
      <c r="C173" s="15">
        <v>16238</v>
      </c>
      <c r="F173" s="19">
        <v>168</v>
      </c>
      <c r="G173" s="22">
        <v>45763</v>
      </c>
      <c r="H173" s="31">
        <f t="shared" si="3"/>
        <v>16845</v>
      </c>
    </row>
    <row r="174" spans="1:8" x14ac:dyDescent="0.3">
      <c r="A174" s="15">
        <v>169</v>
      </c>
      <c r="B174" s="21">
        <v>45665</v>
      </c>
      <c r="C174" s="15">
        <v>16201</v>
      </c>
      <c r="F174" s="19">
        <v>169</v>
      </c>
      <c r="G174" s="22">
        <v>45762</v>
      </c>
      <c r="H174" s="31">
        <f t="shared" si="3"/>
        <v>16815</v>
      </c>
    </row>
    <row r="175" spans="1:8" x14ac:dyDescent="0.3">
      <c r="A175" s="15">
        <v>170</v>
      </c>
      <c r="B175" s="21">
        <v>45664</v>
      </c>
      <c r="C175" s="15">
        <v>16169</v>
      </c>
      <c r="F175" s="19">
        <v>170</v>
      </c>
      <c r="G175" s="22">
        <v>45761</v>
      </c>
      <c r="H175" s="31">
        <f t="shared" si="3"/>
        <v>16773</v>
      </c>
    </row>
    <row r="176" spans="1:8" x14ac:dyDescent="0.3">
      <c r="A176" s="15">
        <v>171</v>
      </c>
      <c r="B176" s="21">
        <v>45663</v>
      </c>
      <c r="C176" s="15">
        <v>16193</v>
      </c>
      <c r="F176" s="19">
        <v>171</v>
      </c>
      <c r="G176" s="22">
        <v>45760</v>
      </c>
      <c r="H176" s="31">
        <f t="shared" si="3"/>
        <v>16805</v>
      </c>
    </row>
    <row r="177" spans="1:8" x14ac:dyDescent="0.3">
      <c r="A177" s="15">
        <v>172</v>
      </c>
      <c r="B177" s="21">
        <v>45660</v>
      </c>
      <c r="C177" s="15">
        <v>16217</v>
      </c>
      <c r="F177" s="19">
        <v>172</v>
      </c>
      <c r="G177" s="22">
        <v>45759</v>
      </c>
      <c r="H177" s="31">
        <f t="shared" si="3"/>
        <v>16805</v>
      </c>
    </row>
    <row r="178" spans="1:8" x14ac:dyDescent="0.3">
      <c r="A178" s="15">
        <v>173</v>
      </c>
      <c r="B178" s="21">
        <v>45659</v>
      </c>
      <c r="C178" s="15">
        <v>16236</v>
      </c>
      <c r="F178" s="19">
        <v>173</v>
      </c>
      <c r="G178" s="22">
        <v>45758</v>
      </c>
      <c r="H178" s="31">
        <f t="shared" si="3"/>
        <v>16805</v>
      </c>
    </row>
    <row r="179" spans="1:8" x14ac:dyDescent="0.3">
      <c r="A179" s="15">
        <v>174</v>
      </c>
      <c r="B179" s="21">
        <v>45657</v>
      </c>
      <c r="C179" s="15">
        <v>16157</v>
      </c>
      <c r="F179" s="19">
        <v>174</v>
      </c>
      <c r="G179" s="22">
        <v>45757</v>
      </c>
      <c r="H179" s="31">
        <f t="shared" si="3"/>
        <v>16779</v>
      </c>
    </row>
    <row r="180" spans="1:8" x14ac:dyDescent="0.3">
      <c r="A180" s="15">
        <v>175</v>
      </c>
      <c r="B180" s="21">
        <v>45656</v>
      </c>
      <c r="C180" s="15">
        <v>16162</v>
      </c>
      <c r="F180" s="19">
        <v>175</v>
      </c>
      <c r="G180" s="22">
        <v>45756</v>
      </c>
      <c r="H180" s="31">
        <f t="shared" si="3"/>
        <v>16943</v>
      </c>
    </row>
    <row r="181" spans="1:8" x14ac:dyDescent="0.3">
      <c r="A181" s="15">
        <v>176</v>
      </c>
      <c r="B181" s="21">
        <v>45653</v>
      </c>
      <c r="C181" s="15">
        <v>16251</v>
      </c>
      <c r="F181" s="19">
        <v>176</v>
      </c>
      <c r="G181" s="22">
        <v>45755</v>
      </c>
      <c r="H181" s="31">
        <f t="shared" si="3"/>
        <v>16849</v>
      </c>
    </row>
    <row r="182" spans="1:8" x14ac:dyDescent="0.3">
      <c r="A182" s="15">
        <v>177</v>
      </c>
      <c r="B182" s="21">
        <v>45650</v>
      </c>
      <c r="C182" s="15">
        <v>16208</v>
      </c>
      <c r="F182" s="19">
        <v>177</v>
      </c>
      <c r="G182" s="22">
        <v>45754</v>
      </c>
      <c r="H182" s="31">
        <f t="shared" si="3"/>
        <v>16566</v>
      </c>
    </row>
    <row r="183" spans="1:8" x14ac:dyDescent="0.3">
      <c r="A183" s="15">
        <v>178</v>
      </c>
      <c r="B183" s="21">
        <v>45649</v>
      </c>
      <c r="C183" s="15">
        <v>16159</v>
      </c>
      <c r="F183" s="19">
        <v>178</v>
      </c>
      <c r="G183" s="22">
        <v>45753</v>
      </c>
      <c r="H183" s="31">
        <f t="shared" si="3"/>
        <v>16566</v>
      </c>
    </row>
    <row r="184" spans="1:8" x14ac:dyDescent="0.3">
      <c r="A184" s="15">
        <v>179</v>
      </c>
      <c r="B184" s="21">
        <v>45646</v>
      </c>
      <c r="C184" s="15">
        <v>16270</v>
      </c>
      <c r="F184" s="19">
        <v>179</v>
      </c>
      <c r="G184" s="22">
        <v>45752</v>
      </c>
      <c r="H184" s="31">
        <f t="shared" si="3"/>
        <v>16566</v>
      </c>
    </row>
    <row r="185" spans="1:8" x14ac:dyDescent="0.3">
      <c r="A185" s="15">
        <v>180</v>
      </c>
      <c r="B185" s="21">
        <v>45645</v>
      </c>
      <c r="C185" s="15">
        <v>16277</v>
      </c>
      <c r="F185" s="19">
        <v>180</v>
      </c>
      <c r="G185" s="22">
        <v>45751</v>
      </c>
      <c r="H185" s="31">
        <f t="shared" si="3"/>
        <v>16566</v>
      </c>
    </row>
    <row r="186" spans="1:8" x14ac:dyDescent="0.3">
      <c r="A186" s="15">
        <v>181</v>
      </c>
      <c r="B186" s="21">
        <v>45644</v>
      </c>
      <c r="C186" s="15">
        <v>16100</v>
      </c>
      <c r="F186" s="19">
        <v>181</v>
      </c>
      <c r="G186" s="22">
        <v>45750</v>
      </c>
      <c r="H186" s="31">
        <f t="shared" si="3"/>
        <v>16566</v>
      </c>
    </row>
    <row r="187" spans="1:8" x14ac:dyDescent="0.3">
      <c r="A187" s="15">
        <v>182</v>
      </c>
      <c r="B187" s="21">
        <v>45643</v>
      </c>
      <c r="C187" s="15">
        <v>16050</v>
      </c>
      <c r="F187" s="19">
        <v>182</v>
      </c>
      <c r="G187" s="22">
        <v>45749</v>
      </c>
      <c r="H187" s="31">
        <f t="shared" si="3"/>
        <v>16566</v>
      </c>
    </row>
    <row r="188" spans="1:8" x14ac:dyDescent="0.3">
      <c r="A188" s="15">
        <v>183</v>
      </c>
      <c r="B188" s="21">
        <v>45642</v>
      </c>
      <c r="C188" s="15">
        <v>16019</v>
      </c>
      <c r="F188" s="19">
        <v>183</v>
      </c>
      <c r="G188" s="22">
        <v>45748</v>
      </c>
      <c r="H188" s="31">
        <f t="shared" si="3"/>
        <v>16566</v>
      </c>
    </row>
    <row r="189" spans="1:8" x14ac:dyDescent="0.3">
      <c r="A189" s="15">
        <v>184</v>
      </c>
      <c r="B189" s="21">
        <v>45639</v>
      </c>
      <c r="C189" s="15">
        <v>15987</v>
      </c>
      <c r="F189" s="19">
        <v>184</v>
      </c>
      <c r="G189" s="22">
        <v>45747</v>
      </c>
      <c r="H189" s="31">
        <f t="shared" si="3"/>
        <v>16566</v>
      </c>
    </row>
    <row r="190" spans="1:8" x14ac:dyDescent="0.3">
      <c r="A190" s="15">
        <v>185</v>
      </c>
      <c r="B190" s="21">
        <v>45638</v>
      </c>
      <c r="C190" s="15">
        <v>15939</v>
      </c>
      <c r="F190" s="19">
        <v>185</v>
      </c>
      <c r="G190" s="22">
        <v>45746</v>
      </c>
      <c r="H190" s="31">
        <f t="shared" si="3"/>
        <v>16566</v>
      </c>
    </row>
    <row r="191" spans="1:8" x14ac:dyDescent="0.3">
      <c r="A191" s="15">
        <v>186</v>
      </c>
      <c r="B191" s="21">
        <v>45637</v>
      </c>
      <c r="C191" s="15">
        <v>15905</v>
      </c>
      <c r="F191" s="19">
        <v>186</v>
      </c>
      <c r="G191" s="22">
        <v>45745</v>
      </c>
      <c r="H191" s="31">
        <f t="shared" si="3"/>
        <v>16566</v>
      </c>
    </row>
    <row r="192" spans="1:8" x14ac:dyDescent="0.3">
      <c r="A192" s="15">
        <v>187</v>
      </c>
      <c r="B192" s="21">
        <v>45636</v>
      </c>
      <c r="C192" s="15">
        <v>15874</v>
      </c>
      <c r="F192" s="19">
        <v>187</v>
      </c>
      <c r="G192" s="22">
        <v>45744</v>
      </c>
      <c r="H192" s="31">
        <f t="shared" si="3"/>
        <v>16566</v>
      </c>
    </row>
    <row r="193" spans="1:8" x14ac:dyDescent="0.3">
      <c r="A193" s="15">
        <v>188</v>
      </c>
      <c r="B193" s="21">
        <v>45635</v>
      </c>
      <c r="C193" s="15">
        <v>15861</v>
      </c>
      <c r="F193" s="19">
        <v>188</v>
      </c>
      <c r="G193" s="22">
        <v>45743</v>
      </c>
      <c r="H193" s="31">
        <f t="shared" si="3"/>
        <v>16566</v>
      </c>
    </row>
    <row r="194" spans="1:8" x14ac:dyDescent="0.3">
      <c r="A194" s="15">
        <v>189</v>
      </c>
      <c r="B194" s="21">
        <v>45632</v>
      </c>
      <c r="C194" s="15">
        <v>15848</v>
      </c>
      <c r="F194" s="19">
        <v>189</v>
      </c>
      <c r="G194" s="22">
        <v>45742</v>
      </c>
      <c r="H194" s="31">
        <f t="shared" si="3"/>
        <v>16588</v>
      </c>
    </row>
    <row r="195" spans="1:8" x14ac:dyDescent="0.3">
      <c r="A195" s="15">
        <v>190</v>
      </c>
      <c r="B195" s="21">
        <v>45631</v>
      </c>
      <c r="C195" s="15">
        <v>15892</v>
      </c>
      <c r="F195" s="19">
        <v>190</v>
      </c>
      <c r="G195" s="22">
        <v>45741</v>
      </c>
      <c r="H195" s="31">
        <f t="shared" si="3"/>
        <v>16622</v>
      </c>
    </row>
    <row r="196" spans="1:8" x14ac:dyDescent="0.3">
      <c r="A196" s="15">
        <v>191</v>
      </c>
      <c r="B196" s="21">
        <v>45630</v>
      </c>
      <c r="C196" s="15">
        <v>15957</v>
      </c>
      <c r="F196" s="19">
        <v>191</v>
      </c>
      <c r="G196" s="22">
        <v>45740</v>
      </c>
      <c r="H196" s="31">
        <f t="shared" si="3"/>
        <v>16561</v>
      </c>
    </row>
    <row r="197" spans="1:8" x14ac:dyDescent="0.3">
      <c r="A197" s="15">
        <v>192</v>
      </c>
      <c r="B197" s="21">
        <v>45629</v>
      </c>
      <c r="C197" s="15">
        <v>15950</v>
      </c>
      <c r="F197" s="19">
        <v>192</v>
      </c>
      <c r="G197" s="22">
        <v>45739</v>
      </c>
      <c r="H197" s="31">
        <f t="shared" si="3"/>
        <v>16501</v>
      </c>
    </row>
    <row r="198" spans="1:8" x14ac:dyDescent="0.3">
      <c r="A198" s="15">
        <v>193</v>
      </c>
      <c r="B198" s="21">
        <v>45628</v>
      </c>
      <c r="C198" s="15">
        <v>15905</v>
      </c>
      <c r="F198" s="19">
        <v>193</v>
      </c>
      <c r="G198" s="22">
        <v>45738</v>
      </c>
      <c r="H198" s="31">
        <f t="shared" si="3"/>
        <v>16501</v>
      </c>
    </row>
    <row r="199" spans="1:8" x14ac:dyDescent="0.3">
      <c r="A199" s="15">
        <v>194</v>
      </c>
      <c r="B199" s="21">
        <v>45625</v>
      </c>
      <c r="C199" s="15">
        <v>15856</v>
      </c>
      <c r="F199" s="19">
        <v>194</v>
      </c>
      <c r="G199" s="22">
        <v>45737</v>
      </c>
      <c r="H199" s="31">
        <f t="shared" ref="H199:H262" si="4">_xlfn.XLOOKUP(G199,$B$6:$B$656,$C$6:$C$656,,-1)</f>
        <v>16501</v>
      </c>
    </row>
    <row r="200" spans="1:8" x14ac:dyDescent="0.3">
      <c r="A200" s="15">
        <v>195</v>
      </c>
      <c r="B200" s="21">
        <v>45624</v>
      </c>
      <c r="C200" s="15">
        <v>15864</v>
      </c>
      <c r="F200" s="19">
        <v>195</v>
      </c>
      <c r="G200" s="22">
        <v>45736</v>
      </c>
      <c r="H200" s="31">
        <f t="shared" si="4"/>
        <v>16481</v>
      </c>
    </row>
    <row r="201" spans="1:8" x14ac:dyDescent="0.3">
      <c r="A201" s="15">
        <v>196</v>
      </c>
      <c r="B201" s="21">
        <v>45622</v>
      </c>
      <c r="C201" s="15">
        <v>15930</v>
      </c>
      <c r="F201" s="19">
        <v>196</v>
      </c>
      <c r="G201" s="22">
        <v>45735</v>
      </c>
      <c r="H201" s="31">
        <f t="shared" si="4"/>
        <v>16528</v>
      </c>
    </row>
    <row r="202" spans="1:8" x14ac:dyDescent="0.3">
      <c r="A202" s="15">
        <v>197</v>
      </c>
      <c r="B202" s="21">
        <v>45621</v>
      </c>
      <c r="C202" s="15">
        <v>15864</v>
      </c>
      <c r="F202" s="19">
        <v>197</v>
      </c>
      <c r="G202" s="22">
        <v>45734</v>
      </c>
      <c r="H202" s="31">
        <f t="shared" si="4"/>
        <v>16432</v>
      </c>
    </row>
    <row r="203" spans="1:8" x14ac:dyDescent="0.3">
      <c r="A203" s="15">
        <v>198</v>
      </c>
      <c r="B203" s="21">
        <v>45618</v>
      </c>
      <c r="C203" s="15">
        <v>15911</v>
      </c>
      <c r="F203" s="19">
        <v>198</v>
      </c>
      <c r="G203" s="22">
        <v>45733</v>
      </c>
      <c r="H203" s="31">
        <f t="shared" si="4"/>
        <v>16379</v>
      </c>
    </row>
    <row r="204" spans="1:8" x14ac:dyDescent="0.3">
      <c r="A204" s="15">
        <v>199</v>
      </c>
      <c r="B204" s="21">
        <v>45617</v>
      </c>
      <c r="C204" s="15">
        <v>15942</v>
      </c>
      <c r="F204" s="19">
        <v>199</v>
      </c>
      <c r="G204" s="22">
        <v>45732</v>
      </c>
      <c r="H204" s="31">
        <f t="shared" si="4"/>
        <v>16392</v>
      </c>
    </row>
    <row r="205" spans="1:8" x14ac:dyDescent="0.3">
      <c r="A205" s="15">
        <v>200</v>
      </c>
      <c r="B205" s="21">
        <v>45616</v>
      </c>
      <c r="C205" s="15">
        <v>15858</v>
      </c>
      <c r="F205" s="19">
        <v>200</v>
      </c>
      <c r="G205" s="22">
        <v>45731</v>
      </c>
      <c r="H205" s="31">
        <f t="shared" si="4"/>
        <v>16392</v>
      </c>
    </row>
    <row r="206" spans="1:8" x14ac:dyDescent="0.3">
      <c r="A206" s="15">
        <v>201</v>
      </c>
      <c r="B206" s="21">
        <v>45615</v>
      </c>
      <c r="C206" s="15">
        <v>15816</v>
      </c>
      <c r="F206" s="19">
        <v>201</v>
      </c>
      <c r="G206" s="22">
        <v>45730</v>
      </c>
      <c r="H206" s="31">
        <f t="shared" si="4"/>
        <v>16392</v>
      </c>
    </row>
    <row r="207" spans="1:8" x14ac:dyDescent="0.3">
      <c r="A207" s="15">
        <v>202</v>
      </c>
      <c r="B207" s="21">
        <v>45614</v>
      </c>
      <c r="C207" s="15">
        <v>15848</v>
      </c>
      <c r="F207" s="19">
        <v>202</v>
      </c>
      <c r="G207" s="22">
        <v>45729</v>
      </c>
      <c r="H207" s="31">
        <f t="shared" si="4"/>
        <v>16428</v>
      </c>
    </row>
    <row r="208" spans="1:8" x14ac:dyDescent="0.3">
      <c r="A208" s="15">
        <v>203</v>
      </c>
      <c r="B208" s="21">
        <v>45611</v>
      </c>
      <c r="C208" s="15">
        <v>15888</v>
      </c>
      <c r="F208" s="19">
        <v>203</v>
      </c>
      <c r="G208" s="22">
        <v>45728</v>
      </c>
      <c r="H208" s="31">
        <f t="shared" si="4"/>
        <v>16453</v>
      </c>
    </row>
    <row r="209" spans="1:8" x14ac:dyDescent="0.3">
      <c r="A209" s="15">
        <v>204</v>
      </c>
      <c r="B209" s="21">
        <v>45610</v>
      </c>
      <c r="C209" s="15">
        <v>15873</v>
      </c>
      <c r="F209" s="19">
        <v>204</v>
      </c>
      <c r="G209" s="22">
        <v>45727</v>
      </c>
      <c r="H209" s="31">
        <f t="shared" si="4"/>
        <v>16430</v>
      </c>
    </row>
    <row r="210" spans="1:8" x14ac:dyDescent="0.3">
      <c r="A210" s="15">
        <v>205</v>
      </c>
      <c r="B210" s="21">
        <v>45609</v>
      </c>
      <c r="C210" s="15">
        <v>15782</v>
      </c>
      <c r="F210" s="19">
        <v>205</v>
      </c>
      <c r="G210" s="22">
        <v>45726</v>
      </c>
      <c r="H210" s="31">
        <f t="shared" si="4"/>
        <v>16326</v>
      </c>
    </row>
    <row r="211" spans="1:8" x14ac:dyDescent="0.3">
      <c r="A211" s="15">
        <v>206</v>
      </c>
      <c r="B211" s="21">
        <v>45608</v>
      </c>
      <c r="C211" s="15">
        <v>15771</v>
      </c>
      <c r="F211" s="19">
        <v>206</v>
      </c>
      <c r="G211" s="22">
        <v>45725</v>
      </c>
      <c r="H211" s="31">
        <f t="shared" si="4"/>
        <v>16336</v>
      </c>
    </row>
    <row r="212" spans="1:8" x14ac:dyDescent="0.3">
      <c r="A212" s="15">
        <v>207</v>
      </c>
      <c r="B212" s="21">
        <v>45607</v>
      </c>
      <c r="C212" s="15">
        <v>15677</v>
      </c>
      <c r="F212" s="19">
        <v>207</v>
      </c>
      <c r="G212" s="22">
        <v>45724</v>
      </c>
      <c r="H212" s="31">
        <f t="shared" si="4"/>
        <v>16336</v>
      </c>
    </row>
    <row r="213" spans="1:8" x14ac:dyDescent="0.3">
      <c r="A213" s="15">
        <v>208</v>
      </c>
      <c r="B213" s="21">
        <v>45604</v>
      </c>
      <c r="C213" s="15">
        <v>15671</v>
      </c>
      <c r="F213" s="19">
        <v>208</v>
      </c>
      <c r="G213" s="22">
        <v>45723</v>
      </c>
      <c r="H213" s="31">
        <f t="shared" si="4"/>
        <v>16336</v>
      </c>
    </row>
    <row r="214" spans="1:8" x14ac:dyDescent="0.3">
      <c r="A214" s="15">
        <v>209</v>
      </c>
      <c r="B214" s="21">
        <v>45603</v>
      </c>
      <c r="C214" s="15">
        <v>15767</v>
      </c>
      <c r="F214" s="19">
        <v>209</v>
      </c>
      <c r="G214" s="22">
        <v>45722</v>
      </c>
      <c r="H214" s="31">
        <f t="shared" si="4"/>
        <v>16315</v>
      </c>
    </row>
    <row r="215" spans="1:8" x14ac:dyDescent="0.3">
      <c r="A215" s="15">
        <v>210</v>
      </c>
      <c r="B215" s="21">
        <v>45602</v>
      </c>
      <c r="C215" s="15">
        <v>15840</v>
      </c>
      <c r="F215" s="19">
        <v>210</v>
      </c>
      <c r="G215" s="22">
        <v>45721</v>
      </c>
      <c r="H215" s="31">
        <f t="shared" si="4"/>
        <v>16371</v>
      </c>
    </row>
    <row r="216" spans="1:8" x14ac:dyDescent="0.3">
      <c r="A216" s="15">
        <v>211</v>
      </c>
      <c r="B216" s="21">
        <v>45601</v>
      </c>
      <c r="C216" s="15">
        <v>15766</v>
      </c>
      <c r="F216" s="19">
        <v>211</v>
      </c>
      <c r="G216" s="22">
        <v>45720</v>
      </c>
      <c r="H216" s="31">
        <f t="shared" si="4"/>
        <v>16443</v>
      </c>
    </row>
    <row r="217" spans="1:8" x14ac:dyDescent="0.3">
      <c r="A217" s="15">
        <v>212</v>
      </c>
      <c r="B217" s="21">
        <v>45600</v>
      </c>
      <c r="C217" s="15">
        <v>15751</v>
      </c>
      <c r="F217" s="19">
        <v>212</v>
      </c>
      <c r="G217" s="22">
        <v>45719</v>
      </c>
      <c r="H217" s="31">
        <f t="shared" si="4"/>
        <v>16506</v>
      </c>
    </row>
    <row r="218" spans="1:8" x14ac:dyDescent="0.3">
      <c r="A218" s="15">
        <v>213</v>
      </c>
      <c r="B218" s="21">
        <v>45597</v>
      </c>
      <c r="C218" s="15">
        <v>15723</v>
      </c>
      <c r="F218" s="19">
        <v>213</v>
      </c>
      <c r="G218" s="22">
        <v>45718</v>
      </c>
      <c r="H218" s="31">
        <f t="shared" si="4"/>
        <v>16575</v>
      </c>
    </row>
    <row r="219" spans="1:8" x14ac:dyDescent="0.3">
      <c r="A219" s="15">
        <v>214</v>
      </c>
      <c r="B219" s="21">
        <v>45596</v>
      </c>
      <c r="C219" s="15">
        <v>15705</v>
      </c>
      <c r="F219" s="19">
        <v>214</v>
      </c>
      <c r="G219" s="22">
        <v>45717</v>
      </c>
      <c r="H219" s="31">
        <f t="shared" si="4"/>
        <v>16575</v>
      </c>
    </row>
    <row r="220" spans="1:8" x14ac:dyDescent="0.3">
      <c r="A220" s="15">
        <v>215</v>
      </c>
      <c r="B220" s="21">
        <v>45595</v>
      </c>
      <c r="C220" s="15">
        <v>15732</v>
      </c>
      <c r="F220" s="19">
        <v>215</v>
      </c>
      <c r="G220" s="22">
        <v>45716</v>
      </c>
      <c r="H220" s="31">
        <f t="shared" si="4"/>
        <v>16575</v>
      </c>
    </row>
    <row r="221" spans="1:8" x14ac:dyDescent="0.3">
      <c r="A221" s="15">
        <v>216</v>
      </c>
      <c r="B221" s="21">
        <v>45594</v>
      </c>
      <c r="C221" s="15">
        <v>15760</v>
      </c>
      <c r="F221" s="19">
        <v>216</v>
      </c>
      <c r="G221" s="22">
        <v>45715</v>
      </c>
      <c r="H221" s="31">
        <f t="shared" si="4"/>
        <v>16431</v>
      </c>
    </row>
    <row r="222" spans="1:8" x14ac:dyDescent="0.3">
      <c r="A222" s="15">
        <v>217</v>
      </c>
      <c r="B222" s="21">
        <v>45593</v>
      </c>
      <c r="C222" s="15">
        <v>15729</v>
      </c>
      <c r="F222" s="19">
        <v>217</v>
      </c>
      <c r="G222" s="22">
        <v>45714</v>
      </c>
      <c r="H222" s="31">
        <f t="shared" si="4"/>
        <v>16387</v>
      </c>
    </row>
    <row r="223" spans="1:8" x14ac:dyDescent="0.3">
      <c r="A223" s="15">
        <v>218</v>
      </c>
      <c r="B223" s="21">
        <v>45590</v>
      </c>
      <c r="C223" s="15">
        <v>15629</v>
      </c>
      <c r="F223" s="19">
        <v>218</v>
      </c>
      <c r="G223" s="22">
        <v>45713</v>
      </c>
      <c r="H223" s="31">
        <f t="shared" si="4"/>
        <v>16316</v>
      </c>
    </row>
    <row r="224" spans="1:8" x14ac:dyDescent="0.3">
      <c r="A224" s="15">
        <v>219</v>
      </c>
      <c r="B224" s="21">
        <v>45589</v>
      </c>
      <c r="C224" s="15">
        <v>15593</v>
      </c>
      <c r="F224" s="19">
        <v>219</v>
      </c>
      <c r="G224" s="22">
        <v>45712</v>
      </c>
      <c r="H224" s="31">
        <f t="shared" si="4"/>
        <v>16303</v>
      </c>
    </row>
    <row r="225" spans="1:8" x14ac:dyDescent="0.3">
      <c r="A225" s="15">
        <v>220</v>
      </c>
      <c r="B225" s="21">
        <v>45588</v>
      </c>
      <c r="C225" s="15">
        <v>15620</v>
      </c>
      <c r="F225" s="19">
        <v>220</v>
      </c>
      <c r="G225" s="22">
        <v>45711</v>
      </c>
      <c r="H225" s="31">
        <f t="shared" si="4"/>
        <v>16300</v>
      </c>
    </row>
    <row r="226" spans="1:8" x14ac:dyDescent="0.3">
      <c r="A226" s="15">
        <v>221</v>
      </c>
      <c r="B226" s="21">
        <v>45587</v>
      </c>
      <c r="C226" s="15">
        <v>15560</v>
      </c>
      <c r="F226" s="19">
        <v>221</v>
      </c>
      <c r="G226" s="22">
        <v>45710</v>
      </c>
      <c r="H226" s="31">
        <f t="shared" si="4"/>
        <v>16300</v>
      </c>
    </row>
    <row r="227" spans="1:8" x14ac:dyDescent="0.3">
      <c r="A227" s="15">
        <v>222</v>
      </c>
      <c r="B227" s="21">
        <v>45586</v>
      </c>
      <c r="C227" s="15">
        <v>15465</v>
      </c>
      <c r="F227" s="19">
        <v>222</v>
      </c>
      <c r="G227" s="22">
        <v>45709</v>
      </c>
      <c r="H227" s="31">
        <f t="shared" si="4"/>
        <v>16300</v>
      </c>
    </row>
    <row r="228" spans="1:8" x14ac:dyDescent="0.3">
      <c r="A228" s="15">
        <v>223</v>
      </c>
      <c r="B228" s="21">
        <v>45583</v>
      </c>
      <c r="C228" s="15">
        <v>15466</v>
      </c>
      <c r="F228" s="19">
        <v>223</v>
      </c>
      <c r="G228" s="22">
        <v>45708</v>
      </c>
      <c r="H228" s="31">
        <f t="shared" si="4"/>
        <v>16344</v>
      </c>
    </row>
    <row r="229" spans="1:8" x14ac:dyDescent="0.3">
      <c r="A229" s="15">
        <v>224</v>
      </c>
      <c r="B229" s="21">
        <v>45582</v>
      </c>
      <c r="C229" s="15">
        <v>15516</v>
      </c>
      <c r="F229" s="19">
        <v>224</v>
      </c>
      <c r="G229" s="22">
        <v>45707</v>
      </c>
      <c r="H229" s="31">
        <f t="shared" si="4"/>
        <v>16357</v>
      </c>
    </row>
    <row r="230" spans="1:8" x14ac:dyDescent="0.3">
      <c r="A230" s="15">
        <v>225</v>
      </c>
      <c r="B230" s="21">
        <v>45581</v>
      </c>
      <c r="C230" s="15">
        <v>15536</v>
      </c>
      <c r="F230" s="19">
        <v>225</v>
      </c>
      <c r="G230" s="22">
        <v>45706</v>
      </c>
      <c r="H230" s="31">
        <f t="shared" si="4"/>
        <v>16275</v>
      </c>
    </row>
    <row r="231" spans="1:8" x14ac:dyDescent="0.3">
      <c r="A231" s="15">
        <v>226</v>
      </c>
      <c r="B231" s="21">
        <v>45580</v>
      </c>
      <c r="C231" s="15">
        <v>15555</v>
      </c>
      <c r="F231" s="19">
        <v>226</v>
      </c>
      <c r="G231" s="22">
        <v>45705</v>
      </c>
      <c r="H231" s="31">
        <f t="shared" si="4"/>
        <v>16208</v>
      </c>
    </row>
    <row r="232" spans="1:8" x14ac:dyDescent="0.3">
      <c r="A232" s="15">
        <v>227</v>
      </c>
      <c r="B232" s="21">
        <v>45579</v>
      </c>
      <c r="C232" s="15">
        <v>15581</v>
      </c>
      <c r="F232" s="19">
        <v>227</v>
      </c>
      <c r="G232" s="22">
        <v>45704</v>
      </c>
      <c r="H232" s="31">
        <f t="shared" si="4"/>
        <v>16285</v>
      </c>
    </row>
    <row r="233" spans="1:8" x14ac:dyDescent="0.3">
      <c r="A233" s="15">
        <v>228</v>
      </c>
      <c r="B233" s="21">
        <v>45576</v>
      </c>
      <c r="C233" s="15">
        <v>15609</v>
      </c>
      <c r="F233" s="19">
        <v>228</v>
      </c>
      <c r="G233" s="22">
        <v>45703</v>
      </c>
      <c r="H233" s="31">
        <f t="shared" si="4"/>
        <v>16285</v>
      </c>
    </row>
    <row r="234" spans="1:8" x14ac:dyDescent="0.3">
      <c r="A234" s="15">
        <v>229</v>
      </c>
      <c r="B234" s="21">
        <v>45575</v>
      </c>
      <c r="C234" s="15">
        <v>15658</v>
      </c>
      <c r="F234" s="19">
        <v>229</v>
      </c>
      <c r="G234" s="22">
        <v>45702</v>
      </c>
      <c r="H234" s="31">
        <f t="shared" si="4"/>
        <v>16285</v>
      </c>
    </row>
    <row r="235" spans="1:8" x14ac:dyDescent="0.3">
      <c r="A235" s="15">
        <v>230</v>
      </c>
      <c r="B235" s="21">
        <v>45574</v>
      </c>
      <c r="C235" s="15">
        <v>15607</v>
      </c>
      <c r="F235" s="19">
        <v>230</v>
      </c>
      <c r="G235" s="22">
        <v>45701</v>
      </c>
      <c r="H235" s="31">
        <f t="shared" si="4"/>
        <v>16365</v>
      </c>
    </row>
    <row r="236" spans="1:8" x14ac:dyDescent="0.3">
      <c r="A236" s="15">
        <v>231</v>
      </c>
      <c r="B236" s="21">
        <v>45573</v>
      </c>
      <c r="C236" s="15">
        <v>15671</v>
      </c>
      <c r="F236" s="19">
        <v>231</v>
      </c>
      <c r="G236" s="22">
        <v>45700</v>
      </c>
      <c r="H236" s="31">
        <f t="shared" si="4"/>
        <v>16364</v>
      </c>
    </row>
    <row r="237" spans="1:8" x14ac:dyDescent="0.3">
      <c r="A237" s="15">
        <v>232</v>
      </c>
      <c r="B237" s="21">
        <v>45572</v>
      </c>
      <c r="C237" s="15">
        <v>15680</v>
      </c>
      <c r="F237" s="19">
        <v>232</v>
      </c>
      <c r="G237" s="22">
        <v>45699</v>
      </c>
      <c r="H237" s="31">
        <f t="shared" si="4"/>
        <v>16380</v>
      </c>
    </row>
    <row r="238" spans="1:8" x14ac:dyDescent="0.3">
      <c r="A238" s="15">
        <v>233</v>
      </c>
      <c r="B238" s="21">
        <v>45569</v>
      </c>
      <c r="C238" s="15">
        <v>15495</v>
      </c>
      <c r="F238" s="19">
        <v>233</v>
      </c>
      <c r="G238" s="22">
        <v>45698</v>
      </c>
      <c r="H238" s="31">
        <f t="shared" si="4"/>
        <v>16350</v>
      </c>
    </row>
    <row r="239" spans="1:8" x14ac:dyDescent="0.3">
      <c r="A239" s="15">
        <v>234</v>
      </c>
      <c r="B239" s="21">
        <v>45568</v>
      </c>
      <c r="C239" s="15">
        <v>15394</v>
      </c>
      <c r="F239" s="19">
        <v>234</v>
      </c>
      <c r="G239" s="22">
        <v>45697</v>
      </c>
      <c r="H239" s="31">
        <f t="shared" si="4"/>
        <v>16325</v>
      </c>
    </row>
    <row r="240" spans="1:8" x14ac:dyDescent="0.3">
      <c r="A240" s="15">
        <v>235</v>
      </c>
      <c r="B240" s="21">
        <v>45567</v>
      </c>
      <c r="C240" s="15">
        <v>15247</v>
      </c>
      <c r="F240" s="19">
        <v>235</v>
      </c>
      <c r="G240" s="22">
        <v>45696</v>
      </c>
      <c r="H240" s="31">
        <f t="shared" si="4"/>
        <v>16325</v>
      </c>
    </row>
    <row r="241" spans="1:8" x14ac:dyDescent="0.3">
      <c r="A241" s="15">
        <v>236</v>
      </c>
      <c r="B241" s="21">
        <v>45566</v>
      </c>
      <c r="C241" s="15">
        <v>15204</v>
      </c>
      <c r="F241" s="19">
        <v>236</v>
      </c>
      <c r="G241" s="22">
        <v>45695</v>
      </c>
      <c r="H241" s="31">
        <f t="shared" si="4"/>
        <v>16325</v>
      </c>
    </row>
    <row r="242" spans="1:8" x14ac:dyDescent="0.3">
      <c r="A242" s="15">
        <v>237</v>
      </c>
      <c r="B242" s="21">
        <v>45565</v>
      </c>
      <c r="C242" s="15">
        <v>15144</v>
      </c>
      <c r="F242" s="19">
        <v>237</v>
      </c>
      <c r="G242" s="22">
        <v>45694</v>
      </c>
      <c r="H242" s="31">
        <f t="shared" si="4"/>
        <v>16330</v>
      </c>
    </row>
    <row r="243" spans="1:8" x14ac:dyDescent="0.3">
      <c r="A243" s="15">
        <v>238</v>
      </c>
      <c r="B243" s="21">
        <v>45562</v>
      </c>
      <c r="C243" s="15">
        <v>15138</v>
      </c>
      <c r="F243" s="19">
        <v>238</v>
      </c>
      <c r="G243" s="22">
        <v>45693</v>
      </c>
      <c r="H243" s="31">
        <f t="shared" si="4"/>
        <v>16308</v>
      </c>
    </row>
    <row r="244" spans="1:8" x14ac:dyDescent="0.3">
      <c r="A244" s="15">
        <v>239</v>
      </c>
      <c r="B244" s="21">
        <v>45561</v>
      </c>
      <c r="C244" s="15">
        <v>15171</v>
      </c>
      <c r="F244" s="19">
        <v>239</v>
      </c>
      <c r="G244" s="22">
        <v>45692</v>
      </c>
      <c r="H244" s="31">
        <f t="shared" si="4"/>
        <v>16365</v>
      </c>
    </row>
    <row r="245" spans="1:8" x14ac:dyDescent="0.3">
      <c r="A245" s="15">
        <v>240</v>
      </c>
      <c r="B245" s="21">
        <v>45560</v>
      </c>
      <c r="C245" s="15">
        <v>15092</v>
      </c>
      <c r="F245" s="19">
        <v>240</v>
      </c>
      <c r="G245" s="22">
        <v>45691</v>
      </c>
      <c r="H245" s="31">
        <f t="shared" si="4"/>
        <v>16453</v>
      </c>
    </row>
    <row r="246" spans="1:8" x14ac:dyDescent="0.3">
      <c r="A246" s="15">
        <v>241</v>
      </c>
      <c r="B246" s="21">
        <v>45559</v>
      </c>
      <c r="C246" s="15">
        <v>15186</v>
      </c>
      <c r="F246" s="19">
        <v>241</v>
      </c>
      <c r="G246" s="22">
        <v>45690</v>
      </c>
      <c r="H246" s="31">
        <f t="shared" si="4"/>
        <v>16312</v>
      </c>
    </row>
    <row r="247" spans="1:8" x14ac:dyDescent="0.3">
      <c r="A247" s="15">
        <v>242</v>
      </c>
      <c r="B247" s="21">
        <v>45558</v>
      </c>
      <c r="C247" s="15">
        <v>15191</v>
      </c>
      <c r="F247" s="19">
        <v>242</v>
      </c>
      <c r="G247" s="22">
        <v>45689</v>
      </c>
      <c r="H247" s="31">
        <f t="shared" si="4"/>
        <v>16312</v>
      </c>
    </row>
    <row r="248" spans="1:8" x14ac:dyDescent="0.3">
      <c r="A248" s="15">
        <v>243</v>
      </c>
      <c r="B248" s="21">
        <v>45555</v>
      </c>
      <c r="C248" s="15">
        <v>15100</v>
      </c>
      <c r="F248" s="19">
        <v>243</v>
      </c>
      <c r="G248" s="22">
        <v>45688</v>
      </c>
      <c r="H248" s="31">
        <f t="shared" si="4"/>
        <v>16312</v>
      </c>
    </row>
    <row r="249" spans="1:8" x14ac:dyDescent="0.3">
      <c r="A249" s="15">
        <v>244</v>
      </c>
      <c r="B249" s="21">
        <v>45554</v>
      </c>
      <c r="C249" s="15">
        <v>15287</v>
      </c>
      <c r="F249" s="19">
        <v>244</v>
      </c>
      <c r="G249" s="22">
        <v>45687</v>
      </c>
      <c r="H249" s="31">
        <f t="shared" si="4"/>
        <v>16259</v>
      </c>
    </row>
    <row r="250" spans="1:8" x14ac:dyDescent="0.3">
      <c r="A250" s="15">
        <v>245</v>
      </c>
      <c r="B250" s="21">
        <v>45553</v>
      </c>
      <c r="C250" s="15">
        <v>15350</v>
      </c>
      <c r="F250" s="19">
        <v>245</v>
      </c>
      <c r="G250" s="22">
        <v>45686</v>
      </c>
      <c r="H250" s="31">
        <f t="shared" si="4"/>
        <v>16200</v>
      </c>
    </row>
    <row r="251" spans="1:8" x14ac:dyDescent="0.3">
      <c r="A251" s="15">
        <v>246</v>
      </c>
      <c r="B251" s="21">
        <v>45552</v>
      </c>
      <c r="C251" s="15">
        <v>15338</v>
      </c>
      <c r="F251" s="19">
        <v>246</v>
      </c>
      <c r="G251" s="22">
        <v>45685</v>
      </c>
      <c r="H251" s="31">
        <f t="shared" si="4"/>
        <v>16200</v>
      </c>
    </row>
    <row r="252" spans="1:8" x14ac:dyDescent="0.3">
      <c r="A252" s="15">
        <v>247</v>
      </c>
      <c r="B252" s="21">
        <v>45548</v>
      </c>
      <c r="C252" s="15">
        <v>15405</v>
      </c>
      <c r="F252" s="19">
        <v>247</v>
      </c>
      <c r="G252" s="22">
        <v>45684</v>
      </c>
      <c r="H252" s="31">
        <f t="shared" si="4"/>
        <v>16200</v>
      </c>
    </row>
    <row r="253" spans="1:8" x14ac:dyDescent="0.3">
      <c r="A253" s="15">
        <v>248</v>
      </c>
      <c r="B253" s="21">
        <v>45547</v>
      </c>
      <c r="C253" s="15">
        <v>15421</v>
      </c>
      <c r="F253" s="19">
        <v>248</v>
      </c>
      <c r="G253" s="22">
        <v>45683</v>
      </c>
      <c r="H253" s="31">
        <f t="shared" si="4"/>
        <v>16200</v>
      </c>
    </row>
    <row r="254" spans="1:8" x14ac:dyDescent="0.3">
      <c r="A254" s="15">
        <v>249</v>
      </c>
      <c r="B254" s="21">
        <v>45546</v>
      </c>
      <c r="C254" s="15">
        <v>15415</v>
      </c>
      <c r="F254" s="19">
        <v>249</v>
      </c>
      <c r="G254" s="22">
        <v>45682</v>
      </c>
      <c r="H254" s="31">
        <f t="shared" si="4"/>
        <v>16200</v>
      </c>
    </row>
    <row r="255" spans="1:8" x14ac:dyDescent="0.3">
      <c r="A255" s="15">
        <v>250</v>
      </c>
      <c r="B255" s="21">
        <v>45545</v>
      </c>
      <c r="C255" s="15">
        <v>15447</v>
      </c>
      <c r="F255" s="19">
        <v>250</v>
      </c>
      <c r="G255" s="22">
        <v>45681</v>
      </c>
      <c r="H255" s="31">
        <f t="shared" si="4"/>
        <v>16200</v>
      </c>
    </row>
    <row r="256" spans="1:8" x14ac:dyDescent="0.3">
      <c r="A256" s="15">
        <v>251</v>
      </c>
      <c r="B256" s="21">
        <v>45544</v>
      </c>
      <c r="C256" s="15">
        <v>15446</v>
      </c>
      <c r="F256" s="19">
        <v>251</v>
      </c>
      <c r="G256" s="22">
        <v>45680</v>
      </c>
      <c r="H256" s="31">
        <f t="shared" si="4"/>
        <v>16276</v>
      </c>
    </row>
    <row r="257" spans="1:8" x14ac:dyDescent="0.3">
      <c r="A257" s="15">
        <v>252</v>
      </c>
      <c r="B257" s="21">
        <v>45541</v>
      </c>
      <c r="C257" s="15">
        <v>15372</v>
      </c>
      <c r="F257" s="19">
        <v>252</v>
      </c>
      <c r="G257" s="22">
        <v>45679</v>
      </c>
      <c r="H257" s="31">
        <f t="shared" si="4"/>
        <v>16327</v>
      </c>
    </row>
    <row r="258" spans="1:8" x14ac:dyDescent="0.3">
      <c r="A258" s="15">
        <v>253</v>
      </c>
      <c r="B258" s="21">
        <v>45540</v>
      </c>
      <c r="C258" s="15">
        <v>15410</v>
      </c>
      <c r="F258" s="19">
        <v>253</v>
      </c>
      <c r="G258" s="22">
        <v>45678</v>
      </c>
      <c r="H258" s="31">
        <f t="shared" si="4"/>
        <v>16331</v>
      </c>
    </row>
    <row r="259" spans="1:8" x14ac:dyDescent="0.3">
      <c r="A259" s="15">
        <v>254</v>
      </c>
      <c r="B259" s="21">
        <v>45539</v>
      </c>
      <c r="C259" s="15">
        <v>15490</v>
      </c>
      <c r="F259" s="19">
        <v>254</v>
      </c>
      <c r="G259" s="22">
        <v>45677</v>
      </c>
      <c r="H259" s="31">
        <f t="shared" si="4"/>
        <v>16372</v>
      </c>
    </row>
    <row r="260" spans="1:8" x14ac:dyDescent="0.3">
      <c r="A260" s="15">
        <v>255</v>
      </c>
      <c r="B260" s="21">
        <v>45538</v>
      </c>
      <c r="C260" s="15">
        <v>15557</v>
      </c>
      <c r="F260" s="19">
        <v>255</v>
      </c>
      <c r="G260" s="22">
        <v>45676</v>
      </c>
      <c r="H260" s="31">
        <f t="shared" si="4"/>
        <v>16373</v>
      </c>
    </row>
    <row r="261" spans="1:8" x14ac:dyDescent="0.3">
      <c r="A261" s="15">
        <v>256</v>
      </c>
      <c r="B261" s="21">
        <v>45537</v>
      </c>
      <c r="C261" s="15">
        <v>15536</v>
      </c>
      <c r="F261" s="19">
        <v>256</v>
      </c>
      <c r="G261" s="22">
        <v>45675</v>
      </c>
      <c r="H261" s="31">
        <f t="shared" si="4"/>
        <v>16373</v>
      </c>
    </row>
    <row r="262" spans="1:8" x14ac:dyDescent="0.3">
      <c r="A262" s="15">
        <v>257</v>
      </c>
      <c r="B262" s="21">
        <v>45534</v>
      </c>
      <c r="C262" s="15">
        <v>15473</v>
      </c>
      <c r="F262" s="19">
        <v>257</v>
      </c>
      <c r="G262" s="22">
        <v>45674</v>
      </c>
      <c r="H262" s="31">
        <f t="shared" si="4"/>
        <v>16373</v>
      </c>
    </row>
    <row r="263" spans="1:8" x14ac:dyDescent="0.3">
      <c r="A263" s="15">
        <v>258</v>
      </c>
      <c r="B263" s="21">
        <v>45533</v>
      </c>
      <c r="C263" s="15">
        <v>15409</v>
      </c>
      <c r="F263" s="19">
        <v>258</v>
      </c>
      <c r="G263" s="22">
        <v>45673</v>
      </c>
      <c r="H263" s="31">
        <f t="shared" ref="H263:H326" si="5">_xlfn.XLOOKUP(G263,$B$6:$B$656,$C$6:$C$656,,-1)</f>
        <v>16378</v>
      </c>
    </row>
    <row r="264" spans="1:8" x14ac:dyDescent="0.3">
      <c r="A264" s="15">
        <v>259</v>
      </c>
      <c r="B264" s="21">
        <v>45532</v>
      </c>
      <c r="C264" s="15">
        <v>15476</v>
      </c>
      <c r="F264" s="19">
        <v>259</v>
      </c>
      <c r="G264" s="22">
        <v>45672</v>
      </c>
      <c r="H264" s="31">
        <f t="shared" si="5"/>
        <v>16311</v>
      </c>
    </row>
    <row r="265" spans="1:8" x14ac:dyDescent="0.3">
      <c r="A265" s="15">
        <v>260</v>
      </c>
      <c r="B265" s="21">
        <v>45531</v>
      </c>
      <c r="C265" s="15">
        <v>15509</v>
      </c>
      <c r="F265" s="19">
        <v>260</v>
      </c>
      <c r="G265" s="22">
        <v>45671</v>
      </c>
      <c r="H265" s="31">
        <f t="shared" si="5"/>
        <v>16265</v>
      </c>
    </row>
    <row r="266" spans="1:8" x14ac:dyDescent="0.3">
      <c r="A266" s="15">
        <v>261</v>
      </c>
      <c r="B266" s="21">
        <v>45530</v>
      </c>
      <c r="C266" s="15">
        <v>15380</v>
      </c>
      <c r="F266" s="19">
        <v>261</v>
      </c>
      <c r="G266" s="22">
        <v>45670</v>
      </c>
      <c r="H266" s="31">
        <f t="shared" si="5"/>
        <v>16281</v>
      </c>
    </row>
    <row r="267" spans="1:8" x14ac:dyDescent="0.3">
      <c r="A267" s="15">
        <v>262</v>
      </c>
      <c r="B267" s="21">
        <v>45527</v>
      </c>
      <c r="C267" s="15">
        <v>15554</v>
      </c>
      <c r="F267" s="19">
        <v>262</v>
      </c>
      <c r="G267" s="22">
        <v>45669</v>
      </c>
      <c r="H267" s="31">
        <f t="shared" si="5"/>
        <v>16194</v>
      </c>
    </row>
    <row r="268" spans="1:8" x14ac:dyDescent="0.3">
      <c r="A268" s="15">
        <v>263</v>
      </c>
      <c r="B268" s="21">
        <v>45526</v>
      </c>
      <c r="C268" s="15">
        <v>15579</v>
      </c>
      <c r="F268" s="19">
        <v>263</v>
      </c>
      <c r="G268" s="22">
        <v>45668</v>
      </c>
      <c r="H268" s="31">
        <f t="shared" si="5"/>
        <v>16194</v>
      </c>
    </row>
    <row r="269" spans="1:8" x14ac:dyDescent="0.3">
      <c r="A269" s="15">
        <v>264</v>
      </c>
      <c r="B269" s="21">
        <v>45525</v>
      </c>
      <c r="C269" s="15">
        <v>15456</v>
      </c>
      <c r="F269" s="19">
        <v>264</v>
      </c>
      <c r="G269" s="22">
        <v>45667</v>
      </c>
      <c r="H269" s="31">
        <f t="shared" si="5"/>
        <v>16194</v>
      </c>
    </row>
    <row r="270" spans="1:8" x14ac:dyDescent="0.3">
      <c r="A270" s="15">
        <v>265</v>
      </c>
      <c r="B270" s="21">
        <v>45524</v>
      </c>
      <c r="C270" s="15">
        <v>15480</v>
      </c>
      <c r="F270" s="19">
        <v>265</v>
      </c>
      <c r="G270" s="22">
        <v>45666</v>
      </c>
      <c r="H270" s="31">
        <f t="shared" si="5"/>
        <v>16238</v>
      </c>
    </row>
    <row r="271" spans="1:8" x14ac:dyDescent="0.3">
      <c r="A271" s="15">
        <v>266</v>
      </c>
      <c r="B271" s="21">
        <v>45523</v>
      </c>
      <c r="C271" s="15">
        <v>15591</v>
      </c>
      <c r="F271" s="19">
        <v>266</v>
      </c>
      <c r="G271" s="22">
        <v>45665</v>
      </c>
      <c r="H271" s="31">
        <f t="shared" si="5"/>
        <v>16201</v>
      </c>
    </row>
    <row r="272" spans="1:8" x14ac:dyDescent="0.3">
      <c r="A272" s="15">
        <v>267</v>
      </c>
      <c r="B272" s="21">
        <v>45520</v>
      </c>
      <c r="C272" s="15">
        <v>15716</v>
      </c>
      <c r="F272" s="19">
        <v>267</v>
      </c>
      <c r="G272" s="22">
        <v>45664</v>
      </c>
      <c r="H272" s="31">
        <f t="shared" si="5"/>
        <v>16169</v>
      </c>
    </row>
    <row r="273" spans="1:8" x14ac:dyDescent="0.3">
      <c r="A273" s="15">
        <v>268</v>
      </c>
      <c r="B273" s="21">
        <v>45519</v>
      </c>
      <c r="C273" s="15">
        <v>15687</v>
      </c>
      <c r="F273" s="19">
        <v>268</v>
      </c>
      <c r="G273" s="22">
        <v>45663</v>
      </c>
      <c r="H273" s="31">
        <f t="shared" si="5"/>
        <v>16193</v>
      </c>
    </row>
    <row r="274" spans="1:8" x14ac:dyDescent="0.3">
      <c r="A274" s="15">
        <v>269</v>
      </c>
      <c r="B274" s="21">
        <v>45518</v>
      </c>
      <c r="C274" s="15">
        <v>15691</v>
      </c>
      <c r="F274" s="19">
        <v>269</v>
      </c>
      <c r="G274" s="22">
        <v>45662</v>
      </c>
      <c r="H274" s="31">
        <f t="shared" si="5"/>
        <v>16217</v>
      </c>
    </row>
    <row r="275" spans="1:8" x14ac:dyDescent="0.3">
      <c r="A275" s="15">
        <v>270</v>
      </c>
      <c r="B275" s="21">
        <v>45517</v>
      </c>
      <c r="C275" s="15">
        <v>15885</v>
      </c>
      <c r="F275" s="19">
        <v>270</v>
      </c>
      <c r="G275" s="22">
        <v>45661</v>
      </c>
      <c r="H275" s="31">
        <f t="shared" si="5"/>
        <v>16217</v>
      </c>
    </row>
    <row r="276" spans="1:8" x14ac:dyDescent="0.3">
      <c r="A276" s="15">
        <v>271</v>
      </c>
      <c r="B276" s="21">
        <v>45516</v>
      </c>
      <c r="C276" s="15">
        <v>15963</v>
      </c>
      <c r="F276" s="19">
        <v>271</v>
      </c>
      <c r="G276" s="22">
        <v>45660</v>
      </c>
      <c r="H276" s="31">
        <f t="shared" si="5"/>
        <v>16217</v>
      </c>
    </row>
    <row r="277" spans="1:8" x14ac:dyDescent="0.3">
      <c r="A277" s="15">
        <v>272</v>
      </c>
      <c r="B277" s="21">
        <v>45513</v>
      </c>
      <c r="C277" s="15">
        <v>15914</v>
      </c>
      <c r="F277" s="19">
        <v>272</v>
      </c>
      <c r="G277" s="22">
        <v>45659</v>
      </c>
      <c r="H277" s="31">
        <f t="shared" si="5"/>
        <v>16236</v>
      </c>
    </row>
    <row r="278" spans="1:8" x14ac:dyDescent="0.3">
      <c r="A278" s="15">
        <v>273</v>
      </c>
      <c r="B278" s="21">
        <v>45512</v>
      </c>
      <c r="C278" s="15">
        <v>15952</v>
      </c>
      <c r="F278" s="19">
        <v>273</v>
      </c>
      <c r="G278" s="22">
        <v>45658</v>
      </c>
      <c r="H278" s="31">
        <f t="shared" si="5"/>
        <v>16157</v>
      </c>
    </row>
    <row r="279" spans="1:8" x14ac:dyDescent="0.3">
      <c r="A279" s="15">
        <v>274</v>
      </c>
      <c r="B279" s="21">
        <v>45511</v>
      </c>
      <c r="C279" s="15">
        <v>16100</v>
      </c>
      <c r="F279" s="19">
        <v>274</v>
      </c>
      <c r="G279" s="22">
        <v>45657</v>
      </c>
      <c r="H279" s="31">
        <f t="shared" si="5"/>
        <v>16157</v>
      </c>
    </row>
    <row r="280" spans="1:8" x14ac:dyDescent="0.3">
      <c r="A280" s="15">
        <v>275</v>
      </c>
      <c r="B280" s="21">
        <v>45510</v>
      </c>
      <c r="C280" s="15">
        <v>16183</v>
      </c>
      <c r="F280" s="19">
        <v>275</v>
      </c>
      <c r="G280" s="22">
        <v>45656</v>
      </c>
      <c r="H280" s="31">
        <f t="shared" si="5"/>
        <v>16162</v>
      </c>
    </row>
    <row r="281" spans="1:8" x14ac:dyDescent="0.3">
      <c r="A281" s="15">
        <v>276</v>
      </c>
      <c r="B281" s="21">
        <v>45509</v>
      </c>
      <c r="C281" s="15">
        <v>16154</v>
      </c>
      <c r="F281" s="19">
        <v>276</v>
      </c>
      <c r="G281" s="22">
        <v>45655</v>
      </c>
      <c r="H281" s="31">
        <f t="shared" si="5"/>
        <v>16251</v>
      </c>
    </row>
    <row r="282" spans="1:8" x14ac:dyDescent="0.3">
      <c r="A282" s="15">
        <v>277</v>
      </c>
      <c r="B282" s="21">
        <v>45506</v>
      </c>
      <c r="C282" s="15">
        <v>16234</v>
      </c>
      <c r="F282" s="19">
        <v>277</v>
      </c>
      <c r="G282" s="22">
        <v>45654</v>
      </c>
      <c r="H282" s="31">
        <f t="shared" si="5"/>
        <v>16251</v>
      </c>
    </row>
    <row r="283" spans="1:8" x14ac:dyDescent="0.3">
      <c r="A283" s="15">
        <v>278</v>
      </c>
      <c r="B283" s="21">
        <v>45505</v>
      </c>
      <c r="C283" s="15">
        <v>16243</v>
      </c>
      <c r="F283" s="19">
        <v>278</v>
      </c>
      <c r="G283" s="22">
        <v>45653</v>
      </c>
      <c r="H283" s="31">
        <f t="shared" si="5"/>
        <v>16251</v>
      </c>
    </row>
    <row r="284" spans="1:8" x14ac:dyDescent="0.3">
      <c r="A284" s="15">
        <v>279</v>
      </c>
      <c r="B284" s="21">
        <v>45504</v>
      </c>
      <c r="C284" s="15">
        <v>16294</v>
      </c>
      <c r="F284" s="19">
        <v>279</v>
      </c>
      <c r="G284" s="22">
        <v>45652</v>
      </c>
      <c r="H284" s="31">
        <f t="shared" si="5"/>
        <v>16208</v>
      </c>
    </row>
    <row r="285" spans="1:8" x14ac:dyDescent="0.3">
      <c r="A285" s="15">
        <v>280</v>
      </c>
      <c r="B285" s="21">
        <v>45503</v>
      </c>
      <c r="C285" s="15">
        <v>16320</v>
      </c>
      <c r="F285" s="19">
        <v>280</v>
      </c>
      <c r="G285" s="22">
        <v>45651</v>
      </c>
      <c r="H285" s="31">
        <f t="shared" si="5"/>
        <v>16208</v>
      </c>
    </row>
    <row r="286" spans="1:8" x14ac:dyDescent="0.3">
      <c r="A286" s="15">
        <v>281</v>
      </c>
      <c r="B286" s="21">
        <v>45502</v>
      </c>
      <c r="C286" s="15">
        <v>16286</v>
      </c>
      <c r="F286" s="19">
        <v>281</v>
      </c>
      <c r="G286" s="22">
        <v>45650</v>
      </c>
      <c r="H286" s="31">
        <f t="shared" si="5"/>
        <v>16208</v>
      </c>
    </row>
    <row r="287" spans="1:8" x14ac:dyDescent="0.3">
      <c r="A287" s="15">
        <v>282</v>
      </c>
      <c r="B287" s="21">
        <v>45499</v>
      </c>
      <c r="C287" s="15">
        <v>16294</v>
      </c>
      <c r="F287" s="19">
        <v>282</v>
      </c>
      <c r="G287" s="22">
        <v>45649</v>
      </c>
      <c r="H287" s="31">
        <f t="shared" si="5"/>
        <v>16159</v>
      </c>
    </row>
    <row r="288" spans="1:8" x14ac:dyDescent="0.3">
      <c r="A288" s="15">
        <v>283</v>
      </c>
      <c r="B288" s="21">
        <v>45498</v>
      </c>
      <c r="C288" s="15">
        <v>16268</v>
      </c>
      <c r="F288" s="19">
        <v>283</v>
      </c>
      <c r="G288" s="22">
        <v>45648</v>
      </c>
      <c r="H288" s="31">
        <f t="shared" si="5"/>
        <v>16270</v>
      </c>
    </row>
    <row r="289" spans="1:8" x14ac:dyDescent="0.3">
      <c r="A289" s="15">
        <v>284</v>
      </c>
      <c r="B289" s="21">
        <v>45497</v>
      </c>
      <c r="C289" s="15">
        <v>16224</v>
      </c>
      <c r="F289" s="19">
        <v>284</v>
      </c>
      <c r="G289" s="22">
        <v>45647</v>
      </c>
      <c r="H289" s="31">
        <f t="shared" si="5"/>
        <v>16270</v>
      </c>
    </row>
    <row r="290" spans="1:8" x14ac:dyDescent="0.3">
      <c r="A290" s="15">
        <v>285</v>
      </c>
      <c r="B290" s="21">
        <v>45496</v>
      </c>
      <c r="C290" s="15">
        <v>16204</v>
      </c>
      <c r="F290" s="19">
        <v>285</v>
      </c>
      <c r="G290" s="22">
        <v>45646</v>
      </c>
      <c r="H290" s="31">
        <f t="shared" si="5"/>
        <v>16270</v>
      </c>
    </row>
    <row r="291" spans="1:8" x14ac:dyDescent="0.3">
      <c r="A291" s="15">
        <v>286</v>
      </c>
      <c r="B291" s="21">
        <v>45495</v>
      </c>
      <c r="C291" s="15">
        <v>16228</v>
      </c>
      <c r="F291" s="19">
        <v>286</v>
      </c>
      <c r="G291" s="22">
        <v>45645</v>
      </c>
      <c r="H291" s="31">
        <f t="shared" si="5"/>
        <v>16277</v>
      </c>
    </row>
    <row r="292" spans="1:8" x14ac:dyDescent="0.3">
      <c r="A292" s="15">
        <v>287</v>
      </c>
      <c r="B292" s="21">
        <v>45492</v>
      </c>
      <c r="C292" s="15">
        <v>16199</v>
      </c>
      <c r="F292" s="19">
        <v>287</v>
      </c>
      <c r="G292" s="22">
        <v>45644</v>
      </c>
      <c r="H292" s="31">
        <f t="shared" si="5"/>
        <v>16100</v>
      </c>
    </row>
    <row r="293" spans="1:8" x14ac:dyDescent="0.3">
      <c r="A293" s="15">
        <v>288</v>
      </c>
      <c r="B293" s="21">
        <v>45491</v>
      </c>
      <c r="C293" s="15">
        <v>16160</v>
      </c>
      <c r="F293" s="19">
        <v>288</v>
      </c>
      <c r="G293" s="22">
        <v>45643</v>
      </c>
      <c r="H293" s="31">
        <f t="shared" si="5"/>
        <v>16050</v>
      </c>
    </row>
    <row r="294" spans="1:8" x14ac:dyDescent="0.3">
      <c r="A294" s="15">
        <v>289</v>
      </c>
      <c r="B294" s="21">
        <v>45490</v>
      </c>
      <c r="C294" s="15">
        <v>16129</v>
      </c>
      <c r="F294" s="19">
        <v>289</v>
      </c>
      <c r="G294" s="22">
        <v>45642</v>
      </c>
      <c r="H294" s="31">
        <f t="shared" si="5"/>
        <v>16019</v>
      </c>
    </row>
    <row r="295" spans="1:8" x14ac:dyDescent="0.3">
      <c r="A295" s="15">
        <v>290</v>
      </c>
      <c r="B295" s="21">
        <v>45489</v>
      </c>
      <c r="C295" s="15">
        <v>16203</v>
      </c>
      <c r="F295" s="19">
        <v>290</v>
      </c>
      <c r="G295" s="22">
        <v>45641</v>
      </c>
      <c r="H295" s="31">
        <f t="shared" si="5"/>
        <v>15987</v>
      </c>
    </row>
    <row r="296" spans="1:8" x14ac:dyDescent="0.3">
      <c r="A296" s="15">
        <v>291</v>
      </c>
      <c r="B296" s="21">
        <v>45488</v>
      </c>
      <c r="C296" s="15">
        <v>16174</v>
      </c>
      <c r="F296" s="19">
        <v>291</v>
      </c>
      <c r="G296" s="22">
        <v>45640</v>
      </c>
      <c r="H296" s="31">
        <f t="shared" si="5"/>
        <v>15987</v>
      </c>
    </row>
    <row r="297" spans="1:8" x14ac:dyDescent="0.3">
      <c r="A297" s="15">
        <v>292</v>
      </c>
      <c r="B297" s="21">
        <v>45485</v>
      </c>
      <c r="C297" s="15">
        <v>16154</v>
      </c>
      <c r="F297" s="19">
        <v>292</v>
      </c>
      <c r="G297" s="22">
        <v>45639</v>
      </c>
      <c r="H297" s="31">
        <f t="shared" si="5"/>
        <v>15987</v>
      </c>
    </row>
    <row r="298" spans="1:8" x14ac:dyDescent="0.3">
      <c r="A298" s="15">
        <v>293</v>
      </c>
      <c r="B298" s="21">
        <v>45484</v>
      </c>
      <c r="C298" s="15">
        <v>16200</v>
      </c>
      <c r="F298" s="19">
        <v>293</v>
      </c>
      <c r="G298" s="22">
        <v>45638</v>
      </c>
      <c r="H298" s="31">
        <f t="shared" si="5"/>
        <v>15939</v>
      </c>
    </row>
    <row r="299" spans="1:8" x14ac:dyDescent="0.3">
      <c r="A299" s="15">
        <v>294</v>
      </c>
      <c r="B299" s="21">
        <v>45483</v>
      </c>
      <c r="C299" s="15">
        <v>16256</v>
      </c>
      <c r="F299" s="19">
        <v>294</v>
      </c>
      <c r="G299" s="22">
        <v>45637</v>
      </c>
      <c r="H299" s="31">
        <f t="shared" si="5"/>
        <v>15905</v>
      </c>
    </row>
    <row r="300" spans="1:8" x14ac:dyDescent="0.3">
      <c r="A300" s="15">
        <v>295</v>
      </c>
      <c r="B300" s="21">
        <v>45482</v>
      </c>
      <c r="C300" s="15">
        <v>16281</v>
      </c>
      <c r="F300" s="19">
        <v>295</v>
      </c>
      <c r="G300" s="22">
        <v>45636</v>
      </c>
      <c r="H300" s="31">
        <f t="shared" si="5"/>
        <v>15874</v>
      </c>
    </row>
    <row r="301" spans="1:8" x14ac:dyDescent="0.3">
      <c r="A301" s="15">
        <v>296</v>
      </c>
      <c r="B301" s="21">
        <v>45481</v>
      </c>
      <c r="C301" s="15">
        <v>16265</v>
      </c>
      <c r="F301" s="19">
        <v>296</v>
      </c>
      <c r="G301" s="22">
        <v>45635</v>
      </c>
      <c r="H301" s="31">
        <f t="shared" si="5"/>
        <v>15861</v>
      </c>
    </row>
    <row r="302" spans="1:8" x14ac:dyDescent="0.3">
      <c r="A302" s="15">
        <v>297</v>
      </c>
      <c r="B302" s="21">
        <v>45478</v>
      </c>
      <c r="C302" s="15">
        <v>16312</v>
      </c>
      <c r="F302" s="19">
        <v>297</v>
      </c>
      <c r="G302" s="22">
        <v>45634</v>
      </c>
      <c r="H302" s="31">
        <f t="shared" si="5"/>
        <v>15848</v>
      </c>
    </row>
    <row r="303" spans="1:8" x14ac:dyDescent="0.3">
      <c r="A303" s="15">
        <v>298</v>
      </c>
      <c r="B303" s="21">
        <v>45477</v>
      </c>
      <c r="C303" s="15">
        <v>16341</v>
      </c>
      <c r="F303" s="19">
        <v>298</v>
      </c>
      <c r="G303" s="22">
        <v>45633</v>
      </c>
      <c r="H303" s="31">
        <f t="shared" si="5"/>
        <v>15848</v>
      </c>
    </row>
    <row r="304" spans="1:8" x14ac:dyDescent="0.3">
      <c r="A304" s="15">
        <v>299</v>
      </c>
      <c r="B304" s="21">
        <v>45476</v>
      </c>
      <c r="C304" s="15">
        <v>16387</v>
      </c>
      <c r="F304" s="19">
        <v>299</v>
      </c>
      <c r="G304" s="22">
        <v>45632</v>
      </c>
      <c r="H304" s="31">
        <f t="shared" si="5"/>
        <v>15848</v>
      </c>
    </row>
    <row r="305" spans="1:8" x14ac:dyDescent="0.3">
      <c r="A305" s="15">
        <v>300</v>
      </c>
      <c r="B305" s="21">
        <v>45475</v>
      </c>
      <c r="C305" s="15">
        <v>16384</v>
      </c>
      <c r="F305" s="19">
        <v>300</v>
      </c>
      <c r="G305" s="22">
        <v>45631</v>
      </c>
      <c r="H305" s="31">
        <f t="shared" si="5"/>
        <v>15892</v>
      </c>
    </row>
    <row r="306" spans="1:8" x14ac:dyDescent="0.3">
      <c r="A306" s="15">
        <v>301</v>
      </c>
      <c r="B306" s="21">
        <v>45474</v>
      </c>
      <c r="C306" s="15">
        <v>16355</v>
      </c>
      <c r="F306" s="19">
        <v>301</v>
      </c>
      <c r="G306" s="22">
        <v>45630</v>
      </c>
      <c r="H306" s="31">
        <f t="shared" si="5"/>
        <v>15957</v>
      </c>
    </row>
    <row r="307" spans="1:8" x14ac:dyDescent="0.3">
      <c r="A307" s="15">
        <v>302</v>
      </c>
      <c r="B307" s="21">
        <v>45471</v>
      </c>
      <c r="C307" s="15">
        <v>16394</v>
      </c>
      <c r="F307" s="19">
        <v>302</v>
      </c>
      <c r="G307" s="22">
        <v>45629</v>
      </c>
      <c r="H307" s="31">
        <f t="shared" si="5"/>
        <v>15950</v>
      </c>
    </row>
    <row r="308" spans="1:8" x14ac:dyDescent="0.3">
      <c r="A308" s="15">
        <v>303</v>
      </c>
      <c r="B308" s="21">
        <v>45470</v>
      </c>
      <c r="C308" s="15">
        <v>16421</v>
      </c>
      <c r="F308" s="19">
        <v>303</v>
      </c>
      <c r="G308" s="22">
        <v>45628</v>
      </c>
      <c r="H308" s="31">
        <f t="shared" si="5"/>
        <v>15905</v>
      </c>
    </row>
    <row r="309" spans="1:8" x14ac:dyDescent="0.3">
      <c r="A309" s="15">
        <v>304</v>
      </c>
      <c r="B309" s="21">
        <v>45469</v>
      </c>
      <c r="C309" s="15">
        <v>16435</v>
      </c>
      <c r="F309" s="19">
        <v>304</v>
      </c>
      <c r="G309" s="22">
        <v>45627</v>
      </c>
      <c r="H309" s="31">
        <f t="shared" si="5"/>
        <v>15856</v>
      </c>
    </row>
    <row r="310" spans="1:8" x14ac:dyDescent="0.3">
      <c r="A310" s="15">
        <v>305</v>
      </c>
      <c r="B310" s="21">
        <v>45468</v>
      </c>
      <c r="C310" s="15">
        <v>16379</v>
      </c>
      <c r="F310" s="19">
        <v>305</v>
      </c>
      <c r="G310" s="22">
        <v>45626</v>
      </c>
      <c r="H310" s="31">
        <f t="shared" si="5"/>
        <v>15856</v>
      </c>
    </row>
    <row r="311" spans="1:8" x14ac:dyDescent="0.3">
      <c r="A311" s="15">
        <v>306</v>
      </c>
      <c r="B311" s="21">
        <v>45467</v>
      </c>
      <c r="C311" s="15">
        <v>16431</v>
      </c>
      <c r="F311" s="19">
        <v>306</v>
      </c>
      <c r="G311" s="22">
        <v>45625</v>
      </c>
      <c r="H311" s="31">
        <f t="shared" si="5"/>
        <v>15856</v>
      </c>
    </row>
    <row r="312" spans="1:8" x14ac:dyDescent="0.3">
      <c r="A312" s="15">
        <v>307</v>
      </c>
      <c r="B312" s="21">
        <v>45464</v>
      </c>
      <c r="C312" s="15">
        <v>16458</v>
      </c>
      <c r="F312" s="19">
        <v>307</v>
      </c>
      <c r="G312" s="22">
        <v>45624</v>
      </c>
      <c r="H312" s="31">
        <f t="shared" si="5"/>
        <v>15864</v>
      </c>
    </row>
    <row r="313" spans="1:8" x14ac:dyDescent="0.3">
      <c r="A313" s="15">
        <v>308</v>
      </c>
      <c r="B313" s="21">
        <v>45463</v>
      </c>
      <c r="C313" s="15">
        <v>16420</v>
      </c>
      <c r="F313" s="19">
        <v>308</v>
      </c>
      <c r="G313" s="22">
        <v>45623</v>
      </c>
      <c r="H313" s="31">
        <f t="shared" si="5"/>
        <v>15930</v>
      </c>
    </row>
    <row r="314" spans="1:8" x14ac:dyDescent="0.3">
      <c r="A314" s="15">
        <v>309</v>
      </c>
      <c r="B314" s="21">
        <v>45462</v>
      </c>
      <c r="C314" s="15">
        <v>16368</v>
      </c>
      <c r="F314" s="19">
        <v>309</v>
      </c>
      <c r="G314" s="22">
        <v>45622</v>
      </c>
      <c r="H314" s="31">
        <f t="shared" si="5"/>
        <v>15930</v>
      </c>
    </row>
    <row r="315" spans="1:8" x14ac:dyDescent="0.3">
      <c r="A315" s="15">
        <v>310</v>
      </c>
      <c r="B315" s="21">
        <v>45457</v>
      </c>
      <c r="C315" s="15">
        <v>16374</v>
      </c>
      <c r="F315" s="19">
        <v>310</v>
      </c>
      <c r="G315" s="22">
        <v>45621</v>
      </c>
      <c r="H315" s="31">
        <f t="shared" si="5"/>
        <v>15864</v>
      </c>
    </row>
    <row r="316" spans="1:8" x14ac:dyDescent="0.3">
      <c r="A316" s="15">
        <v>311</v>
      </c>
      <c r="B316" s="21">
        <v>45456</v>
      </c>
      <c r="C316" s="15">
        <v>16286</v>
      </c>
      <c r="F316" s="19">
        <v>311</v>
      </c>
      <c r="G316" s="22">
        <v>45620</v>
      </c>
      <c r="H316" s="31">
        <f t="shared" si="5"/>
        <v>15911</v>
      </c>
    </row>
    <row r="317" spans="1:8" x14ac:dyDescent="0.3">
      <c r="A317" s="15">
        <v>312</v>
      </c>
      <c r="B317" s="21">
        <v>45455</v>
      </c>
      <c r="C317" s="15">
        <v>16297</v>
      </c>
      <c r="F317" s="19">
        <v>312</v>
      </c>
      <c r="G317" s="22">
        <v>45619</v>
      </c>
      <c r="H317" s="31">
        <f t="shared" si="5"/>
        <v>15911</v>
      </c>
    </row>
    <row r="318" spans="1:8" x14ac:dyDescent="0.3">
      <c r="A318" s="15">
        <v>313</v>
      </c>
      <c r="B318" s="21">
        <v>45454</v>
      </c>
      <c r="C318" s="15">
        <v>16295</v>
      </c>
      <c r="F318" s="19">
        <v>313</v>
      </c>
      <c r="G318" s="22">
        <v>45618</v>
      </c>
      <c r="H318" s="31">
        <f t="shared" si="5"/>
        <v>15911</v>
      </c>
    </row>
    <row r="319" spans="1:8" x14ac:dyDescent="0.3">
      <c r="A319" s="15">
        <v>314</v>
      </c>
      <c r="B319" s="21">
        <v>45453</v>
      </c>
      <c r="C319" s="15">
        <v>16290</v>
      </c>
      <c r="F319" s="19">
        <v>314</v>
      </c>
      <c r="G319" s="22">
        <v>45617</v>
      </c>
      <c r="H319" s="31">
        <f t="shared" si="5"/>
        <v>15942</v>
      </c>
    </row>
    <row r="320" spans="1:8" x14ac:dyDescent="0.3">
      <c r="A320" s="15">
        <v>315</v>
      </c>
      <c r="B320" s="21">
        <v>45450</v>
      </c>
      <c r="C320" s="15">
        <v>16218</v>
      </c>
      <c r="F320" s="19">
        <v>315</v>
      </c>
      <c r="G320" s="22">
        <v>45616</v>
      </c>
      <c r="H320" s="31">
        <f t="shared" si="5"/>
        <v>15858</v>
      </c>
    </row>
    <row r="321" spans="1:8" x14ac:dyDescent="0.3">
      <c r="A321" s="15">
        <v>316</v>
      </c>
      <c r="B321" s="21">
        <v>45449</v>
      </c>
      <c r="C321" s="15">
        <v>16279</v>
      </c>
      <c r="F321" s="19">
        <v>316</v>
      </c>
      <c r="G321" s="22">
        <v>45615</v>
      </c>
      <c r="H321" s="31">
        <f t="shared" si="5"/>
        <v>15816</v>
      </c>
    </row>
    <row r="322" spans="1:8" x14ac:dyDescent="0.3">
      <c r="A322" s="15">
        <v>317</v>
      </c>
      <c r="B322" s="21">
        <v>45448</v>
      </c>
      <c r="C322" s="15">
        <v>16282</v>
      </c>
      <c r="F322" s="19">
        <v>317</v>
      </c>
      <c r="G322" s="22">
        <v>45614</v>
      </c>
      <c r="H322" s="31">
        <f t="shared" si="5"/>
        <v>15848</v>
      </c>
    </row>
    <row r="323" spans="1:8" x14ac:dyDescent="0.3">
      <c r="A323" s="15">
        <v>318</v>
      </c>
      <c r="B323" s="21">
        <v>45447</v>
      </c>
      <c r="C323" s="15">
        <v>16220</v>
      </c>
      <c r="F323" s="19">
        <v>318</v>
      </c>
      <c r="G323" s="22">
        <v>45613</v>
      </c>
      <c r="H323" s="31">
        <f t="shared" si="5"/>
        <v>15888</v>
      </c>
    </row>
    <row r="324" spans="1:8" x14ac:dyDescent="0.3">
      <c r="A324" s="15">
        <v>319</v>
      </c>
      <c r="B324" s="21">
        <v>45446</v>
      </c>
      <c r="C324" s="15">
        <v>16225</v>
      </c>
      <c r="F324" s="19">
        <v>319</v>
      </c>
      <c r="G324" s="22">
        <v>45612</v>
      </c>
      <c r="H324" s="31">
        <f t="shared" si="5"/>
        <v>15888</v>
      </c>
    </row>
    <row r="325" spans="1:8" x14ac:dyDescent="0.3">
      <c r="A325" s="15">
        <v>320</v>
      </c>
      <c r="B325" s="21">
        <v>45443</v>
      </c>
      <c r="C325" s="15">
        <v>16251</v>
      </c>
      <c r="F325" s="19">
        <v>320</v>
      </c>
      <c r="G325" s="22">
        <v>45611</v>
      </c>
      <c r="H325" s="31">
        <f t="shared" si="5"/>
        <v>15888</v>
      </c>
    </row>
    <row r="326" spans="1:8" x14ac:dyDescent="0.3">
      <c r="A326" s="15">
        <v>321</v>
      </c>
      <c r="B326" s="21">
        <v>45442</v>
      </c>
      <c r="C326" s="15">
        <v>16253</v>
      </c>
      <c r="F326" s="19">
        <v>321</v>
      </c>
      <c r="G326" s="22">
        <v>45610</v>
      </c>
      <c r="H326" s="31">
        <f t="shared" si="5"/>
        <v>15873</v>
      </c>
    </row>
    <row r="327" spans="1:8" x14ac:dyDescent="0.3">
      <c r="A327" s="15">
        <v>322</v>
      </c>
      <c r="B327" s="21">
        <v>45441</v>
      </c>
      <c r="C327" s="15">
        <v>16160</v>
      </c>
      <c r="F327" s="19">
        <v>322</v>
      </c>
      <c r="G327" s="22">
        <v>45609</v>
      </c>
      <c r="H327" s="31">
        <f t="shared" ref="H327:H390" si="6">_xlfn.XLOOKUP(G327,$B$6:$B$656,$C$6:$C$656,,-1)</f>
        <v>15782</v>
      </c>
    </row>
    <row r="328" spans="1:8" x14ac:dyDescent="0.3">
      <c r="A328" s="15">
        <v>323</v>
      </c>
      <c r="B328" s="21">
        <v>45440</v>
      </c>
      <c r="C328" s="15">
        <v>16095</v>
      </c>
      <c r="F328" s="19">
        <v>323</v>
      </c>
      <c r="G328" s="22">
        <v>45608</v>
      </c>
      <c r="H328" s="31">
        <f t="shared" si="6"/>
        <v>15771</v>
      </c>
    </row>
    <row r="329" spans="1:8" x14ac:dyDescent="0.3">
      <c r="A329" s="15">
        <v>324</v>
      </c>
      <c r="B329" s="21">
        <v>45439</v>
      </c>
      <c r="C329" s="15">
        <v>16064</v>
      </c>
      <c r="F329" s="19">
        <v>324</v>
      </c>
      <c r="G329" s="22">
        <v>45607</v>
      </c>
      <c r="H329" s="31">
        <f t="shared" si="6"/>
        <v>15677</v>
      </c>
    </row>
    <row r="330" spans="1:8" x14ac:dyDescent="0.3">
      <c r="A330" s="15">
        <v>325</v>
      </c>
      <c r="B330" s="21">
        <v>45434</v>
      </c>
      <c r="C330" s="15">
        <v>15995</v>
      </c>
      <c r="F330" s="19">
        <v>325</v>
      </c>
      <c r="G330" s="22">
        <v>45606</v>
      </c>
      <c r="H330" s="31">
        <f t="shared" si="6"/>
        <v>15671</v>
      </c>
    </row>
    <row r="331" spans="1:8" x14ac:dyDescent="0.3">
      <c r="A331" s="15">
        <v>326</v>
      </c>
      <c r="B331" s="21">
        <v>45433</v>
      </c>
      <c r="C331" s="15">
        <v>16024</v>
      </c>
      <c r="F331" s="19">
        <v>326</v>
      </c>
      <c r="G331" s="22">
        <v>45605</v>
      </c>
      <c r="H331" s="31">
        <f t="shared" si="6"/>
        <v>15671</v>
      </c>
    </row>
    <row r="332" spans="1:8" x14ac:dyDescent="0.3">
      <c r="A332" s="15">
        <v>327</v>
      </c>
      <c r="B332" s="21">
        <v>45432</v>
      </c>
      <c r="C332" s="15">
        <v>15980</v>
      </c>
      <c r="F332" s="19">
        <v>327</v>
      </c>
      <c r="G332" s="22">
        <v>45604</v>
      </c>
      <c r="H332" s="31">
        <f t="shared" si="6"/>
        <v>15671</v>
      </c>
    </row>
    <row r="333" spans="1:8" x14ac:dyDescent="0.3">
      <c r="A333" s="15">
        <v>328</v>
      </c>
      <c r="B333" s="21">
        <v>45429</v>
      </c>
      <c r="C333" s="15">
        <v>15978</v>
      </c>
      <c r="F333" s="19">
        <v>328</v>
      </c>
      <c r="G333" s="22">
        <v>45603</v>
      </c>
      <c r="H333" s="31">
        <f t="shared" si="6"/>
        <v>15767</v>
      </c>
    </row>
    <row r="334" spans="1:8" x14ac:dyDescent="0.3">
      <c r="A334" s="15">
        <v>329</v>
      </c>
      <c r="B334" s="21">
        <v>45428</v>
      </c>
      <c r="C334" s="15">
        <v>15944</v>
      </c>
      <c r="F334" s="19">
        <v>329</v>
      </c>
      <c r="G334" s="22">
        <v>45602</v>
      </c>
      <c r="H334" s="31">
        <f t="shared" si="6"/>
        <v>15840</v>
      </c>
    </row>
    <row r="335" spans="1:8" x14ac:dyDescent="0.3">
      <c r="A335" s="15">
        <v>330</v>
      </c>
      <c r="B335" s="21">
        <v>45427</v>
      </c>
      <c r="C335" s="15">
        <v>16070</v>
      </c>
      <c r="F335" s="19">
        <v>330</v>
      </c>
      <c r="G335" s="22">
        <v>45601</v>
      </c>
      <c r="H335" s="31">
        <f t="shared" si="6"/>
        <v>15766</v>
      </c>
    </row>
    <row r="336" spans="1:8" x14ac:dyDescent="0.3">
      <c r="A336" s="15">
        <v>331</v>
      </c>
      <c r="B336" s="21">
        <v>45426</v>
      </c>
      <c r="C336" s="15">
        <v>16131</v>
      </c>
      <c r="F336" s="19">
        <v>331</v>
      </c>
      <c r="G336" s="22">
        <v>45600</v>
      </c>
      <c r="H336" s="31">
        <f t="shared" si="6"/>
        <v>15751</v>
      </c>
    </row>
    <row r="337" spans="1:8" x14ac:dyDescent="0.3">
      <c r="A337" s="15">
        <v>332</v>
      </c>
      <c r="B337" s="21">
        <v>45425</v>
      </c>
      <c r="C337" s="15">
        <v>16085</v>
      </c>
      <c r="F337" s="19">
        <v>332</v>
      </c>
      <c r="G337" s="22">
        <v>45599</v>
      </c>
      <c r="H337" s="31">
        <f t="shared" si="6"/>
        <v>15723</v>
      </c>
    </row>
    <row r="338" spans="1:8" x14ac:dyDescent="0.3">
      <c r="A338" s="15">
        <v>333</v>
      </c>
      <c r="B338" s="21">
        <v>45420</v>
      </c>
      <c r="C338" s="15">
        <v>16081</v>
      </c>
      <c r="F338" s="19">
        <v>333</v>
      </c>
      <c r="G338" s="22">
        <v>45598</v>
      </c>
      <c r="H338" s="31">
        <f t="shared" si="6"/>
        <v>15723</v>
      </c>
    </row>
    <row r="339" spans="1:8" x14ac:dyDescent="0.3">
      <c r="A339" s="15">
        <v>334</v>
      </c>
      <c r="B339" s="21">
        <v>45419</v>
      </c>
      <c r="C339" s="15">
        <v>16054</v>
      </c>
      <c r="F339" s="19">
        <v>334</v>
      </c>
      <c r="G339" s="22">
        <v>45597</v>
      </c>
      <c r="H339" s="31">
        <f t="shared" si="6"/>
        <v>15723</v>
      </c>
    </row>
    <row r="340" spans="1:8" x14ac:dyDescent="0.3">
      <c r="A340" s="15">
        <v>335</v>
      </c>
      <c r="B340" s="21">
        <v>45418</v>
      </c>
      <c r="C340" s="15">
        <v>16025</v>
      </c>
      <c r="F340" s="19">
        <v>335</v>
      </c>
      <c r="G340" s="22">
        <v>45596</v>
      </c>
      <c r="H340" s="31">
        <f t="shared" si="6"/>
        <v>15705</v>
      </c>
    </row>
    <row r="341" spans="1:8" x14ac:dyDescent="0.3">
      <c r="A341" s="15">
        <v>336</v>
      </c>
      <c r="B341" s="21">
        <v>45415</v>
      </c>
      <c r="C341" s="15">
        <v>16094</v>
      </c>
      <c r="F341" s="19">
        <v>336</v>
      </c>
      <c r="G341" s="22">
        <v>45595</v>
      </c>
      <c r="H341" s="31">
        <f t="shared" si="6"/>
        <v>15732</v>
      </c>
    </row>
    <row r="342" spans="1:8" x14ac:dyDescent="0.3">
      <c r="A342" s="15">
        <v>337</v>
      </c>
      <c r="B342" s="21">
        <v>45414</v>
      </c>
      <c r="C342" s="15">
        <v>16202</v>
      </c>
      <c r="F342" s="19">
        <v>337</v>
      </c>
      <c r="G342" s="22">
        <v>45594</v>
      </c>
      <c r="H342" s="31">
        <f t="shared" si="6"/>
        <v>15760</v>
      </c>
    </row>
    <row r="343" spans="1:8" x14ac:dyDescent="0.3">
      <c r="A343" s="15">
        <v>338</v>
      </c>
      <c r="B343" s="21">
        <v>45412</v>
      </c>
      <c r="C343" s="15">
        <v>16276</v>
      </c>
      <c r="F343" s="19">
        <v>338</v>
      </c>
      <c r="G343" s="22">
        <v>45593</v>
      </c>
      <c r="H343" s="31">
        <f t="shared" si="6"/>
        <v>15729</v>
      </c>
    </row>
    <row r="344" spans="1:8" x14ac:dyDescent="0.3">
      <c r="A344" s="15">
        <v>339</v>
      </c>
      <c r="B344" s="21">
        <v>45411</v>
      </c>
      <c r="C344" s="15">
        <v>16249</v>
      </c>
      <c r="F344" s="19">
        <v>339</v>
      </c>
      <c r="G344" s="22">
        <v>45592</v>
      </c>
      <c r="H344" s="31">
        <f t="shared" si="6"/>
        <v>15629</v>
      </c>
    </row>
    <row r="345" spans="1:8" x14ac:dyDescent="0.3">
      <c r="A345" s="15">
        <v>340</v>
      </c>
      <c r="B345" s="21">
        <v>45408</v>
      </c>
      <c r="C345" s="15">
        <v>16222</v>
      </c>
      <c r="F345" s="19">
        <v>340</v>
      </c>
      <c r="G345" s="22">
        <v>45591</v>
      </c>
      <c r="H345" s="31">
        <f t="shared" si="6"/>
        <v>15629</v>
      </c>
    </row>
    <row r="346" spans="1:8" x14ac:dyDescent="0.3">
      <c r="A346" s="15">
        <v>341</v>
      </c>
      <c r="B346" s="21">
        <v>45407</v>
      </c>
      <c r="C346" s="15">
        <v>16208</v>
      </c>
      <c r="F346" s="19">
        <v>341</v>
      </c>
      <c r="G346" s="22">
        <v>45590</v>
      </c>
      <c r="H346" s="31">
        <f t="shared" si="6"/>
        <v>15629</v>
      </c>
    </row>
    <row r="347" spans="1:8" x14ac:dyDescent="0.3">
      <c r="A347" s="15">
        <v>342</v>
      </c>
      <c r="B347" s="21">
        <v>45406</v>
      </c>
      <c r="C347" s="15">
        <v>16161</v>
      </c>
      <c r="F347" s="19">
        <v>342</v>
      </c>
      <c r="G347" s="22">
        <v>45589</v>
      </c>
      <c r="H347" s="31">
        <f t="shared" si="6"/>
        <v>15593</v>
      </c>
    </row>
    <row r="348" spans="1:8" x14ac:dyDescent="0.3">
      <c r="A348" s="15">
        <v>343</v>
      </c>
      <c r="B348" s="21">
        <v>45405</v>
      </c>
      <c r="C348" s="15">
        <v>16244</v>
      </c>
      <c r="F348" s="19">
        <v>343</v>
      </c>
      <c r="G348" s="22">
        <v>45588</v>
      </c>
      <c r="H348" s="31">
        <f t="shared" si="6"/>
        <v>15620</v>
      </c>
    </row>
    <row r="349" spans="1:8" x14ac:dyDescent="0.3">
      <c r="A349" s="15">
        <v>344</v>
      </c>
      <c r="B349" s="21">
        <v>45404</v>
      </c>
      <c r="C349" s="15">
        <v>16224</v>
      </c>
      <c r="F349" s="19">
        <v>344</v>
      </c>
      <c r="G349" s="22">
        <v>45587</v>
      </c>
      <c r="H349" s="31">
        <f t="shared" si="6"/>
        <v>15560</v>
      </c>
    </row>
    <row r="350" spans="1:8" x14ac:dyDescent="0.3">
      <c r="A350" s="15">
        <v>345</v>
      </c>
      <c r="B350" s="21">
        <v>45401</v>
      </c>
      <c r="C350" s="15">
        <v>16280</v>
      </c>
      <c r="F350" s="19">
        <v>345</v>
      </c>
      <c r="G350" s="22">
        <v>45586</v>
      </c>
      <c r="H350" s="31">
        <f t="shared" si="6"/>
        <v>15465</v>
      </c>
    </row>
    <row r="351" spans="1:8" x14ac:dyDescent="0.3">
      <c r="A351" s="15">
        <v>346</v>
      </c>
      <c r="B351" s="21">
        <v>45400</v>
      </c>
      <c r="C351" s="15">
        <v>16177</v>
      </c>
      <c r="F351" s="19">
        <v>346</v>
      </c>
      <c r="G351" s="22">
        <v>45585</v>
      </c>
      <c r="H351" s="31">
        <f t="shared" si="6"/>
        <v>15466</v>
      </c>
    </row>
    <row r="352" spans="1:8" x14ac:dyDescent="0.3">
      <c r="A352" s="15">
        <v>347</v>
      </c>
      <c r="B352" s="21">
        <v>45399</v>
      </c>
      <c r="C352" s="15">
        <v>16240</v>
      </c>
      <c r="F352" s="19">
        <v>347</v>
      </c>
      <c r="G352" s="22">
        <v>45584</v>
      </c>
      <c r="H352" s="31">
        <f t="shared" si="6"/>
        <v>15466</v>
      </c>
    </row>
    <row r="353" spans="1:8" x14ac:dyDescent="0.3">
      <c r="A353" s="15">
        <v>348</v>
      </c>
      <c r="B353" s="21">
        <v>45398</v>
      </c>
      <c r="C353" s="15">
        <v>16176</v>
      </c>
      <c r="F353" s="19">
        <v>348</v>
      </c>
      <c r="G353" s="22">
        <v>45583</v>
      </c>
      <c r="H353" s="31">
        <f t="shared" si="6"/>
        <v>15466</v>
      </c>
    </row>
    <row r="354" spans="1:8" x14ac:dyDescent="0.3">
      <c r="A354" s="15">
        <v>349</v>
      </c>
      <c r="B354" s="21">
        <v>45387</v>
      </c>
      <c r="C354" s="15">
        <v>15873</v>
      </c>
      <c r="F354" s="19">
        <v>349</v>
      </c>
      <c r="G354" s="22">
        <v>45582</v>
      </c>
      <c r="H354" s="31">
        <f t="shared" si="6"/>
        <v>15516</v>
      </c>
    </row>
    <row r="355" spans="1:8" x14ac:dyDescent="0.3">
      <c r="A355" s="15">
        <v>350</v>
      </c>
      <c r="B355" s="21">
        <v>45386</v>
      </c>
      <c r="C355" s="15">
        <v>15907</v>
      </c>
      <c r="F355" s="19">
        <v>350</v>
      </c>
      <c r="G355" s="22">
        <v>45581</v>
      </c>
      <c r="H355" s="31">
        <f t="shared" si="6"/>
        <v>15536</v>
      </c>
    </row>
    <row r="356" spans="1:8" x14ac:dyDescent="0.3">
      <c r="A356" s="15">
        <v>351</v>
      </c>
      <c r="B356" s="21">
        <v>45385</v>
      </c>
      <c r="C356" s="15">
        <v>15923</v>
      </c>
      <c r="F356" s="19">
        <v>351</v>
      </c>
      <c r="G356" s="22">
        <v>45580</v>
      </c>
      <c r="H356" s="31">
        <f t="shared" si="6"/>
        <v>15555</v>
      </c>
    </row>
    <row r="357" spans="1:8" x14ac:dyDescent="0.3">
      <c r="A357" s="15">
        <v>352</v>
      </c>
      <c r="B357" s="21">
        <v>45384</v>
      </c>
      <c r="C357" s="15">
        <v>15934</v>
      </c>
      <c r="F357" s="19">
        <v>352</v>
      </c>
      <c r="G357" s="22">
        <v>45579</v>
      </c>
      <c r="H357" s="31">
        <f t="shared" si="6"/>
        <v>15581</v>
      </c>
    </row>
    <row r="358" spans="1:8" x14ac:dyDescent="0.3">
      <c r="A358" s="15">
        <v>353</v>
      </c>
      <c r="B358" s="21">
        <v>45383</v>
      </c>
      <c r="C358" s="15">
        <v>15909</v>
      </c>
      <c r="F358" s="19">
        <v>353</v>
      </c>
      <c r="G358" s="22">
        <v>45578</v>
      </c>
      <c r="H358" s="31">
        <f t="shared" si="6"/>
        <v>15609</v>
      </c>
    </row>
    <row r="359" spans="1:8" x14ac:dyDescent="0.3">
      <c r="A359" s="15">
        <v>354</v>
      </c>
      <c r="B359" s="21">
        <v>45379</v>
      </c>
      <c r="C359" s="15">
        <v>15873</v>
      </c>
      <c r="F359" s="19">
        <v>354</v>
      </c>
      <c r="G359" s="22">
        <v>45577</v>
      </c>
      <c r="H359" s="31">
        <f t="shared" si="6"/>
        <v>15609</v>
      </c>
    </row>
    <row r="360" spans="1:8" x14ac:dyDescent="0.3">
      <c r="A360" s="15">
        <v>355</v>
      </c>
      <c r="B360" s="21">
        <v>45378</v>
      </c>
      <c r="C360" s="15">
        <v>15853</v>
      </c>
      <c r="F360" s="19">
        <v>355</v>
      </c>
      <c r="G360" s="22">
        <v>45576</v>
      </c>
      <c r="H360" s="31">
        <f t="shared" si="6"/>
        <v>15609</v>
      </c>
    </row>
    <row r="361" spans="1:8" x14ac:dyDescent="0.3">
      <c r="A361" s="15">
        <v>356</v>
      </c>
      <c r="B361" s="21">
        <v>45377</v>
      </c>
      <c r="C361" s="15">
        <v>15797</v>
      </c>
      <c r="F361" s="19">
        <v>356</v>
      </c>
      <c r="G361" s="22">
        <v>45575</v>
      </c>
      <c r="H361" s="31">
        <f t="shared" si="6"/>
        <v>15658</v>
      </c>
    </row>
    <row r="362" spans="1:8" x14ac:dyDescent="0.3">
      <c r="A362" s="15">
        <v>357</v>
      </c>
      <c r="B362" s="21">
        <v>45376</v>
      </c>
      <c r="C362" s="15">
        <v>15795</v>
      </c>
      <c r="F362" s="19">
        <v>357</v>
      </c>
      <c r="G362" s="22">
        <v>45574</v>
      </c>
      <c r="H362" s="31">
        <f t="shared" si="6"/>
        <v>15607</v>
      </c>
    </row>
    <row r="363" spans="1:8" x14ac:dyDescent="0.3">
      <c r="A363" s="15">
        <v>358</v>
      </c>
      <c r="B363" s="21">
        <v>45373</v>
      </c>
      <c r="C363" s="15">
        <v>15773</v>
      </c>
      <c r="F363" s="19">
        <v>358</v>
      </c>
      <c r="G363" s="22">
        <v>45573</v>
      </c>
      <c r="H363" s="31">
        <f t="shared" si="6"/>
        <v>15671</v>
      </c>
    </row>
    <row r="364" spans="1:8" x14ac:dyDescent="0.3">
      <c r="A364" s="15">
        <v>359</v>
      </c>
      <c r="B364" s="21">
        <v>45372</v>
      </c>
      <c r="C364" s="15">
        <v>15662</v>
      </c>
      <c r="F364" s="19">
        <v>359</v>
      </c>
      <c r="G364" s="22">
        <v>45572</v>
      </c>
      <c r="H364" s="31">
        <f t="shared" si="6"/>
        <v>15680</v>
      </c>
    </row>
    <row r="365" spans="1:8" x14ac:dyDescent="0.3">
      <c r="A365" s="15">
        <v>360</v>
      </c>
      <c r="B365" s="21">
        <v>45371</v>
      </c>
      <c r="C365" s="15">
        <v>15727</v>
      </c>
      <c r="F365" s="19">
        <v>360</v>
      </c>
      <c r="G365" s="22">
        <v>45571</v>
      </c>
      <c r="H365" s="31">
        <f t="shared" si="6"/>
        <v>15495</v>
      </c>
    </row>
    <row r="366" spans="1:8" x14ac:dyDescent="0.3">
      <c r="A366" s="15">
        <v>361</v>
      </c>
      <c r="B366" s="21">
        <v>45370</v>
      </c>
      <c r="C366" s="15">
        <v>15712</v>
      </c>
      <c r="F366" s="19">
        <v>361</v>
      </c>
      <c r="G366" s="22">
        <v>45570</v>
      </c>
      <c r="H366" s="31">
        <f t="shared" si="6"/>
        <v>15495</v>
      </c>
    </row>
    <row r="367" spans="1:8" x14ac:dyDescent="0.3">
      <c r="A367" s="15">
        <v>362</v>
      </c>
      <c r="B367" s="21">
        <v>45369</v>
      </c>
      <c r="C367" s="15">
        <v>15672</v>
      </c>
      <c r="F367" s="19">
        <v>362</v>
      </c>
      <c r="G367" s="22">
        <v>45569</v>
      </c>
      <c r="H367" s="31">
        <f t="shared" si="6"/>
        <v>15495</v>
      </c>
    </row>
    <row r="368" spans="1:8" x14ac:dyDescent="0.3">
      <c r="A368" s="15">
        <v>363</v>
      </c>
      <c r="B368" s="21">
        <v>45366</v>
      </c>
      <c r="C368" s="15">
        <v>15624</v>
      </c>
      <c r="F368" s="19">
        <v>363</v>
      </c>
      <c r="G368" s="22">
        <v>45568</v>
      </c>
      <c r="H368" s="31">
        <f t="shared" si="6"/>
        <v>15394</v>
      </c>
    </row>
    <row r="369" spans="1:8" x14ac:dyDescent="0.3">
      <c r="A369" s="15">
        <v>364</v>
      </c>
      <c r="B369" s="21">
        <v>45365</v>
      </c>
      <c r="C369" s="15">
        <v>15582</v>
      </c>
      <c r="F369" s="19">
        <v>364</v>
      </c>
      <c r="G369" s="22">
        <v>45567</v>
      </c>
      <c r="H369" s="31">
        <f t="shared" si="6"/>
        <v>15247</v>
      </c>
    </row>
    <row r="370" spans="1:8" x14ac:dyDescent="0.3">
      <c r="A370" s="15">
        <v>365</v>
      </c>
      <c r="B370" s="21">
        <v>45364</v>
      </c>
      <c r="C370" s="15">
        <v>15576</v>
      </c>
      <c r="F370" s="19">
        <v>365</v>
      </c>
      <c r="G370" s="22">
        <v>45566</v>
      </c>
      <c r="H370" s="31">
        <f t="shared" si="6"/>
        <v>15204</v>
      </c>
    </row>
    <row r="371" spans="1:8" x14ac:dyDescent="0.3">
      <c r="A371" s="15">
        <v>366</v>
      </c>
      <c r="B371" s="21">
        <v>45359</v>
      </c>
      <c r="C371" s="15">
        <v>15603</v>
      </c>
      <c r="F371" s="19">
        <v>366</v>
      </c>
      <c r="G371" s="22">
        <v>45565</v>
      </c>
      <c r="H371" s="31">
        <f t="shared" si="6"/>
        <v>15144</v>
      </c>
    </row>
    <row r="372" spans="1:8" x14ac:dyDescent="0.3">
      <c r="A372" s="15">
        <v>367</v>
      </c>
      <c r="B372" s="21">
        <v>45358</v>
      </c>
      <c r="C372" s="15">
        <v>15658</v>
      </c>
      <c r="F372" s="19">
        <v>367</v>
      </c>
      <c r="G372" s="22">
        <v>45564</v>
      </c>
      <c r="H372" s="31">
        <f t="shared" si="6"/>
        <v>15138</v>
      </c>
    </row>
    <row r="373" spans="1:8" x14ac:dyDescent="0.3">
      <c r="A373" s="15">
        <v>368</v>
      </c>
      <c r="B373" s="21">
        <v>45357</v>
      </c>
      <c r="C373" s="15">
        <v>15723</v>
      </c>
      <c r="F373" s="19">
        <v>368</v>
      </c>
      <c r="G373" s="22">
        <v>45563</v>
      </c>
      <c r="H373" s="31">
        <f t="shared" si="6"/>
        <v>15138</v>
      </c>
    </row>
    <row r="374" spans="1:8" x14ac:dyDescent="0.3">
      <c r="A374" s="15">
        <v>369</v>
      </c>
      <c r="B374" s="21">
        <v>45356</v>
      </c>
      <c r="C374" s="15">
        <v>15756</v>
      </c>
      <c r="F374" s="19">
        <v>369</v>
      </c>
      <c r="G374" s="22">
        <v>45562</v>
      </c>
      <c r="H374" s="31">
        <f t="shared" si="6"/>
        <v>15138</v>
      </c>
    </row>
    <row r="375" spans="1:8" x14ac:dyDescent="0.3">
      <c r="A375" s="15">
        <v>370</v>
      </c>
      <c r="B375" s="21">
        <v>45355</v>
      </c>
      <c r="C375" s="15">
        <v>15723</v>
      </c>
      <c r="F375" s="19">
        <v>370</v>
      </c>
      <c r="G375" s="22">
        <v>45561</v>
      </c>
      <c r="H375" s="31">
        <f t="shared" si="6"/>
        <v>15171</v>
      </c>
    </row>
    <row r="376" spans="1:8" x14ac:dyDescent="0.3">
      <c r="A376" s="15">
        <v>371</v>
      </c>
      <c r="B376" s="21">
        <v>45352</v>
      </c>
      <c r="C376" s="15">
        <v>15696</v>
      </c>
      <c r="F376" s="19">
        <v>371</v>
      </c>
      <c r="G376" s="22">
        <v>45560</v>
      </c>
      <c r="H376" s="31">
        <f t="shared" si="6"/>
        <v>15092</v>
      </c>
    </row>
    <row r="377" spans="1:8" x14ac:dyDescent="0.3">
      <c r="A377" s="15">
        <v>372</v>
      </c>
      <c r="B377" s="21">
        <v>45351</v>
      </c>
      <c r="C377" s="15">
        <v>15715</v>
      </c>
      <c r="F377" s="19">
        <v>372</v>
      </c>
      <c r="G377" s="22">
        <v>45559</v>
      </c>
      <c r="H377" s="31">
        <f t="shared" si="6"/>
        <v>15186</v>
      </c>
    </row>
    <row r="378" spans="1:8" x14ac:dyDescent="0.3">
      <c r="A378" s="15">
        <v>373</v>
      </c>
      <c r="B378" s="21">
        <v>45350</v>
      </c>
      <c r="C378" s="15">
        <v>15673</v>
      </c>
      <c r="F378" s="19">
        <v>373</v>
      </c>
      <c r="G378" s="22">
        <v>45558</v>
      </c>
      <c r="H378" s="31">
        <f t="shared" si="6"/>
        <v>15191</v>
      </c>
    </row>
    <row r="379" spans="1:8" x14ac:dyDescent="0.3">
      <c r="A379" s="15">
        <v>374</v>
      </c>
      <c r="B379" s="21">
        <v>45349</v>
      </c>
      <c r="C379" s="15">
        <v>15655</v>
      </c>
      <c r="F379" s="19">
        <v>374</v>
      </c>
      <c r="G379" s="22">
        <v>45557</v>
      </c>
      <c r="H379" s="31">
        <f t="shared" si="6"/>
        <v>15100</v>
      </c>
    </row>
    <row r="380" spans="1:8" x14ac:dyDescent="0.3">
      <c r="A380" s="15">
        <v>375</v>
      </c>
      <c r="B380" s="21">
        <v>45348</v>
      </c>
      <c r="C380" s="15">
        <v>15635</v>
      </c>
      <c r="F380" s="19">
        <v>375</v>
      </c>
      <c r="G380" s="22">
        <v>45556</v>
      </c>
      <c r="H380" s="31">
        <f t="shared" si="6"/>
        <v>15100</v>
      </c>
    </row>
    <row r="381" spans="1:8" x14ac:dyDescent="0.3">
      <c r="A381" s="15">
        <v>376</v>
      </c>
      <c r="B381" s="21">
        <v>45345</v>
      </c>
      <c r="C381" s="15">
        <v>15589</v>
      </c>
      <c r="F381" s="19">
        <v>376</v>
      </c>
      <c r="G381" s="22">
        <v>45555</v>
      </c>
      <c r="H381" s="31">
        <f t="shared" si="6"/>
        <v>15100</v>
      </c>
    </row>
    <row r="382" spans="1:8" x14ac:dyDescent="0.3">
      <c r="A382" s="15">
        <v>377</v>
      </c>
      <c r="B382" s="21">
        <v>45344</v>
      </c>
      <c r="C382" s="15">
        <v>15630</v>
      </c>
      <c r="F382" s="19">
        <v>377</v>
      </c>
      <c r="G382" s="22">
        <v>45554</v>
      </c>
      <c r="H382" s="31">
        <f t="shared" si="6"/>
        <v>15287</v>
      </c>
    </row>
    <row r="383" spans="1:8" x14ac:dyDescent="0.3">
      <c r="A383" s="15">
        <v>378</v>
      </c>
      <c r="B383" s="21">
        <v>45343</v>
      </c>
      <c r="C383" s="15">
        <v>15658</v>
      </c>
      <c r="F383" s="19">
        <v>378</v>
      </c>
      <c r="G383" s="22">
        <v>45553</v>
      </c>
      <c r="H383" s="31">
        <f t="shared" si="6"/>
        <v>15350</v>
      </c>
    </row>
    <row r="384" spans="1:8" x14ac:dyDescent="0.3">
      <c r="A384" s="15">
        <v>379</v>
      </c>
      <c r="B384" s="21">
        <v>45342</v>
      </c>
      <c r="C384" s="15">
        <v>15659</v>
      </c>
      <c r="F384" s="19">
        <v>379</v>
      </c>
      <c r="G384" s="22">
        <v>45552</v>
      </c>
      <c r="H384" s="31">
        <f t="shared" si="6"/>
        <v>15338</v>
      </c>
    </row>
    <row r="385" spans="1:8" x14ac:dyDescent="0.3">
      <c r="A385" s="15">
        <v>380</v>
      </c>
      <c r="B385" s="21">
        <v>45341</v>
      </c>
      <c r="C385" s="15">
        <v>15630</v>
      </c>
      <c r="F385" s="19">
        <v>380</v>
      </c>
      <c r="G385" s="22">
        <v>45551</v>
      </c>
      <c r="H385" s="31">
        <f t="shared" si="6"/>
        <v>15405</v>
      </c>
    </row>
    <row r="386" spans="1:8" x14ac:dyDescent="0.3">
      <c r="A386" s="15">
        <v>381</v>
      </c>
      <c r="B386" s="21">
        <v>45338</v>
      </c>
      <c r="C386" s="15">
        <v>15654</v>
      </c>
      <c r="F386" s="19">
        <v>381</v>
      </c>
      <c r="G386" s="22">
        <v>45550</v>
      </c>
      <c r="H386" s="31">
        <f t="shared" si="6"/>
        <v>15405</v>
      </c>
    </row>
    <row r="387" spans="1:8" x14ac:dyDescent="0.3">
      <c r="A387" s="15">
        <v>382</v>
      </c>
      <c r="B387" s="21">
        <v>45337</v>
      </c>
      <c r="C387" s="15">
        <v>15606</v>
      </c>
      <c r="F387" s="19">
        <v>382</v>
      </c>
      <c r="G387" s="22">
        <v>45549</v>
      </c>
      <c r="H387" s="31">
        <f t="shared" si="6"/>
        <v>15405</v>
      </c>
    </row>
    <row r="388" spans="1:8" x14ac:dyDescent="0.3">
      <c r="A388" s="15">
        <v>383</v>
      </c>
      <c r="B388" s="21">
        <v>45335</v>
      </c>
      <c r="C388" s="15">
        <v>15585</v>
      </c>
      <c r="F388" s="19">
        <v>383</v>
      </c>
      <c r="G388" s="22">
        <v>45548</v>
      </c>
      <c r="H388" s="31">
        <f t="shared" si="6"/>
        <v>15405</v>
      </c>
    </row>
    <row r="389" spans="1:8" x14ac:dyDescent="0.3">
      <c r="A389" s="15">
        <v>384</v>
      </c>
      <c r="B389" s="21">
        <v>45334</v>
      </c>
      <c r="C389" s="15">
        <v>15612</v>
      </c>
      <c r="F389" s="19">
        <v>384</v>
      </c>
      <c r="G389" s="22">
        <v>45547</v>
      </c>
      <c r="H389" s="31">
        <f t="shared" si="6"/>
        <v>15421</v>
      </c>
    </row>
    <row r="390" spans="1:8" x14ac:dyDescent="0.3">
      <c r="A390" s="15">
        <v>385</v>
      </c>
      <c r="B390" s="21">
        <v>45329</v>
      </c>
      <c r="C390" s="15">
        <v>15685</v>
      </c>
      <c r="F390" s="19">
        <v>385</v>
      </c>
      <c r="G390" s="22">
        <v>45546</v>
      </c>
      <c r="H390" s="31">
        <f t="shared" si="6"/>
        <v>15415</v>
      </c>
    </row>
    <row r="391" spans="1:8" x14ac:dyDescent="0.3">
      <c r="A391" s="15">
        <v>386</v>
      </c>
      <c r="B391" s="21">
        <v>45328</v>
      </c>
      <c r="C391" s="15">
        <v>15734</v>
      </c>
      <c r="F391" s="19">
        <v>386</v>
      </c>
      <c r="G391" s="22">
        <v>45545</v>
      </c>
      <c r="H391" s="31">
        <f t="shared" ref="H391:H454" si="7">_xlfn.XLOOKUP(G391,$B$6:$B$656,$C$6:$C$656,,-1)</f>
        <v>15447</v>
      </c>
    </row>
    <row r="392" spans="1:8" x14ac:dyDescent="0.3">
      <c r="A392" s="15">
        <v>387</v>
      </c>
      <c r="B392" s="21">
        <v>45327</v>
      </c>
      <c r="C392" s="15">
        <v>15705</v>
      </c>
      <c r="F392" s="19">
        <v>387</v>
      </c>
      <c r="G392" s="22">
        <v>45544</v>
      </c>
      <c r="H392" s="31">
        <f t="shared" si="7"/>
        <v>15446</v>
      </c>
    </row>
    <row r="393" spans="1:8" x14ac:dyDescent="0.3">
      <c r="A393" s="15">
        <v>388</v>
      </c>
      <c r="B393" s="21">
        <v>45324</v>
      </c>
      <c r="C393" s="15">
        <v>15688</v>
      </c>
      <c r="F393" s="19">
        <v>388</v>
      </c>
      <c r="G393" s="22">
        <v>45543</v>
      </c>
      <c r="H393" s="31">
        <f t="shared" si="7"/>
        <v>15372</v>
      </c>
    </row>
    <row r="394" spans="1:8" x14ac:dyDescent="0.3">
      <c r="A394" s="15">
        <v>389</v>
      </c>
      <c r="B394" s="21">
        <v>45323</v>
      </c>
      <c r="C394" s="15">
        <v>15775</v>
      </c>
      <c r="F394" s="19">
        <v>389</v>
      </c>
      <c r="G394" s="22">
        <v>45542</v>
      </c>
      <c r="H394" s="31">
        <f t="shared" si="7"/>
        <v>15372</v>
      </c>
    </row>
    <row r="395" spans="1:8" x14ac:dyDescent="0.3">
      <c r="A395" s="15">
        <v>390</v>
      </c>
      <c r="B395" s="21">
        <v>45322</v>
      </c>
      <c r="C395" s="15">
        <v>15803</v>
      </c>
      <c r="F395" s="19">
        <v>390</v>
      </c>
      <c r="G395" s="22">
        <v>45541</v>
      </c>
      <c r="H395" s="31">
        <f t="shared" si="7"/>
        <v>15372</v>
      </c>
    </row>
    <row r="396" spans="1:8" x14ac:dyDescent="0.3">
      <c r="A396" s="15">
        <v>391</v>
      </c>
      <c r="B396" s="21">
        <v>45321</v>
      </c>
      <c r="C396" s="15">
        <v>15796</v>
      </c>
      <c r="F396" s="19">
        <v>391</v>
      </c>
      <c r="G396" s="22">
        <v>45540</v>
      </c>
      <c r="H396" s="31">
        <f t="shared" si="7"/>
        <v>15410</v>
      </c>
    </row>
    <row r="397" spans="1:8" x14ac:dyDescent="0.3">
      <c r="A397" s="15">
        <v>392</v>
      </c>
      <c r="B397" s="21">
        <v>45320</v>
      </c>
      <c r="C397" s="15">
        <v>15825</v>
      </c>
      <c r="F397" s="19">
        <v>392</v>
      </c>
      <c r="G397" s="22">
        <v>45539</v>
      </c>
      <c r="H397" s="31">
        <f t="shared" si="7"/>
        <v>15490</v>
      </c>
    </row>
    <row r="398" spans="1:8" x14ac:dyDescent="0.3">
      <c r="A398" s="15">
        <v>393</v>
      </c>
      <c r="B398" s="21">
        <v>45317</v>
      </c>
      <c r="C398" s="15">
        <v>15829</v>
      </c>
      <c r="F398" s="19">
        <v>393</v>
      </c>
      <c r="G398" s="22">
        <v>45538</v>
      </c>
      <c r="H398" s="31">
        <f t="shared" si="7"/>
        <v>15557</v>
      </c>
    </row>
    <row r="399" spans="1:8" x14ac:dyDescent="0.3">
      <c r="A399" s="15">
        <v>394</v>
      </c>
      <c r="B399" s="21">
        <v>45316</v>
      </c>
      <c r="C399" s="15">
        <v>15767</v>
      </c>
      <c r="F399" s="19">
        <v>394</v>
      </c>
      <c r="G399" s="22">
        <v>45537</v>
      </c>
      <c r="H399" s="31">
        <f t="shared" si="7"/>
        <v>15536</v>
      </c>
    </row>
    <row r="400" spans="1:8" x14ac:dyDescent="0.3">
      <c r="A400" s="15">
        <v>395</v>
      </c>
      <c r="B400" s="21">
        <v>45315</v>
      </c>
      <c r="C400" s="15">
        <v>15719</v>
      </c>
      <c r="F400" s="19">
        <v>395</v>
      </c>
      <c r="G400" s="22">
        <v>45536</v>
      </c>
      <c r="H400" s="31">
        <f t="shared" si="7"/>
        <v>15473</v>
      </c>
    </row>
    <row r="401" spans="1:8" x14ac:dyDescent="0.3">
      <c r="A401" s="15">
        <v>396</v>
      </c>
      <c r="B401" s="21">
        <v>45314</v>
      </c>
      <c r="C401" s="15">
        <v>15656</v>
      </c>
      <c r="F401" s="19">
        <v>396</v>
      </c>
      <c r="G401" s="22">
        <v>45535</v>
      </c>
      <c r="H401" s="31">
        <f t="shared" si="7"/>
        <v>15473</v>
      </c>
    </row>
    <row r="402" spans="1:8" x14ac:dyDescent="0.3">
      <c r="A402" s="15">
        <v>397</v>
      </c>
      <c r="B402" s="21">
        <v>45313</v>
      </c>
      <c r="C402" s="15">
        <v>15627</v>
      </c>
      <c r="F402" s="19">
        <v>397</v>
      </c>
      <c r="G402" s="22">
        <v>45534</v>
      </c>
      <c r="H402" s="31">
        <f t="shared" si="7"/>
        <v>15473</v>
      </c>
    </row>
    <row r="403" spans="1:8" x14ac:dyDescent="0.3">
      <c r="A403" s="15">
        <v>398</v>
      </c>
      <c r="B403" s="21">
        <v>45310</v>
      </c>
      <c r="C403" s="15">
        <v>15628</v>
      </c>
      <c r="F403" s="19">
        <v>398</v>
      </c>
      <c r="G403" s="22">
        <v>45533</v>
      </c>
      <c r="H403" s="31">
        <f t="shared" si="7"/>
        <v>15409</v>
      </c>
    </row>
    <row r="404" spans="1:8" x14ac:dyDescent="0.3">
      <c r="A404" s="15">
        <v>399</v>
      </c>
      <c r="B404" s="21">
        <v>45309</v>
      </c>
      <c r="C404" s="15">
        <v>15630</v>
      </c>
      <c r="F404" s="19">
        <v>399</v>
      </c>
      <c r="G404" s="22">
        <v>45532</v>
      </c>
      <c r="H404" s="31">
        <f t="shared" si="7"/>
        <v>15476</v>
      </c>
    </row>
    <row r="405" spans="1:8" x14ac:dyDescent="0.3">
      <c r="A405" s="15">
        <v>400</v>
      </c>
      <c r="B405" s="21">
        <v>45308</v>
      </c>
      <c r="C405" s="15">
        <v>15639</v>
      </c>
      <c r="F405" s="19">
        <v>400</v>
      </c>
      <c r="G405" s="22">
        <v>45531</v>
      </c>
      <c r="H405" s="31">
        <f t="shared" si="7"/>
        <v>15509</v>
      </c>
    </row>
    <row r="406" spans="1:8" x14ac:dyDescent="0.3">
      <c r="A406" s="15">
        <v>401</v>
      </c>
      <c r="B406" s="21">
        <v>45307</v>
      </c>
      <c r="C406" s="15">
        <v>15592</v>
      </c>
      <c r="F406" s="19">
        <v>401</v>
      </c>
      <c r="G406" s="22">
        <v>45530</v>
      </c>
      <c r="H406" s="31">
        <f t="shared" si="7"/>
        <v>15380</v>
      </c>
    </row>
    <row r="407" spans="1:8" x14ac:dyDescent="0.3">
      <c r="A407" s="15">
        <v>402</v>
      </c>
      <c r="B407" s="21">
        <v>45306</v>
      </c>
      <c r="C407" s="15">
        <v>15555</v>
      </c>
      <c r="F407" s="19">
        <v>402</v>
      </c>
      <c r="G407" s="22">
        <v>45529</v>
      </c>
      <c r="H407" s="31">
        <f t="shared" si="7"/>
        <v>15554</v>
      </c>
    </row>
    <row r="408" spans="1:8" x14ac:dyDescent="0.3">
      <c r="A408" s="15">
        <v>403</v>
      </c>
      <c r="B408" s="21">
        <v>45303</v>
      </c>
      <c r="C408" s="15">
        <v>15559</v>
      </c>
      <c r="F408" s="19">
        <v>403</v>
      </c>
      <c r="G408" s="22">
        <v>45528</v>
      </c>
      <c r="H408" s="31">
        <f t="shared" si="7"/>
        <v>15554</v>
      </c>
    </row>
    <row r="409" spans="1:8" x14ac:dyDescent="0.3">
      <c r="A409" s="15">
        <v>404</v>
      </c>
      <c r="B409" s="21">
        <v>45302</v>
      </c>
      <c r="C409" s="15">
        <v>15558</v>
      </c>
      <c r="F409" s="19">
        <v>404</v>
      </c>
      <c r="G409" s="22">
        <v>45527</v>
      </c>
      <c r="H409" s="31">
        <f t="shared" si="7"/>
        <v>15554</v>
      </c>
    </row>
    <row r="410" spans="1:8" x14ac:dyDescent="0.3">
      <c r="A410" s="15">
        <v>405</v>
      </c>
      <c r="B410" s="21">
        <v>45301</v>
      </c>
      <c r="C410" s="15">
        <v>15568</v>
      </c>
      <c r="F410" s="19">
        <v>405</v>
      </c>
      <c r="G410" s="22">
        <v>45526</v>
      </c>
      <c r="H410" s="31">
        <f t="shared" si="7"/>
        <v>15579</v>
      </c>
    </row>
    <row r="411" spans="1:8" x14ac:dyDescent="0.3">
      <c r="A411" s="15">
        <v>406</v>
      </c>
      <c r="B411" s="21">
        <v>45300</v>
      </c>
      <c r="C411" s="15">
        <v>15518</v>
      </c>
      <c r="F411" s="19">
        <v>406</v>
      </c>
      <c r="G411" s="22">
        <v>45525</v>
      </c>
      <c r="H411" s="31">
        <f t="shared" si="7"/>
        <v>15456</v>
      </c>
    </row>
    <row r="412" spans="1:8" x14ac:dyDescent="0.3">
      <c r="A412" s="15">
        <v>407</v>
      </c>
      <c r="B412" s="21">
        <v>45299</v>
      </c>
      <c r="C412" s="15">
        <v>15522</v>
      </c>
      <c r="F412" s="19">
        <v>407</v>
      </c>
      <c r="G412" s="22">
        <v>45524</v>
      </c>
      <c r="H412" s="31">
        <f t="shared" si="7"/>
        <v>15480</v>
      </c>
    </row>
    <row r="413" spans="1:8" x14ac:dyDescent="0.3">
      <c r="A413" s="15">
        <v>408</v>
      </c>
      <c r="B413" s="21">
        <v>45296</v>
      </c>
      <c r="C413" s="15">
        <v>15518</v>
      </c>
      <c r="F413" s="19">
        <v>408</v>
      </c>
      <c r="G413" s="22">
        <v>45523</v>
      </c>
      <c r="H413" s="31">
        <f t="shared" si="7"/>
        <v>15591</v>
      </c>
    </row>
    <row r="414" spans="1:8" x14ac:dyDescent="0.3">
      <c r="A414" s="15">
        <v>409</v>
      </c>
      <c r="B414" s="21">
        <v>45295</v>
      </c>
      <c r="C414" s="15">
        <v>15525</v>
      </c>
      <c r="F414" s="19">
        <v>409</v>
      </c>
      <c r="G414" s="22">
        <v>45522</v>
      </c>
      <c r="H414" s="31">
        <f t="shared" si="7"/>
        <v>15716</v>
      </c>
    </row>
    <row r="415" spans="1:8" x14ac:dyDescent="0.3">
      <c r="A415" s="15">
        <v>410</v>
      </c>
      <c r="B415" s="21">
        <v>45294</v>
      </c>
      <c r="C415" s="15">
        <v>15495</v>
      </c>
      <c r="F415" s="19">
        <v>410</v>
      </c>
      <c r="G415" s="22">
        <v>45521</v>
      </c>
      <c r="H415" s="31">
        <f t="shared" si="7"/>
        <v>15716</v>
      </c>
    </row>
    <row r="416" spans="1:8" x14ac:dyDescent="0.3">
      <c r="A416" s="15">
        <v>411</v>
      </c>
      <c r="B416" s="21">
        <v>45293</v>
      </c>
      <c r="C416" s="15">
        <v>15473</v>
      </c>
      <c r="F416" s="19">
        <v>411</v>
      </c>
      <c r="G416" s="22">
        <v>45520</v>
      </c>
      <c r="H416" s="31">
        <f t="shared" si="7"/>
        <v>15716</v>
      </c>
    </row>
    <row r="417" spans="1:8" x14ac:dyDescent="0.3">
      <c r="A417" s="15">
        <v>412</v>
      </c>
      <c r="B417" s="21">
        <v>45289</v>
      </c>
      <c r="C417" s="15">
        <v>15439</v>
      </c>
      <c r="F417" s="19">
        <v>412</v>
      </c>
      <c r="G417" s="22">
        <v>45519</v>
      </c>
      <c r="H417" s="31">
        <f t="shared" si="7"/>
        <v>15687</v>
      </c>
    </row>
    <row r="418" spans="1:8" x14ac:dyDescent="0.3">
      <c r="A418" s="15">
        <v>413</v>
      </c>
      <c r="B418" s="21">
        <v>45288</v>
      </c>
      <c r="C418" s="15">
        <v>15416</v>
      </c>
      <c r="F418" s="19">
        <v>413</v>
      </c>
      <c r="G418" s="22">
        <v>45518</v>
      </c>
      <c r="H418" s="31">
        <f t="shared" si="7"/>
        <v>15691</v>
      </c>
    </row>
    <row r="419" spans="1:8" x14ac:dyDescent="0.3">
      <c r="A419" s="15">
        <v>414</v>
      </c>
      <c r="B419" s="21">
        <v>45287</v>
      </c>
      <c r="C419" s="15">
        <v>15414</v>
      </c>
      <c r="F419" s="19">
        <v>414</v>
      </c>
      <c r="G419" s="22">
        <v>45517</v>
      </c>
      <c r="H419" s="31">
        <f t="shared" si="7"/>
        <v>15885</v>
      </c>
    </row>
    <row r="420" spans="1:8" x14ac:dyDescent="0.3">
      <c r="A420" s="15">
        <v>415</v>
      </c>
      <c r="B420" s="21">
        <v>45282</v>
      </c>
      <c r="C420" s="15">
        <v>15489</v>
      </c>
      <c r="F420" s="19">
        <v>415</v>
      </c>
      <c r="G420" s="22">
        <v>45516</v>
      </c>
      <c r="H420" s="31">
        <f t="shared" si="7"/>
        <v>15963</v>
      </c>
    </row>
    <row r="421" spans="1:8" x14ac:dyDescent="0.3">
      <c r="A421" s="15">
        <v>416</v>
      </c>
      <c r="B421" s="21">
        <v>45281</v>
      </c>
      <c r="C421" s="15">
        <v>15533</v>
      </c>
      <c r="F421" s="19">
        <v>416</v>
      </c>
      <c r="G421" s="22">
        <v>45515</v>
      </c>
      <c r="H421" s="31">
        <f t="shared" si="7"/>
        <v>15914</v>
      </c>
    </row>
    <row r="422" spans="1:8" x14ac:dyDescent="0.3">
      <c r="A422" s="15">
        <v>417</v>
      </c>
      <c r="B422" s="21">
        <v>45280</v>
      </c>
      <c r="C422" s="15">
        <v>15512</v>
      </c>
      <c r="F422" s="19">
        <v>417</v>
      </c>
      <c r="G422" s="22">
        <v>45514</v>
      </c>
      <c r="H422" s="31">
        <f t="shared" si="7"/>
        <v>15914</v>
      </c>
    </row>
    <row r="423" spans="1:8" x14ac:dyDescent="0.3">
      <c r="A423" s="15">
        <v>418</v>
      </c>
      <c r="B423" s="21">
        <v>45279</v>
      </c>
      <c r="C423" s="15">
        <v>15506</v>
      </c>
      <c r="F423" s="19">
        <v>418</v>
      </c>
      <c r="G423" s="22">
        <v>45513</v>
      </c>
      <c r="H423" s="31">
        <f t="shared" si="7"/>
        <v>15914</v>
      </c>
    </row>
    <row r="424" spans="1:8" x14ac:dyDescent="0.3">
      <c r="A424" s="15">
        <v>419</v>
      </c>
      <c r="B424" s="21">
        <v>45278</v>
      </c>
      <c r="C424" s="15">
        <v>15516</v>
      </c>
      <c r="F424" s="19">
        <v>419</v>
      </c>
      <c r="G424" s="22">
        <v>45512</v>
      </c>
      <c r="H424" s="31">
        <f t="shared" si="7"/>
        <v>15952</v>
      </c>
    </row>
    <row r="425" spans="1:8" x14ac:dyDescent="0.3">
      <c r="A425" s="15">
        <v>420</v>
      </c>
      <c r="B425" s="21">
        <v>45275</v>
      </c>
      <c r="C425" s="15">
        <v>15503</v>
      </c>
      <c r="F425" s="19">
        <v>420</v>
      </c>
      <c r="G425" s="22">
        <v>45511</v>
      </c>
      <c r="H425" s="31">
        <f t="shared" si="7"/>
        <v>16100</v>
      </c>
    </row>
    <row r="426" spans="1:8" x14ac:dyDescent="0.3">
      <c r="A426" s="15">
        <v>421</v>
      </c>
      <c r="B426" s="21">
        <v>45274</v>
      </c>
      <c r="C426" s="15">
        <v>15493</v>
      </c>
      <c r="F426" s="19">
        <v>421</v>
      </c>
      <c r="G426" s="22">
        <v>45510</v>
      </c>
      <c r="H426" s="31">
        <f t="shared" si="7"/>
        <v>16183</v>
      </c>
    </row>
    <row r="427" spans="1:8" x14ac:dyDescent="0.3">
      <c r="A427" s="15">
        <v>422</v>
      </c>
      <c r="B427" s="21">
        <v>45273</v>
      </c>
      <c r="C427" s="15">
        <v>15629</v>
      </c>
      <c r="F427" s="19">
        <v>422</v>
      </c>
      <c r="G427" s="22">
        <v>45509</v>
      </c>
      <c r="H427" s="31">
        <f t="shared" si="7"/>
        <v>16154</v>
      </c>
    </row>
    <row r="428" spans="1:8" x14ac:dyDescent="0.3">
      <c r="A428" s="15">
        <v>423</v>
      </c>
      <c r="B428" s="21">
        <v>45272</v>
      </c>
      <c r="C428" s="15">
        <v>15631</v>
      </c>
      <c r="F428" s="19">
        <v>423</v>
      </c>
      <c r="G428" s="22">
        <v>45508</v>
      </c>
      <c r="H428" s="31">
        <f t="shared" si="7"/>
        <v>16234</v>
      </c>
    </row>
    <row r="429" spans="1:8" x14ac:dyDescent="0.3">
      <c r="A429" s="15">
        <v>424</v>
      </c>
      <c r="B429" s="21">
        <v>45271</v>
      </c>
      <c r="C429" s="15">
        <v>15614</v>
      </c>
      <c r="F429" s="19">
        <v>424</v>
      </c>
      <c r="G429" s="22">
        <v>45507</v>
      </c>
      <c r="H429" s="31">
        <f t="shared" si="7"/>
        <v>16234</v>
      </c>
    </row>
    <row r="430" spans="1:8" x14ac:dyDescent="0.3">
      <c r="A430" s="15">
        <v>425</v>
      </c>
      <c r="B430" s="21">
        <v>45268</v>
      </c>
      <c r="C430" s="15">
        <v>15500</v>
      </c>
      <c r="F430" s="19">
        <v>425</v>
      </c>
      <c r="G430" s="22">
        <v>45506</v>
      </c>
      <c r="H430" s="31">
        <f t="shared" si="7"/>
        <v>16234</v>
      </c>
    </row>
    <row r="431" spans="1:8" x14ac:dyDescent="0.3">
      <c r="A431" s="15">
        <v>426</v>
      </c>
      <c r="B431" s="21">
        <v>45267</v>
      </c>
      <c r="C431" s="15">
        <v>15536</v>
      </c>
      <c r="F431" s="19">
        <v>426</v>
      </c>
      <c r="G431" s="22">
        <v>45505</v>
      </c>
      <c r="H431" s="31">
        <f t="shared" si="7"/>
        <v>16243</v>
      </c>
    </row>
    <row r="432" spans="1:8" x14ac:dyDescent="0.3">
      <c r="A432" s="15">
        <v>427</v>
      </c>
      <c r="B432" s="21">
        <v>45266</v>
      </c>
      <c r="C432" s="15">
        <v>15504</v>
      </c>
      <c r="F432" s="19">
        <v>427</v>
      </c>
      <c r="G432" s="22">
        <v>45504</v>
      </c>
      <c r="H432" s="31">
        <f t="shared" si="7"/>
        <v>16294</v>
      </c>
    </row>
    <row r="433" spans="1:8" x14ac:dyDescent="0.3">
      <c r="A433" s="15">
        <v>428</v>
      </c>
      <c r="B433" s="21">
        <v>45265</v>
      </c>
      <c r="C433" s="15">
        <v>15504</v>
      </c>
      <c r="F433" s="19">
        <v>428</v>
      </c>
      <c r="G433" s="22">
        <v>45503</v>
      </c>
      <c r="H433" s="31">
        <f t="shared" si="7"/>
        <v>16320</v>
      </c>
    </row>
    <row r="434" spans="1:8" x14ac:dyDescent="0.3">
      <c r="A434" s="15">
        <v>429</v>
      </c>
      <c r="B434" s="21">
        <v>45264</v>
      </c>
      <c r="C434" s="15">
        <v>15446</v>
      </c>
      <c r="F434" s="19">
        <v>429</v>
      </c>
      <c r="G434" s="22">
        <v>45502</v>
      </c>
      <c r="H434" s="31">
        <f t="shared" si="7"/>
        <v>16286</v>
      </c>
    </row>
    <row r="435" spans="1:8" x14ac:dyDescent="0.3">
      <c r="A435" s="15">
        <v>430</v>
      </c>
      <c r="B435" s="21">
        <v>45261</v>
      </c>
      <c r="C435" s="15">
        <v>15524</v>
      </c>
      <c r="F435" s="19">
        <v>430</v>
      </c>
      <c r="G435" s="22">
        <v>45501</v>
      </c>
      <c r="H435" s="31">
        <f t="shared" si="7"/>
        <v>16294</v>
      </c>
    </row>
    <row r="436" spans="1:8" x14ac:dyDescent="0.3">
      <c r="A436" s="15">
        <v>431</v>
      </c>
      <c r="B436" s="21">
        <v>45260</v>
      </c>
      <c r="C436" s="15">
        <v>15484</v>
      </c>
      <c r="F436" s="19">
        <v>431</v>
      </c>
      <c r="G436" s="22">
        <v>45500</v>
      </c>
      <c r="H436" s="31">
        <f t="shared" si="7"/>
        <v>16294</v>
      </c>
    </row>
    <row r="437" spans="1:8" x14ac:dyDescent="0.3">
      <c r="A437" s="15">
        <v>432</v>
      </c>
      <c r="B437" s="21">
        <v>45259</v>
      </c>
      <c r="C437" s="15">
        <v>15384</v>
      </c>
      <c r="F437" s="19">
        <v>432</v>
      </c>
      <c r="G437" s="22">
        <v>45499</v>
      </c>
      <c r="H437" s="31">
        <f t="shared" si="7"/>
        <v>16294</v>
      </c>
    </row>
    <row r="438" spans="1:8" x14ac:dyDescent="0.3">
      <c r="A438" s="15">
        <v>433</v>
      </c>
      <c r="B438" s="21">
        <v>45258</v>
      </c>
      <c r="C438" s="15">
        <v>15450</v>
      </c>
      <c r="F438" s="19">
        <v>433</v>
      </c>
      <c r="G438" s="22">
        <v>45498</v>
      </c>
      <c r="H438" s="31">
        <f t="shared" si="7"/>
        <v>16268</v>
      </c>
    </row>
    <row r="439" spans="1:8" x14ac:dyDescent="0.3">
      <c r="A439" s="15">
        <v>434</v>
      </c>
      <c r="B439" s="21">
        <v>45257</v>
      </c>
      <c r="C439" s="15">
        <v>15527</v>
      </c>
      <c r="F439" s="19">
        <v>434</v>
      </c>
      <c r="G439" s="22">
        <v>45497</v>
      </c>
      <c r="H439" s="31">
        <f t="shared" si="7"/>
        <v>16224</v>
      </c>
    </row>
    <row r="440" spans="1:8" x14ac:dyDescent="0.3">
      <c r="A440" s="15">
        <v>435</v>
      </c>
      <c r="B440" s="21">
        <v>45254</v>
      </c>
      <c r="C440" s="15">
        <v>15587</v>
      </c>
      <c r="F440" s="19">
        <v>435</v>
      </c>
      <c r="G440" s="22">
        <v>45496</v>
      </c>
      <c r="H440" s="31">
        <f t="shared" si="7"/>
        <v>16204</v>
      </c>
    </row>
    <row r="441" spans="1:8" x14ac:dyDescent="0.3">
      <c r="A441" s="15">
        <v>436</v>
      </c>
      <c r="B441" s="21">
        <v>45253</v>
      </c>
      <c r="C441" s="15">
        <v>15593</v>
      </c>
      <c r="F441" s="19">
        <v>436</v>
      </c>
      <c r="G441" s="22">
        <v>45495</v>
      </c>
      <c r="H441" s="31">
        <f t="shared" si="7"/>
        <v>16228</v>
      </c>
    </row>
    <row r="442" spans="1:8" x14ac:dyDescent="0.3">
      <c r="A442" s="15">
        <v>437</v>
      </c>
      <c r="B442" s="21">
        <v>45252</v>
      </c>
      <c r="C442" s="15">
        <v>15584</v>
      </c>
      <c r="F442" s="19">
        <v>437</v>
      </c>
      <c r="G442" s="22">
        <v>45494</v>
      </c>
      <c r="H442" s="31">
        <f t="shared" si="7"/>
        <v>16199</v>
      </c>
    </row>
    <row r="443" spans="1:8" x14ac:dyDescent="0.3">
      <c r="A443" s="15">
        <v>438</v>
      </c>
      <c r="B443" s="21">
        <v>45251</v>
      </c>
      <c r="C443" s="15">
        <v>15436</v>
      </c>
      <c r="F443" s="19">
        <v>438</v>
      </c>
      <c r="G443" s="22">
        <v>45493</v>
      </c>
      <c r="H443" s="31">
        <f t="shared" si="7"/>
        <v>16199</v>
      </c>
    </row>
    <row r="444" spans="1:8" x14ac:dyDescent="0.3">
      <c r="A444" s="15">
        <v>439</v>
      </c>
      <c r="B444" s="21">
        <v>45250</v>
      </c>
      <c r="C444" s="15">
        <v>15419</v>
      </c>
      <c r="F444" s="19">
        <v>439</v>
      </c>
      <c r="G444" s="22">
        <v>45492</v>
      </c>
      <c r="H444" s="31">
        <f t="shared" si="7"/>
        <v>16199</v>
      </c>
    </row>
    <row r="445" spans="1:8" x14ac:dyDescent="0.3">
      <c r="A445" s="15">
        <v>440</v>
      </c>
      <c r="B445" s="21">
        <v>45247</v>
      </c>
      <c r="C445" s="15">
        <v>15504</v>
      </c>
      <c r="F445" s="19">
        <v>440</v>
      </c>
      <c r="G445" s="22">
        <v>45491</v>
      </c>
      <c r="H445" s="31">
        <f t="shared" si="7"/>
        <v>16160</v>
      </c>
    </row>
    <row r="446" spans="1:8" x14ac:dyDescent="0.3">
      <c r="A446" s="15">
        <v>441</v>
      </c>
      <c r="B446" s="21">
        <v>45246</v>
      </c>
      <c r="C446" s="15">
        <v>15595</v>
      </c>
      <c r="F446" s="19">
        <v>441</v>
      </c>
      <c r="G446" s="22">
        <v>45490</v>
      </c>
      <c r="H446" s="31">
        <f t="shared" si="7"/>
        <v>16129</v>
      </c>
    </row>
    <row r="447" spans="1:8" x14ac:dyDescent="0.3">
      <c r="A447" s="15">
        <v>442</v>
      </c>
      <c r="B447" s="21">
        <v>45245</v>
      </c>
      <c r="C447" s="15">
        <v>15503</v>
      </c>
      <c r="F447" s="19">
        <v>442</v>
      </c>
      <c r="G447" s="22">
        <v>45489</v>
      </c>
      <c r="H447" s="31">
        <f t="shared" si="7"/>
        <v>16203</v>
      </c>
    </row>
    <row r="448" spans="1:8" x14ac:dyDescent="0.3">
      <c r="A448" s="15">
        <v>443</v>
      </c>
      <c r="B448" s="21">
        <v>45244</v>
      </c>
      <c r="C448" s="15">
        <v>15699</v>
      </c>
      <c r="F448" s="19">
        <v>443</v>
      </c>
      <c r="G448" s="22">
        <v>45488</v>
      </c>
      <c r="H448" s="31">
        <f t="shared" si="7"/>
        <v>16174</v>
      </c>
    </row>
    <row r="449" spans="1:8" x14ac:dyDescent="0.3">
      <c r="A449" s="15">
        <v>444</v>
      </c>
      <c r="B449" s="21">
        <v>45243</v>
      </c>
      <c r="C449" s="15">
        <v>15713</v>
      </c>
      <c r="F449" s="19">
        <v>444</v>
      </c>
      <c r="G449" s="22">
        <v>45487</v>
      </c>
      <c r="H449" s="31">
        <f t="shared" si="7"/>
        <v>16154</v>
      </c>
    </row>
    <row r="450" spans="1:8" x14ac:dyDescent="0.3">
      <c r="A450" s="15">
        <v>445</v>
      </c>
      <c r="B450" s="21">
        <v>45240</v>
      </c>
      <c r="C450" s="15">
        <v>15693</v>
      </c>
      <c r="F450" s="19">
        <v>445</v>
      </c>
      <c r="G450" s="22">
        <v>45486</v>
      </c>
      <c r="H450" s="31">
        <f t="shared" si="7"/>
        <v>16154</v>
      </c>
    </row>
    <row r="451" spans="1:8" x14ac:dyDescent="0.3">
      <c r="A451" s="15">
        <v>446</v>
      </c>
      <c r="B451" s="21">
        <v>45239</v>
      </c>
      <c r="C451" s="15">
        <v>15649</v>
      </c>
      <c r="F451" s="19">
        <v>446</v>
      </c>
      <c r="G451" s="22">
        <v>45485</v>
      </c>
      <c r="H451" s="31">
        <f t="shared" si="7"/>
        <v>16154</v>
      </c>
    </row>
    <row r="452" spans="1:8" x14ac:dyDescent="0.3">
      <c r="A452" s="15">
        <v>447</v>
      </c>
      <c r="B452" s="21">
        <v>45238</v>
      </c>
      <c r="C452" s="15">
        <v>15629</v>
      </c>
      <c r="F452" s="19">
        <v>447</v>
      </c>
      <c r="G452" s="22">
        <v>45484</v>
      </c>
      <c r="H452" s="31">
        <f t="shared" si="7"/>
        <v>16200</v>
      </c>
    </row>
    <row r="453" spans="1:8" x14ac:dyDescent="0.3">
      <c r="A453" s="15">
        <v>448</v>
      </c>
      <c r="B453" s="21">
        <v>45237</v>
      </c>
      <c r="C453" s="15">
        <v>15593</v>
      </c>
      <c r="F453" s="19">
        <v>448</v>
      </c>
      <c r="G453" s="22">
        <v>45483</v>
      </c>
      <c r="H453" s="31">
        <f t="shared" si="7"/>
        <v>16256</v>
      </c>
    </row>
    <row r="454" spans="1:8" x14ac:dyDescent="0.3">
      <c r="A454" s="15">
        <v>449</v>
      </c>
      <c r="B454" s="21">
        <v>45236</v>
      </c>
      <c r="C454" s="15">
        <v>15550</v>
      </c>
      <c r="F454" s="19">
        <v>449</v>
      </c>
      <c r="G454" s="22">
        <v>45482</v>
      </c>
      <c r="H454" s="31">
        <f t="shared" si="7"/>
        <v>16281</v>
      </c>
    </row>
    <row r="455" spans="1:8" x14ac:dyDescent="0.3">
      <c r="A455" s="15">
        <v>450</v>
      </c>
      <c r="B455" s="21">
        <v>45233</v>
      </c>
      <c r="C455" s="15">
        <v>15771</v>
      </c>
      <c r="F455" s="19">
        <v>450</v>
      </c>
      <c r="G455" s="22">
        <v>45481</v>
      </c>
      <c r="H455" s="31">
        <f t="shared" ref="H455:H518" si="8">_xlfn.XLOOKUP(G455,$B$6:$B$656,$C$6:$C$656,,-1)</f>
        <v>16265</v>
      </c>
    </row>
    <row r="456" spans="1:8" x14ac:dyDescent="0.3">
      <c r="A456" s="15">
        <v>451</v>
      </c>
      <c r="B456" s="21">
        <v>45232</v>
      </c>
      <c r="C456" s="15">
        <v>15861</v>
      </c>
      <c r="F456" s="19">
        <v>451</v>
      </c>
      <c r="G456" s="22">
        <v>45480</v>
      </c>
      <c r="H456" s="31">
        <f t="shared" si="8"/>
        <v>16312</v>
      </c>
    </row>
    <row r="457" spans="1:8" x14ac:dyDescent="0.3">
      <c r="A457" s="15">
        <v>452</v>
      </c>
      <c r="B457" s="21">
        <v>45231</v>
      </c>
      <c r="C457" s="15">
        <v>15946</v>
      </c>
      <c r="F457" s="19">
        <v>452</v>
      </c>
      <c r="G457" s="22">
        <v>45479</v>
      </c>
      <c r="H457" s="31">
        <f t="shared" si="8"/>
        <v>16312</v>
      </c>
    </row>
    <row r="458" spans="1:8" x14ac:dyDescent="0.3">
      <c r="A458" s="15">
        <v>453</v>
      </c>
      <c r="B458" s="21">
        <v>45230</v>
      </c>
      <c r="C458" s="15">
        <v>15897</v>
      </c>
      <c r="F458" s="19">
        <v>453</v>
      </c>
      <c r="G458" s="22">
        <v>45478</v>
      </c>
      <c r="H458" s="31">
        <f t="shared" si="8"/>
        <v>16312</v>
      </c>
    </row>
    <row r="459" spans="1:8" x14ac:dyDescent="0.3">
      <c r="A459" s="15">
        <v>454</v>
      </c>
      <c r="B459" s="21">
        <v>45229</v>
      </c>
      <c r="C459" s="15">
        <v>15916</v>
      </c>
      <c r="F459" s="19">
        <v>454</v>
      </c>
      <c r="G459" s="22">
        <v>45477</v>
      </c>
      <c r="H459" s="31">
        <f t="shared" si="8"/>
        <v>16341</v>
      </c>
    </row>
    <row r="460" spans="1:8" x14ac:dyDescent="0.3">
      <c r="A460" s="15">
        <v>455</v>
      </c>
      <c r="B460" s="21">
        <v>45226</v>
      </c>
      <c r="C460" s="15">
        <v>15941</v>
      </c>
      <c r="F460" s="19">
        <v>455</v>
      </c>
      <c r="G460" s="22">
        <v>45476</v>
      </c>
      <c r="H460" s="31">
        <f t="shared" si="8"/>
        <v>16387</v>
      </c>
    </row>
    <row r="461" spans="1:8" x14ac:dyDescent="0.3">
      <c r="A461" s="15">
        <v>456</v>
      </c>
      <c r="B461" s="21">
        <v>45225</v>
      </c>
      <c r="C461" s="15">
        <v>15933</v>
      </c>
      <c r="F461" s="19">
        <v>456</v>
      </c>
      <c r="G461" s="22">
        <v>45475</v>
      </c>
      <c r="H461" s="31">
        <f t="shared" si="8"/>
        <v>16384</v>
      </c>
    </row>
    <row r="462" spans="1:8" x14ac:dyDescent="0.3">
      <c r="A462" s="15">
        <v>457</v>
      </c>
      <c r="B462" s="21">
        <v>45224</v>
      </c>
      <c r="C462" s="15">
        <v>15871</v>
      </c>
      <c r="F462" s="19">
        <v>457</v>
      </c>
      <c r="G462" s="22">
        <v>45474</v>
      </c>
      <c r="H462" s="31">
        <f t="shared" si="8"/>
        <v>16355</v>
      </c>
    </row>
    <row r="463" spans="1:8" x14ac:dyDescent="0.3">
      <c r="A463" s="15">
        <v>458</v>
      </c>
      <c r="B463" s="21">
        <v>45223</v>
      </c>
      <c r="C463" s="15">
        <v>15869</v>
      </c>
      <c r="F463" s="19">
        <v>458</v>
      </c>
      <c r="G463" s="22">
        <v>45473</v>
      </c>
      <c r="H463" s="31">
        <f t="shared" si="8"/>
        <v>16394</v>
      </c>
    </row>
    <row r="464" spans="1:8" x14ac:dyDescent="0.3">
      <c r="A464" s="15">
        <v>459</v>
      </c>
      <c r="B464" s="21">
        <v>45222</v>
      </c>
      <c r="C464" s="15">
        <v>15943</v>
      </c>
      <c r="F464" s="19">
        <v>459</v>
      </c>
      <c r="G464" s="22">
        <v>45472</v>
      </c>
      <c r="H464" s="31">
        <f t="shared" si="8"/>
        <v>16394</v>
      </c>
    </row>
    <row r="465" spans="1:8" x14ac:dyDescent="0.3">
      <c r="A465" s="15">
        <v>460</v>
      </c>
      <c r="B465" s="21">
        <v>45219</v>
      </c>
      <c r="C465" s="15">
        <v>15856</v>
      </c>
      <c r="F465" s="19">
        <v>460</v>
      </c>
      <c r="G465" s="22">
        <v>45471</v>
      </c>
      <c r="H465" s="31">
        <f t="shared" si="8"/>
        <v>16394</v>
      </c>
    </row>
    <row r="466" spans="1:8" x14ac:dyDescent="0.3">
      <c r="A466" s="15">
        <v>461</v>
      </c>
      <c r="B466" s="21">
        <v>45218</v>
      </c>
      <c r="C466" s="15">
        <v>15838</v>
      </c>
      <c r="F466" s="19">
        <v>461</v>
      </c>
      <c r="G466" s="22">
        <v>45470</v>
      </c>
      <c r="H466" s="31">
        <f t="shared" si="8"/>
        <v>16421</v>
      </c>
    </row>
    <row r="467" spans="1:8" x14ac:dyDescent="0.3">
      <c r="A467" s="15">
        <v>462</v>
      </c>
      <c r="B467" s="21">
        <v>45217</v>
      </c>
      <c r="C467" s="15">
        <v>15731</v>
      </c>
      <c r="F467" s="19">
        <v>462</v>
      </c>
      <c r="G467" s="22">
        <v>45469</v>
      </c>
      <c r="H467" s="31">
        <f t="shared" si="8"/>
        <v>16435</v>
      </c>
    </row>
    <row r="468" spans="1:8" x14ac:dyDescent="0.3">
      <c r="A468" s="15">
        <v>463</v>
      </c>
      <c r="B468" s="21">
        <v>45216</v>
      </c>
      <c r="C468" s="15">
        <v>15718</v>
      </c>
      <c r="F468" s="19">
        <v>463</v>
      </c>
      <c r="G468" s="22">
        <v>45468</v>
      </c>
      <c r="H468" s="31">
        <f t="shared" si="8"/>
        <v>16379</v>
      </c>
    </row>
    <row r="469" spans="1:8" x14ac:dyDescent="0.3">
      <c r="A469" s="15">
        <v>464</v>
      </c>
      <c r="B469" s="21">
        <v>45215</v>
      </c>
      <c r="C469" s="15">
        <v>15716</v>
      </c>
      <c r="F469" s="19">
        <v>464</v>
      </c>
      <c r="G469" s="22">
        <v>45467</v>
      </c>
      <c r="H469" s="31">
        <f t="shared" si="8"/>
        <v>16431</v>
      </c>
    </row>
    <row r="470" spans="1:8" x14ac:dyDescent="0.3">
      <c r="A470" s="15">
        <v>465</v>
      </c>
      <c r="B470" s="21">
        <v>45212</v>
      </c>
      <c r="C470" s="15">
        <v>15709</v>
      </c>
      <c r="F470" s="19">
        <v>465</v>
      </c>
      <c r="G470" s="22">
        <v>45466</v>
      </c>
      <c r="H470" s="31">
        <f t="shared" si="8"/>
        <v>16458</v>
      </c>
    </row>
    <row r="471" spans="1:8" x14ac:dyDescent="0.3">
      <c r="A471" s="15">
        <v>466</v>
      </c>
      <c r="B471" s="21">
        <v>45211</v>
      </c>
      <c r="C471" s="15">
        <v>15702</v>
      </c>
      <c r="F471" s="19">
        <v>466</v>
      </c>
      <c r="G471" s="22">
        <v>45465</v>
      </c>
      <c r="H471" s="31">
        <f t="shared" si="8"/>
        <v>16458</v>
      </c>
    </row>
    <row r="472" spans="1:8" x14ac:dyDescent="0.3">
      <c r="A472" s="15">
        <v>467</v>
      </c>
      <c r="B472" s="21">
        <v>45210</v>
      </c>
      <c r="C472" s="15">
        <v>15710</v>
      </c>
      <c r="F472" s="19">
        <v>467</v>
      </c>
      <c r="G472" s="22">
        <v>45464</v>
      </c>
      <c r="H472" s="31">
        <f t="shared" si="8"/>
        <v>16458</v>
      </c>
    </row>
    <row r="473" spans="1:8" x14ac:dyDescent="0.3">
      <c r="A473" s="15">
        <v>468</v>
      </c>
      <c r="B473" s="21">
        <v>45209</v>
      </c>
      <c r="C473" s="15">
        <v>15708</v>
      </c>
      <c r="F473" s="19">
        <v>468</v>
      </c>
      <c r="G473" s="22">
        <v>45463</v>
      </c>
      <c r="H473" s="31">
        <f t="shared" si="8"/>
        <v>16420</v>
      </c>
    </row>
    <row r="474" spans="1:8" x14ac:dyDescent="0.3">
      <c r="A474" s="15">
        <v>469</v>
      </c>
      <c r="B474" s="21">
        <v>45208</v>
      </c>
      <c r="C474" s="15">
        <v>15675</v>
      </c>
      <c r="F474" s="19">
        <v>469</v>
      </c>
      <c r="G474" s="22">
        <v>45462</v>
      </c>
      <c r="H474" s="31">
        <f t="shared" si="8"/>
        <v>16368</v>
      </c>
    </row>
    <row r="475" spans="1:8" x14ac:dyDescent="0.3">
      <c r="A475" s="15">
        <v>470</v>
      </c>
      <c r="B475" s="21">
        <v>45205</v>
      </c>
      <c r="C475" s="15">
        <v>15628</v>
      </c>
      <c r="F475" s="19">
        <v>470</v>
      </c>
      <c r="G475" s="22">
        <v>45461</v>
      </c>
      <c r="H475" s="31">
        <f t="shared" si="8"/>
        <v>16374</v>
      </c>
    </row>
    <row r="476" spans="1:8" x14ac:dyDescent="0.3">
      <c r="A476" s="15">
        <v>471</v>
      </c>
      <c r="B476" s="21">
        <v>45204</v>
      </c>
      <c r="C476" s="15">
        <v>15601</v>
      </c>
      <c r="F476" s="19">
        <v>471</v>
      </c>
      <c r="G476" s="22">
        <v>45460</v>
      </c>
      <c r="H476" s="31">
        <f t="shared" si="8"/>
        <v>16374</v>
      </c>
    </row>
    <row r="477" spans="1:8" x14ac:dyDescent="0.3">
      <c r="A477" s="15">
        <v>472</v>
      </c>
      <c r="B477" s="21">
        <v>45203</v>
      </c>
      <c r="C477" s="15">
        <v>15636</v>
      </c>
      <c r="F477" s="19">
        <v>472</v>
      </c>
      <c r="G477" s="22">
        <v>45459</v>
      </c>
      <c r="H477" s="31">
        <f t="shared" si="8"/>
        <v>16374</v>
      </c>
    </row>
    <row r="478" spans="1:8" x14ac:dyDescent="0.3">
      <c r="A478" s="15">
        <v>473</v>
      </c>
      <c r="B478" s="21">
        <v>45202</v>
      </c>
      <c r="C478" s="15">
        <v>15600</v>
      </c>
      <c r="F478" s="19">
        <v>473</v>
      </c>
      <c r="G478" s="22">
        <v>45458</v>
      </c>
      <c r="H478" s="31">
        <f t="shared" si="8"/>
        <v>16374</v>
      </c>
    </row>
    <row r="479" spans="1:8" x14ac:dyDescent="0.3">
      <c r="A479" s="15">
        <v>474</v>
      </c>
      <c r="B479" s="21">
        <v>45201</v>
      </c>
      <c r="C479" s="15">
        <v>15519</v>
      </c>
      <c r="F479" s="19">
        <v>474</v>
      </c>
      <c r="G479" s="22">
        <v>45457</v>
      </c>
      <c r="H479" s="31">
        <f t="shared" si="8"/>
        <v>16374</v>
      </c>
    </row>
    <row r="480" spans="1:8" x14ac:dyDescent="0.3">
      <c r="A480" s="15">
        <v>475</v>
      </c>
      <c r="B480" s="21">
        <v>45198</v>
      </c>
      <c r="C480" s="15">
        <v>15487</v>
      </c>
      <c r="F480" s="19">
        <v>475</v>
      </c>
      <c r="G480" s="22">
        <v>45456</v>
      </c>
      <c r="H480" s="31">
        <f t="shared" si="8"/>
        <v>16286</v>
      </c>
    </row>
    <row r="481" spans="1:8" x14ac:dyDescent="0.3">
      <c r="A481" s="15">
        <v>476</v>
      </c>
      <c r="B481" s="21">
        <v>45196</v>
      </c>
      <c r="C481" s="15">
        <v>15526</v>
      </c>
      <c r="F481" s="19">
        <v>476</v>
      </c>
      <c r="G481" s="22">
        <v>45455</v>
      </c>
      <c r="H481" s="31">
        <f t="shared" si="8"/>
        <v>16297</v>
      </c>
    </row>
    <row r="482" spans="1:8" x14ac:dyDescent="0.3">
      <c r="A482" s="15">
        <v>477</v>
      </c>
      <c r="B482" s="21">
        <v>45195</v>
      </c>
      <c r="C482" s="15">
        <v>15464</v>
      </c>
      <c r="F482" s="19">
        <v>477</v>
      </c>
      <c r="G482" s="22">
        <v>45454</v>
      </c>
      <c r="H482" s="31">
        <f t="shared" si="8"/>
        <v>16295</v>
      </c>
    </row>
    <row r="483" spans="1:8" x14ac:dyDescent="0.3">
      <c r="A483" s="15">
        <v>478</v>
      </c>
      <c r="B483" s="21">
        <v>45194</v>
      </c>
      <c r="C483" s="15">
        <v>15399</v>
      </c>
      <c r="F483" s="19">
        <v>478</v>
      </c>
      <c r="G483" s="22">
        <v>45453</v>
      </c>
      <c r="H483" s="31">
        <f t="shared" si="8"/>
        <v>16290</v>
      </c>
    </row>
    <row r="484" spans="1:8" x14ac:dyDescent="0.3">
      <c r="A484" s="15">
        <v>479</v>
      </c>
      <c r="B484" s="21">
        <v>45191</v>
      </c>
      <c r="C484" s="15">
        <v>15383</v>
      </c>
      <c r="F484" s="19">
        <v>479</v>
      </c>
      <c r="G484" s="22">
        <v>45452</v>
      </c>
      <c r="H484" s="31">
        <f t="shared" si="8"/>
        <v>16218</v>
      </c>
    </row>
    <row r="485" spans="1:8" x14ac:dyDescent="0.3">
      <c r="A485" s="15">
        <v>480</v>
      </c>
      <c r="B485" s="21">
        <v>45190</v>
      </c>
      <c r="C485" s="15">
        <v>15397</v>
      </c>
      <c r="F485" s="19">
        <v>480</v>
      </c>
      <c r="G485" s="22">
        <v>45451</v>
      </c>
      <c r="H485" s="31">
        <f t="shared" si="8"/>
        <v>16218</v>
      </c>
    </row>
    <row r="486" spans="1:8" x14ac:dyDescent="0.3">
      <c r="A486" s="15">
        <v>481</v>
      </c>
      <c r="B486" s="21">
        <v>45189</v>
      </c>
      <c r="C486" s="15">
        <v>15396</v>
      </c>
      <c r="F486" s="19">
        <v>481</v>
      </c>
      <c r="G486" s="22">
        <v>45450</v>
      </c>
      <c r="H486" s="31">
        <f t="shared" si="8"/>
        <v>16218</v>
      </c>
    </row>
    <row r="487" spans="1:8" x14ac:dyDescent="0.3">
      <c r="A487" s="15">
        <v>482</v>
      </c>
      <c r="B487" s="21">
        <v>45188</v>
      </c>
      <c r="C487" s="15">
        <v>15381</v>
      </c>
      <c r="F487" s="19">
        <v>482</v>
      </c>
      <c r="G487" s="22">
        <v>45449</v>
      </c>
      <c r="H487" s="31">
        <f t="shared" si="8"/>
        <v>16279</v>
      </c>
    </row>
    <row r="488" spans="1:8" x14ac:dyDescent="0.3">
      <c r="A488" s="15">
        <v>483</v>
      </c>
      <c r="B488" s="21">
        <v>45187</v>
      </c>
      <c r="C488" s="15">
        <v>15373</v>
      </c>
      <c r="F488" s="19">
        <v>483</v>
      </c>
      <c r="G488" s="22">
        <v>45448</v>
      </c>
      <c r="H488" s="31">
        <f t="shared" si="8"/>
        <v>16282</v>
      </c>
    </row>
    <row r="489" spans="1:8" x14ac:dyDescent="0.3">
      <c r="A489" s="15">
        <v>484</v>
      </c>
      <c r="B489" s="21">
        <v>45184</v>
      </c>
      <c r="C489" s="15">
        <v>15367</v>
      </c>
      <c r="F489" s="19">
        <v>484</v>
      </c>
      <c r="G489" s="22">
        <v>45447</v>
      </c>
      <c r="H489" s="31">
        <f t="shared" si="8"/>
        <v>16220</v>
      </c>
    </row>
    <row r="490" spans="1:8" x14ac:dyDescent="0.3">
      <c r="A490" s="15">
        <v>485</v>
      </c>
      <c r="B490" s="21">
        <v>45183</v>
      </c>
      <c r="C490" s="15">
        <v>15357</v>
      </c>
      <c r="F490" s="19">
        <v>485</v>
      </c>
      <c r="G490" s="22">
        <v>45446</v>
      </c>
      <c r="H490" s="31">
        <f t="shared" si="8"/>
        <v>16225</v>
      </c>
    </row>
    <row r="491" spans="1:8" x14ac:dyDescent="0.3">
      <c r="A491" s="15">
        <v>486</v>
      </c>
      <c r="B491" s="21">
        <v>45182</v>
      </c>
      <c r="C491" s="15">
        <v>15367</v>
      </c>
      <c r="F491" s="19">
        <v>486</v>
      </c>
      <c r="G491" s="22">
        <v>45445</v>
      </c>
      <c r="H491" s="31">
        <f t="shared" si="8"/>
        <v>16251</v>
      </c>
    </row>
    <row r="492" spans="1:8" x14ac:dyDescent="0.3">
      <c r="A492" s="15">
        <v>487</v>
      </c>
      <c r="B492" s="21">
        <v>45181</v>
      </c>
      <c r="C492" s="15">
        <v>15344</v>
      </c>
      <c r="F492" s="19">
        <v>487</v>
      </c>
      <c r="G492" s="22">
        <v>45444</v>
      </c>
      <c r="H492" s="31">
        <f t="shared" si="8"/>
        <v>16251</v>
      </c>
    </row>
    <row r="493" spans="1:8" x14ac:dyDescent="0.3">
      <c r="A493" s="15">
        <v>488</v>
      </c>
      <c r="B493" s="21">
        <v>45180</v>
      </c>
      <c r="C493" s="15">
        <v>15352</v>
      </c>
      <c r="F493" s="19">
        <v>488</v>
      </c>
      <c r="G493" s="22">
        <v>45443</v>
      </c>
      <c r="H493" s="31">
        <f t="shared" si="8"/>
        <v>16251</v>
      </c>
    </row>
    <row r="494" spans="1:8" x14ac:dyDescent="0.3">
      <c r="A494" s="15">
        <v>489</v>
      </c>
      <c r="B494" s="21">
        <v>45177</v>
      </c>
      <c r="C494" s="15">
        <v>15341</v>
      </c>
      <c r="F494" s="19">
        <v>489</v>
      </c>
      <c r="G494" s="22">
        <v>45442</v>
      </c>
      <c r="H494" s="31">
        <f t="shared" si="8"/>
        <v>16253</v>
      </c>
    </row>
    <row r="495" spans="1:8" x14ac:dyDescent="0.3">
      <c r="A495" s="15">
        <v>490</v>
      </c>
      <c r="B495" s="21">
        <v>45176</v>
      </c>
      <c r="C495" s="15">
        <v>15334</v>
      </c>
      <c r="F495" s="19">
        <v>490</v>
      </c>
      <c r="G495" s="22">
        <v>45441</v>
      </c>
      <c r="H495" s="31">
        <f t="shared" si="8"/>
        <v>16160</v>
      </c>
    </row>
    <row r="496" spans="1:8" x14ac:dyDescent="0.3">
      <c r="A496" s="15">
        <v>491</v>
      </c>
      <c r="B496" s="21">
        <v>45175</v>
      </c>
      <c r="C496" s="15">
        <v>15307</v>
      </c>
      <c r="F496" s="19">
        <v>491</v>
      </c>
      <c r="G496" s="22">
        <v>45440</v>
      </c>
      <c r="H496" s="31">
        <f t="shared" si="8"/>
        <v>16095</v>
      </c>
    </row>
    <row r="497" spans="1:8" x14ac:dyDescent="0.3">
      <c r="A497" s="15">
        <v>492</v>
      </c>
      <c r="B497" s="21">
        <v>45174</v>
      </c>
      <c r="C497" s="15">
        <v>15260</v>
      </c>
      <c r="F497" s="19">
        <v>492</v>
      </c>
      <c r="G497" s="22">
        <v>45439</v>
      </c>
      <c r="H497" s="31">
        <f t="shared" si="8"/>
        <v>16064</v>
      </c>
    </row>
    <row r="498" spans="1:8" x14ac:dyDescent="0.3">
      <c r="A498" s="15">
        <v>493</v>
      </c>
      <c r="B498" s="21">
        <v>45173</v>
      </c>
      <c r="C498" s="15">
        <v>15247</v>
      </c>
      <c r="F498" s="19">
        <v>493</v>
      </c>
      <c r="G498" s="22">
        <v>45438</v>
      </c>
      <c r="H498" s="31">
        <f t="shared" si="8"/>
        <v>15995</v>
      </c>
    </row>
    <row r="499" spans="1:8" x14ac:dyDescent="0.3">
      <c r="A499" s="15">
        <v>494</v>
      </c>
      <c r="B499" s="21">
        <v>45170</v>
      </c>
      <c r="C499" s="15">
        <v>15252</v>
      </c>
      <c r="F499" s="19">
        <v>494</v>
      </c>
      <c r="G499" s="22">
        <v>45437</v>
      </c>
      <c r="H499" s="31">
        <f t="shared" si="8"/>
        <v>15995</v>
      </c>
    </row>
    <row r="500" spans="1:8" x14ac:dyDescent="0.3">
      <c r="A500" s="15">
        <v>495</v>
      </c>
      <c r="B500" s="21">
        <v>45169</v>
      </c>
      <c r="C500" s="15">
        <v>15237</v>
      </c>
      <c r="F500" s="19">
        <v>495</v>
      </c>
      <c r="G500" s="22">
        <v>45436</v>
      </c>
      <c r="H500" s="31">
        <f t="shared" si="8"/>
        <v>15995</v>
      </c>
    </row>
    <row r="501" spans="1:8" x14ac:dyDescent="0.3">
      <c r="A501" s="15">
        <v>496</v>
      </c>
      <c r="B501" s="21">
        <v>45168</v>
      </c>
      <c r="C501" s="15">
        <v>15239</v>
      </c>
      <c r="F501" s="19">
        <v>496</v>
      </c>
      <c r="G501" s="22">
        <v>45435</v>
      </c>
      <c r="H501" s="31">
        <f t="shared" si="8"/>
        <v>15995</v>
      </c>
    </row>
    <row r="502" spans="1:8" x14ac:dyDescent="0.3">
      <c r="A502" s="15">
        <v>497</v>
      </c>
      <c r="B502" s="21">
        <v>45167</v>
      </c>
      <c r="C502" s="15">
        <v>15263</v>
      </c>
      <c r="F502" s="19">
        <v>497</v>
      </c>
      <c r="G502" s="22">
        <v>45434</v>
      </c>
      <c r="H502" s="31">
        <f t="shared" si="8"/>
        <v>15995</v>
      </c>
    </row>
    <row r="503" spans="1:8" x14ac:dyDescent="0.3">
      <c r="A503" s="15">
        <v>498</v>
      </c>
      <c r="B503" s="21">
        <v>45166</v>
      </c>
      <c r="C503" s="15">
        <v>15294</v>
      </c>
      <c r="F503" s="19">
        <v>498</v>
      </c>
      <c r="G503" s="22">
        <v>45433</v>
      </c>
      <c r="H503" s="31">
        <f t="shared" si="8"/>
        <v>16024</v>
      </c>
    </row>
    <row r="504" spans="1:8" x14ac:dyDescent="0.3">
      <c r="A504" s="15">
        <v>499</v>
      </c>
      <c r="B504" s="21">
        <v>45163</v>
      </c>
      <c r="C504" s="15">
        <v>15297</v>
      </c>
      <c r="F504" s="19">
        <v>499</v>
      </c>
      <c r="G504" s="22">
        <v>45432</v>
      </c>
      <c r="H504" s="31">
        <f t="shared" si="8"/>
        <v>15980</v>
      </c>
    </row>
    <row r="505" spans="1:8" x14ac:dyDescent="0.3">
      <c r="A505" s="15">
        <v>500</v>
      </c>
      <c r="B505" s="21">
        <v>45162</v>
      </c>
      <c r="C505" s="15">
        <v>15253</v>
      </c>
      <c r="F505" s="19">
        <v>500</v>
      </c>
      <c r="G505" s="22">
        <v>45431</v>
      </c>
      <c r="H505" s="31">
        <f t="shared" si="8"/>
        <v>15978</v>
      </c>
    </row>
    <row r="506" spans="1:8" x14ac:dyDescent="0.3">
      <c r="A506" s="15">
        <v>501</v>
      </c>
      <c r="B506" s="21">
        <v>45161</v>
      </c>
      <c r="C506" s="15">
        <v>15319</v>
      </c>
      <c r="F506" s="19">
        <v>501</v>
      </c>
      <c r="G506" s="22">
        <v>45430</v>
      </c>
      <c r="H506" s="31">
        <f t="shared" si="8"/>
        <v>15978</v>
      </c>
    </row>
    <row r="507" spans="1:8" x14ac:dyDescent="0.3">
      <c r="A507" s="15">
        <v>502</v>
      </c>
      <c r="B507" s="21">
        <v>45160</v>
      </c>
      <c r="C507" s="15">
        <v>15326</v>
      </c>
      <c r="F507" s="19">
        <v>502</v>
      </c>
      <c r="G507" s="22">
        <v>45429</v>
      </c>
      <c r="H507" s="31">
        <f t="shared" si="8"/>
        <v>15978</v>
      </c>
    </row>
    <row r="508" spans="1:8" x14ac:dyDescent="0.3">
      <c r="A508" s="15">
        <v>503</v>
      </c>
      <c r="B508" s="21">
        <v>45159</v>
      </c>
      <c r="C508" s="15">
        <v>15329</v>
      </c>
      <c r="F508" s="19">
        <v>503</v>
      </c>
      <c r="G508" s="22">
        <v>45428</v>
      </c>
      <c r="H508" s="31">
        <f t="shared" si="8"/>
        <v>15944</v>
      </c>
    </row>
    <row r="509" spans="1:8" x14ac:dyDescent="0.3">
      <c r="A509" s="15">
        <v>504</v>
      </c>
      <c r="B509" s="21">
        <v>45156</v>
      </c>
      <c r="C509" s="15">
        <v>15308</v>
      </c>
      <c r="F509" s="19">
        <v>504</v>
      </c>
      <c r="G509" s="22">
        <v>45427</v>
      </c>
      <c r="H509" s="31">
        <f t="shared" si="8"/>
        <v>16070</v>
      </c>
    </row>
    <row r="510" spans="1:8" x14ac:dyDescent="0.3">
      <c r="A510" s="15">
        <v>505</v>
      </c>
      <c r="B510" s="21">
        <v>45154</v>
      </c>
      <c r="C510" s="15">
        <v>15308</v>
      </c>
      <c r="F510" s="19">
        <v>505</v>
      </c>
      <c r="G510" s="22">
        <v>45426</v>
      </c>
      <c r="H510" s="31">
        <f t="shared" si="8"/>
        <v>16131</v>
      </c>
    </row>
    <row r="511" spans="1:8" x14ac:dyDescent="0.3">
      <c r="A511" s="15">
        <v>506</v>
      </c>
      <c r="B511" s="21">
        <v>45153</v>
      </c>
      <c r="C511" s="15">
        <v>15346</v>
      </c>
      <c r="F511" s="19">
        <v>506</v>
      </c>
      <c r="G511" s="22">
        <v>45425</v>
      </c>
      <c r="H511" s="31">
        <f t="shared" si="8"/>
        <v>16085</v>
      </c>
    </row>
    <row r="512" spans="1:8" x14ac:dyDescent="0.3">
      <c r="A512" s="15">
        <v>507</v>
      </c>
      <c r="B512" s="21">
        <v>45152</v>
      </c>
      <c r="C512" s="15">
        <v>15323</v>
      </c>
      <c r="F512" s="19">
        <v>507</v>
      </c>
      <c r="G512" s="22">
        <v>45424</v>
      </c>
      <c r="H512" s="31">
        <f t="shared" si="8"/>
        <v>16081</v>
      </c>
    </row>
    <row r="513" spans="1:8" x14ac:dyDescent="0.3">
      <c r="A513" s="15">
        <v>508</v>
      </c>
      <c r="B513" s="21">
        <v>45149</v>
      </c>
      <c r="C513" s="15">
        <v>15225</v>
      </c>
      <c r="F513" s="19">
        <v>508</v>
      </c>
      <c r="G513" s="22">
        <v>45423</v>
      </c>
      <c r="H513" s="31">
        <f t="shared" si="8"/>
        <v>16081</v>
      </c>
    </row>
    <row r="514" spans="1:8" x14ac:dyDescent="0.3">
      <c r="A514" s="15">
        <v>509</v>
      </c>
      <c r="B514" s="21">
        <v>45148</v>
      </c>
      <c r="C514" s="15">
        <v>15204</v>
      </c>
      <c r="F514" s="19">
        <v>509</v>
      </c>
      <c r="G514" s="22">
        <v>45422</v>
      </c>
      <c r="H514" s="31">
        <f t="shared" si="8"/>
        <v>16081</v>
      </c>
    </row>
    <row r="515" spans="1:8" x14ac:dyDescent="0.3">
      <c r="A515" s="15">
        <v>510</v>
      </c>
      <c r="B515" s="21">
        <v>45147</v>
      </c>
      <c r="C515" s="15">
        <v>15206</v>
      </c>
      <c r="F515" s="19">
        <v>510</v>
      </c>
      <c r="G515" s="22">
        <v>45421</v>
      </c>
      <c r="H515" s="31">
        <f t="shared" si="8"/>
        <v>16081</v>
      </c>
    </row>
    <row r="516" spans="1:8" x14ac:dyDescent="0.3">
      <c r="A516" s="15">
        <v>511</v>
      </c>
      <c r="B516" s="21">
        <v>45146</v>
      </c>
      <c r="C516" s="15">
        <v>15229</v>
      </c>
      <c r="F516" s="19">
        <v>511</v>
      </c>
      <c r="G516" s="22">
        <v>45420</v>
      </c>
      <c r="H516" s="31">
        <f t="shared" si="8"/>
        <v>16081</v>
      </c>
    </row>
    <row r="517" spans="1:8" x14ac:dyDescent="0.3">
      <c r="A517" s="15">
        <v>512</v>
      </c>
      <c r="B517" s="21">
        <v>45145</v>
      </c>
      <c r="C517" s="15">
        <v>15178</v>
      </c>
      <c r="F517" s="19">
        <v>512</v>
      </c>
      <c r="G517" s="22">
        <v>45419</v>
      </c>
      <c r="H517" s="31">
        <f t="shared" si="8"/>
        <v>16054</v>
      </c>
    </row>
    <row r="518" spans="1:8" x14ac:dyDescent="0.3">
      <c r="A518" s="15">
        <v>513</v>
      </c>
      <c r="B518" s="21">
        <v>45142</v>
      </c>
      <c r="C518" s="15">
        <v>15168</v>
      </c>
      <c r="F518" s="19">
        <v>513</v>
      </c>
      <c r="G518" s="22">
        <v>45418</v>
      </c>
      <c r="H518" s="31">
        <f t="shared" si="8"/>
        <v>16025</v>
      </c>
    </row>
    <row r="519" spans="1:8" x14ac:dyDescent="0.3">
      <c r="A519" s="15">
        <v>514</v>
      </c>
      <c r="B519" s="21">
        <v>45141</v>
      </c>
      <c r="C519" s="15">
        <v>15198</v>
      </c>
      <c r="F519" s="19">
        <v>514</v>
      </c>
      <c r="G519" s="22">
        <v>45417</v>
      </c>
      <c r="H519" s="31">
        <f t="shared" ref="H519:H582" si="9">_xlfn.XLOOKUP(G519,$B$6:$B$656,$C$6:$C$656,,-1)</f>
        <v>16094</v>
      </c>
    </row>
    <row r="520" spans="1:8" x14ac:dyDescent="0.3">
      <c r="A520" s="15">
        <v>515</v>
      </c>
      <c r="B520" s="21">
        <v>45140</v>
      </c>
      <c r="C520" s="15">
        <v>15171</v>
      </c>
      <c r="F520" s="19">
        <v>515</v>
      </c>
      <c r="G520" s="22">
        <v>45416</v>
      </c>
      <c r="H520" s="31">
        <f t="shared" si="9"/>
        <v>16094</v>
      </c>
    </row>
    <row r="521" spans="1:8" x14ac:dyDescent="0.3">
      <c r="A521" s="15">
        <v>516</v>
      </c>
      <c r="B521" s="21">
        <v>45139</v>
      </c>
      <c r="C521" s="15">
        <v>15117</v>
      </c>
      <c r="F521" s="19">
        <v>516</v>
      </c>
      <c r="G521" s="22">
        <v>45415</v>
      </c>
      <c r="H521" s="31">
        <f t="shared" si="9"/>
        <v>16094</v>
      </c>
    </row>
    <row r="522" spans="1:8" x14ac:dyDescent="0.3">
      <c r="A522" s="15">
        <v>517</v>
      </c>
      <c r="B522" s="21">
        <v>45138</v>
      </c>
      <c r="C522" s="15">
        <v>15092</v>
      </c>
      <c r="F522" s="19">
        <v>517</v>
      </c>
      <c r="G522" s="22">
        <v>45414</v>
      </c>
      <c r="H522" s="31">
        <f t="shared" si="9"/>
        <v>16202</v>
      </c>
    </row>
    <row r="523" spans="1:8" x14ac:dyDescent="0.3">
      <c r="A523" s="15">
        <v>518</v>
      </c>
      <c r="B523" s="21">
        <v>45135</v>
      </c>
      <c r="C523" s="15">
        <v>15083</v>
      </c>
      <c r="F523" s="19">
        <v>518</v>
      </c>
      <c r="G523" s="22">
        <v>45413</v>
      </c>
      <c r="H523" s="31">
        <f t="shared" si="9"/>
        <v>16276</v>
      </c>
    </row>
    <row r="524" spans="1:8" x14ac:dyDescent="0.3">
      <c r="A524" s="15">
        <v>519</v>
      </c>
      <c r="B524" s="21">
        <v>45134</v>
      </c>
      <c r="C524" s="15">
        <v>15003</v>
      </c>
      <c r="F524" s="19">
        <v>519</v>
      </c>
      <c r="G524" s="22">
        <v>45412</v>
      </c>
      <c r="H524" s="31">
        <f t="shared" si="9"/>
        <v>16276</v>
      </c>
    </row>
    <row r="525" spans="1:8" x14ac:dyDescent="0.3">
      <c r="A525" s="15">
        <v>520</v>
      </c>
      <c r="B525" s="21">
        <v>45133</v>
      </c>
      <c r="C525" s="15">
        <v>15032</v>
      </c>
      <c r="F525" s="19">
        <v>520</v>
      </c>
      <c r="G525" s="22">
        <v>45411</v>
      </c>
      <c r="H525" s="31">
        <f t="shared" si="9"/>
        <v>16249</v>
      </c>
    </row>
    <row r="526" spans="1:8" x14ac:dyDescent="0.3">
      <c r="A526" s="15">
        <v>521</v>
      </c>
      <c r="B526" s="21">
        <v>45132</v>
      </c>
      <c r="C526" s="15">
        <v>15007</v>
      </c>
      <c r="F526" s="19">
        <v>521</v>
      </c>
      <c r="G526" s="22">
        <v>45410</v>
      </c>
      <c r="H526" s="31">
        <f t="shared" si="9"/>
        <v>16222</v>
      </c>
    </row>
    <row r="527" spans="1:8" x14ac:dyDescent="0.3">
      <c r="A527" s="15">
        <v>522</v>
      </c>
      <c r="B527" s="21">
        <v>45131</v>
      </c>
      <c r="C527" s="15">
        <v>15028</v>
      </c>
      <c r="F527" s="19">
        <v>522</v>
      </c>
      <c r="G527" s="22">
        <v>45409</v>
      </c>
      <c r="H527" s="31">
        <f t="shared" si="9"/>
        <v>16222</v>
      </c>
    </row>
    <row r="528" spans="1:8" x14ac:dyDescent="0.3">
      <c r="A528" s="15">
        <v>523</v>
      </c>
      <c r="B528" s="21">
        <v>45128</v>
      </c>
      <c r="C528" s="15">
        <v>15026</v>
      </c>
      <c r="F528" s="19">
        <v>523</v>
      </c>
      <c r="G528" s="22">
        <v>45408</v>
      </c>
      <c r="H528" s="31">
        <f t="shared" si="9"/>
        <v>16222</v>
      </c>
    </row>
    <row r="529" spans="1:8" x14ac:dyDescent="0.3">
      <c r="A529" s="15">
        <v>524</v>
      </c>
      <c r="B529" s="21">
        <v>45127</v>
      </c>
      <c r="C529" s="15">
        <v>14991</v>
      </c>
      <c r="F529" s="19">
        <v>524</v>
      </c>
      <c r="G529" s="22">
        <v>45407</v>
      </c>
      <c r="H529" s="31">
        <f t="shared" si="9"/>
        <v>16208</v>
      </c>
    </row>
    <row r="530" spans="1:8" x14ac:dyDescent="0.3">
      <c r="A530" s="15">
        <v>525</v>
      </c>
      <c r="B530" s="21">
        <v>45125</v>
      </c>
      <c r="C530" s="15">
        <v>14994</v>
      </c>
      <c r="F530" s="19">
        <v>525</v>
      </c>
      <c r="G530" s="22">
        <v>45406</v>
      </c>
      <c r="H530" s="31">
        <f t="shared" si="9"/>
        <v>16161</v>
      </c>
    </row>
    <row r="531" spans="1:8" x14ac:dyDescent="0.3">
      <c r="A531" s="15">
        <v>526</v>
      </c>
      <c r="B531" s="21">
        <v>45124</v>
      </c>
      <c r="C531" s="15">
        <v>15007</v>
      </c>
      <c r="F531" s="19">
        <v>526</v>
      </c>
      <c r="G531" s="22">
        <v>45405</v>
      </c>
      <c r="H531" s="31">
        <f t="shared" si="9"/>
        <v>16244</v>
      </c>
    </row>
    <row r="532" spans="1:8" x14ac:dyDescent="0.3">
      <c r="A532" s="15">
        <v>527</v>
      </c>
      <c r="B532" s="21">
        <v>45121</v>
      </c>
      <c r="C532" s="15">
        <v>14945</v>
      </c>
      <c r="F532" s="19">
        <v>527</v>
      </c>
      <c r="G532" s="22">
        <v>45404</v>
      </c>
      <c r="H532" s="31">
        <f t="shared" si="9"/>
        <v>16224</v>
      </c>
    </row>
    <row r="533" spans="1:8" x14ac:dyDescent="0.3">
      <c r="A533" s="15">
        <v>528</v>
      </c>
      <c r="B533" s="21">
        <v>45120</v>
      </c>
      <c r="C533" s="15">
        <v>14978</v>
      </c>
      <c r="F533" s="19">
        <v>528</v>
      </c>
      <c r="G533" s="22">
        <v>45403</v>
      </c>
      <c r="H533" s="31">
        <f t="shared" si="9"/>
        <v>16280</v>
      </c>
    </row>
    <row r="534" spans="1:8" x14ac:dyDescent="0.3">
      <c r="A534" s="15">
        <v>529</v>
      </c>
      <c r="B534" s="21">
        <v>45119</v>
      </c>
      <c r="C534" s="15">
        <v>15084</v>
      </c>
      <c r="F534" s="19">
        <v>529</v>
      </c>
      <c r="G534" s="22">
        <v>45402</v>
      </c>
      <c r="H534" s="31">
        <f t="shared" si="9"/>
        <v>16280</v>
      </c>
    </row>
    <row r="535" spans="1:8" x14ac:dyDescent="0.3">
      <c r="A535" s="15">
        <v>530</v>
      </c>
      <c r="B535" s="21">
        <v>45118</v>
      </c>
      <c r="C535" s="15">
        <v>15162</v>
      </c>
      <c r="F535" s="19">
        <v>530</v>
      </c>
      <c r="G535" s="22">
        <v>45401</v>
      </c>
      <c r="H535" s="31">
        <f t="shared" si="9"/>
        <v>16280</v>
      </c>
    </row>
    <row r="536" spans="1:8" x14ac:dyDescent="0.3">
      <c r="A536" s="15">
        <v>531</v>
      </c>
      <c r="B536" s="21">
        <v>45117</v>
      </c>
      <c r="C536" s="15">
        <v>15192</v>
      </c>
      <c r="F536" s="19">
        <v>531</v>
      </c>
      <c r="G536" s="22">
        <v>45400</v>
      </c>
      <c r="H536" s="31">
        <f t="shared" si="9"/>
        <v>16177</v>
      </c>
    </row>
    <row r="537" spans="1:8" x14ac:dyDescent="0.3">
      <c r="A537" s="15">
        <v>532</v>
      </c>
      <c r="B537" s="21">
        <v>45114</v>
      </c>
      <c r="C537" s="15">
        <v>15136</v>
      </c>
      <c r="F537" s="19">
        <v>532</v>
      </c>
      <c r="G537" s="22">
        <v>45399</v>
      </c>
      <c r="H537" s="31">
        <f t="shared" si="9"/>
        <v>16240</v>
      </c>
    </row>
    <row r="538" spans="1:8" x14ac:dyDescent="0.3">
      <c r="A538" s="15">
        <v>533</v>
      </c>
      <c r="B538" s="21">
        <v>45113</v>
      </c>
      <c r="C538" s="15">
        <v>15062</v>
      </c>
      <c r="F538" s="19">
        <v>533</v>
      </c>
      <c r="G538" s="22">
        <v>45398</v>
      </c>
      <c r="H538" s="31">
        <f t="shared" si="9"/>
        <v>16176</v>
      </c>
    </row>
    <row r="539" spans="1:8" x14ac:dyDescent="0.3">
      <c r="A539" s="15">
        <v>534</v>
      </c>
      <c r="B539" s="21">
        <v>45112</v>
      </c>
      <c r="C539" s="15">
        <v>15013</v>
      </c>
      <c r="F539" s="19">
        <v>534</v>
      </c>
      <c r="G539" s="22">
        <v>45397</v>
      </c>
      <c r="H539" s="31">
        <f t="shared" si="9"/>
        <v>15873</v>
      </c>
    </row>
    <row r="540" spans="1:8" x14ac:dyDescent="0.3">
      <c r="A540" s="15">
        <v>535</v>
      </c>
      <c r="B540" s="21">
        <v>45111</v>
      </c>
      <c r="C540" s="15">
        <v>15018</v>
      </c>
      <c r="F540" s="19">
        <v>535</v>
      </c>
      <c r="G540" s="22">
        <v>45396</v>
      </c>
      <c r="H540" s="31">
        <f t="shared" si="9"/>
        <v>15873</v>
      </c>
    </row>
    <row r="541" spans="1:8" x14ac:dyDescent="0.3">
      <c r="A541" s="15">
        <v>536</v>
      </c>
      <c r="B541" s="21">
        <v>45110</v>
      </c>
      <c r="C541" s="15">
        <v>15034</v>
      </c>
      <c r="F541" s="19">
        <v>536</v>
      </c>
      <c r="G541" s="22">
        <v>45395</v>
      </c>
      <c r="H541" s="31">
        <f t="shared" si="9"/>
        <v>15873</v>
      </c>
    </row>
    <row r="542" spans="1:8" x14ac:dyDescent="0.3">
      <c r="A542" s="15">
        <v>537</v>
      </c>
      <c r="B542" s="21">
        <v>45104</v>
      </c>
      <c r="C542" s="15">
        <v>15000</v>
      </c>
      <c r="F542" s="19">
        <v>537</v>
      </c>
      <c r="G542" s="22">
        <v>45394</v>
      </c>
      <c r="H542" s="31">
        <f t="shared" si="9"/>
        <v>15873</v>
      </c>
    </row>
    <row r="543" spans="1:8" x14ac:dyDescent="0.3">
      <c r="A543" s="15">
        <v>538</v>
      </c>
      <c r="B543" s="21">
        <v>45103</v>
      </c>
      <c r="C543" s="15">
        <v>15026</v>
      </c>
      <c r="F543" s="19">
        <v>538</v>
      </c>
      <c r="G543" s="22">
        <v>45393</v>
      </c>
      <c r="H543" s="31">
        <f t="shared" si="9"/>
        <v>15873</v>
      </c>
    </row>
    <row r="544" spans="1:8" x14ac:dyDescent="0.3">
      <c r="A544" s="15">
        <v>539</v>
      </c>
      <c r="B544" s="21">
        <v>45100</v>
      </c>
      <c r="C544" s="15">
        <v>14998</v>
      </c>
      <c r="F544" s="19">
        <v>539</v>
      </c>
      <c r="G544" s="22">
        <v>45392</v>
      </c>
      <c r="H544" s="31">
        <f t="shared" si="9"/>
        <v>15873</v>
      </c>
    </row>
    <row r="545" spans="1:8" x14ac:dyDescent="0.3">
      <c r="A545" s="15">
        <v>540</v>
      </c>
      <c r="B545" s="21">
        <v>45099</v>
      </c>
      <c r="C545" s="15">
        <v>14918</v>
      </c>
      <c r="F545" s="19">
        <v>540</v>
      </c>
      <c r="G545" s="22">
        <v>45391</v>
      </c>
      <c r="H545" s="31">
        <f t="shared" si="9"/>
        <v>15873</v>
      </c>
    </row>
    <row r="546" spans="1:8" x14ac:dyDescent="0.3">
      <c r="A546" s="15">
        <v>541</v>
      </c>
      <c r="B546" s="21">
        <v>45098</v>
      </c>
      <c r="C546" s="15">
        <v>14982</v>
      </c>
      <c r="F546" s="19">
        <v>541</v>
      </c>
      <c r="G546" s="22">
        <v>45390</v>
      </c>
      <c r="H546" s="31">
        <f t="shared" si="9"/>
        <v>15873</v>
      </c>
    </row>
    <row r="547" spans="1:8" x14ac:dyDescent="0.3">
      <c r="A547" s="15">
        <v>542</v>
      </c>
      <c r="B547" s="21">
        <v>45097</v>
      </c>
      <c r="C547" s="15">
        <v>15040</v>
      </c>
      <c r="F547" s="19">
        <v>542</v>
      </c>
      <c r="G547" s="22">
        <v>45389</v>
      </c>
      <c r="H547" s="31">
        <f t="shared" si="9"/>
        <v>15873</v>
      </c>
    </row>
    <row r="548" spans="1:8" x14ac:dyDescent="0.3">
      <c r="A548" s="15">
        <v>543</v>
      </c>
      <c r="B548" s="21">
        <v>45096</v>
      </c>
      <c r="C548" s="15">
        <v>14994</v>
      </c>
      <c r="F548" s="19">
        <v>543</v>
      </c>
      <c r="G548" s="22">
        <v>45388</v>
      </c>
      <c r="H548" s="31">
        <f t="shared" si="9"/>
        <v>15873</v>
      </c>
    </row>
    <row r="549" spans="1:8" x14ac:dyDescent="0.3">
      <c r="A549" s="15">
        <v>544</v>
      </c>
      <c r="B549" s="21">
        <v>45093</v>
      </c>
      <c r="C549" s="15">
        <v>14945</v>
      </c>
      <c r="F549" s="19">
        <v>544</v>
      </c>
      <c r="G549" s="22">
        <v>45387</v>
      </c>
      <c r="H549" s="31">
        <f t="shared" si="9"/>
        <v>15873</v>
      </c>
    </row>
    <row r="550" spans="1:8" x14ac:dyDescent="0.3">
      <c r="A550" s="15">
        <v>545</v>
      </c>
      <c r="B550" s="21">
        <v>45092</v>
      </c>
      <c r="C550" s="15">
        <v>14943</v>
      </c>
      <c r="F550" s="19">
        <v>545</v>
      </c>
      <c r="G550" s="22">
        <v>45386</v>
      </c>
      <c r="H550" s="31">
        <f t="shared" si="9"/>
        <v>15907</v>
      </c>
    </row>
    <row r="551" spans="1:8" x14ac:dyDescent="0.3">
      <c r="A551" s="15">
        <v>546</v>
      </c>
      <c r="B551" s="21">
        <v>45091</v>
      </c>
      <c r="C551" s="15">
        <v>14895</v>
      </c>
      <c r="F551" s="19">
        <v>546</v>
      </c>
      <c r="G551" s="22">
        <v>45385</v>
      </c>
      <c r="H551" s="31">
        <f t="shared" si="9"/>
        <v>15923</v>
      </c>
    </row>
    <row r="552" spans="1:8" x14ac:dyDescent="0.3">
      <c r="A552" s="15">
        <v>547</v>
      </c>
      <c r="B552" s="21">
        <v>45090</v>
      </c>
      <c r="C552" s="15">
        <v>14868</v>
      </c>
      <c r="F552" s="19">
        <v>547</v>
      </c>
      <c r="G552" s="22">
        <v>45384</v>
      </c>
      <c r="H552" s="31">
        <f t="shared" si="9"/>
        <v>15934</v>
      </c>
    </row>
    <row r="553" spans="1:8" x14ac:dyDescent="0.3">
      <c r="A553" s="15">
        <v>548</v>
      </c>
      <c r="B553" s="21">
        <v>45089</v>
      </c>
      <c r="C553" s="15">
        <v>14874</v>
      </c>
      <c r="F553" s="19">
        <v>548</v>
      </c>
      <c r="G553" s="22">
        <v>45383</v>
      </c>
      <c r="H553" s="31">
        <f t="shared" si="9"/>
        <v>15909</v>
      </c>
    </row>
    <row r="554" spans="1:8" x14ac:dyDescent="0.3">
      <c r="A554" s="15">
        <v>549</v>
      </c>
      <c r="B554" s="21">
        <v>45086</v>
      </c>
      <c r="C554" s="15">
        <v>14853</v>
      </c>
      <c r="F554" s="19">
        <v>549</v>
      </c>
      <c r="G554" s="22">
        <v>45382</v>
      </c>
      <c r="H554" s="31">
        <f t="shared" si="9"/>
        <v>15873</v>
      </c>
    </row>
    <row r="555" spans="1:8" x14ac:dyDescent="0.3">
      <c r="A555" s="15">
        <v>550</v>
      </c>
      <c r="B555" s="21">
        <v>45085</v>
      </c>
      <c r="C555" s="15">
        <v>14903</v>
      </c>
      <c r="F555" s="19">
        <v>550</v>
      </c>
      <c r="G555" s="22">
        <v>45381</v>
      </c>
      <c r="H555" s="31">
        <f t="shared" si="9"/>
        <v>15873</v>
      </c>
    </row>
    <row r="556" spans="1:8" x14ac:dyDescent="0.3">
      <c r="A556" s="15">
        <v>551</v>
      </c>
      <c r="B556" s="21">
        <v>45084</v>
      </c>
      <c r="C556" s="15">
        <v>14875</v>
      </c>
      <c r="F556" s="19">
        <v>551</v>
      </c>
      <c r="G556" s="22">
        <v>45380</v>
      </c>
      <c r="H556" s="31">
        <f t="shared" si="9"/>
        <v>15873</v>
      </c>
    </row>
    <row r="557" spans="1:8" x14ac:dyDescent="0.3">
      <c r="A557" s="15">
        <v>552</v>
      </c>
      <c r="B557" s="21">
        <v>45083</v>
      </c>
      <c r="C557" s="15">
        <v>14839</v>
      </c>
      <c r="F557" s="19">
        <v>552</v>
      </c>
      <c r="G557" s="22">
        <v>45379</v>
      </c>
      <c r="H557" s="31">
        <f t="shared" si="9"/>
        <v>15873</v>
      </c>
    </row>
    <row r="558" spans="1:8" x14ac:dyDescent="0.3">
      <c r="A558" s="15">
        <v>553</v>
      </c>
      <c r="B558" s="21">
        <v>45082</v>
      </c>
      <c r="C558" s="15">
        <v>14888</v>
      </c>
      <c r="F558" s="19">
        <v>553</v>
      </c>
      <c r="G558" s="22">
        <v>45378</v>
      </c>
      <c r="H558" s="31">
        <f t="shared" si="9"/>
        <v>15853</v>
      </c>
    </row>
    <row r="559" spans="1:8" x14ac:dyDescent="0.3">
      <c r="A559" s="15">
        <v>554</v>
      </c>
      <c r="B559" s="21">
        <v>45077</v>
      </c>
      <c r="C559" s="15">
        <v>15003</v>
      </c>
      <c r="F559" s="19">
        <v>554</v>
      </c>
      <c r="G559" s="22">
        <v>45377</v>
      </c>
      <c r="H559" s="31">
        <f t="shared" si="9"/>
        <v>15797</v>
      </c>
    </row>
    <row r="560" spans="1:8" x14ac:dyDescent="0.3">
      <c r="A560" s="15">
        <v>555</v>
      </c>
      <c r="B560" s="21">
        <v>45076</v>
      </c>
      <c r="C560" s="15">
        <v>14969</v>
      </c>
      <c r="F560" s="19">
        <v>555</v>
      </c>
      <c r="G560" s="22">
        <v>45376</v>
      </c>
      <c r="H560" s="31">
        <f t="shared" si="9"/>
        <v>15795</v>
      </c>
    </row>
    <row r="561" spans="1:8" x14ac:dyDescent="0.3">
      <c r="A561" s="15">
        <v>556</v>
      </c>
      <c r="B561" s="21">
        <v>45075</v>
      </c>
      <c r="C561" s="15">
        <v>14973</v>
      </c>
      <c r="F561" s="19">
        <v>556</v>
      </c>
      <c r="G561" s="22">
        <v>45375</v>
      </c>
      <c r="H561" s="31">
        <f t="shared" si="9"/>
        <v>15773</v>
      </c>
    </row>
    <row r="562" spans="1:8" x14ac:dyDescent="0.3">
      <c r="A562" s="15">
        <v>557</v>
      </c>
      <c r="B562" s="21">
        <v>45072</v>
      </c>
      <c r="C562" s="15">
        <v>14959</v>
      </c>
      <c r="F562" s="19">
        <v>557</v>
      </c>
      <c r="G562" s="22">
        <v>45374</v>
      </c>
      <c r="H562" s="31">
        <f t="shared" si="9"/>
        <v>15773</v>
      </c>
    </row>
    <row r="563" spans="1:8" x14ac:dyDescent="0.3">
      <c r="A563" s="15">
        <v>558</v>
      </c>
      <c r="B563" s="21">
        <v>45071</v>
      </c>
      <c r="C563" s="15">
        <v>14952</v>
      </c>
      <c r="F563" s="19">
        <v>558</v>
      </c>
      <c r="G563" s="22">
        <v>45373</v>
      </c>
      <c r="H563" s="31">
        <f t="shared" si="9"/>
        <v>15773</v>
      </c>
    </row>
    <row r="564" spans="1:8" x14ac:dyDescent="0.3">
      <c r="A564" s="15">
        <v>559</v>
      </c>
      <c r="B564" s="21">
        <v>45070</v>
      </c>
      <c r="C564" s="15">
        <v>14905</v>
      </c>
      <c r="F564" s="19">
        <v>559</v>
      </c>
      <c r="G564" s="22">
        <v>45372</v>
      </c>
      <c r="H564" s="31">
        <f t="shared" si="9"/>
        <v>15662</v>
      </c>
    </row>
    <row r="565" spans="1:8" x14ac:dyDescent="0.3">
      <c r="A565" s="15">
        <v>560</v>
      </c>
      <c r="B565" s="21">
        <v>45069</v>
      </c>
      <c r="C565" s="15">
        <v>14878</v>
      </c>
      <c r="F565" s="19">
        <v>560</v>
      </c>
      <c r="G565" s="22">
        <v>45371</v>
      </c>
      <c r="H565" s="31">
        <f t="shared" si="9"/>
        <v>15727</v>
      </c>
    </row>
    <row r="566" spans="1:8" x14ac:dyDescent="0.3">
      <c r="A566" s="15">
        <v>561</v>
      </c>
      <c r="B566" s="21">
        <v>45068</v>
      </c>
      <c r="C566" s="15">
        <v>14897</v>
      </c>
      <c r="F566" s="19">
        <v>561</v>
      </c>
      <c r="G566" s="22">
        <v>45370</v>
      </c>
      <c r="H566" s="31">
        <f t="shared" si="9"/>
        <v>15712</v>
      </c>
    </row>
    <row r="567" spans="1:8" x14ac:dyDescent="0.3">
      <c r="A567" s="15">
        <v>562</v>
      </c>
      <c r="B567" s="21">
        <v>45065</v>
      </c>
      <c r="C567" s="15">
        <v>14936</v>
      </c>
      <c r="F567" s="19">
        <v>562</v>
      </c>
      <c r="G567" s="22">
        <v>45369</v>
      </c>
      <c r="H567" s="31">
        <f t="shared" si="9"/>
        <v>15672</v>
      </c>
    </row>
    <row r="568" spans="1:8" x14ac:dyDescent="0.3">
      <c r="A568" s="15">
        <v>563</v>
      </c>
      <c r="B568" s="21">
        <v>45063</v>
      </c>
      <c r="C568" s="15">
        <v>14875</v>
      </c>
      <c r="F568" s="19">
        <v>563</v>
      </c>
      <c r="G568" s="22">
        <v>45368</v>
      </c>
      <c r="H568" s="31">
        <f t="shared" si="9"/>
        <v>15624</v>
      </c>
    </row>
    <row r="569" spans="1:8" x14ac:dyDescent="0.3">
      <c r="A569" s="15">
        <v>564</v>
      </c>
      <c r="B569" s="21">
        <v>45062</v>
      </c>
      <c r="C569" s="15">
        <v>14810</v>
      </c>
      <c r="F569" s="19">
        <v>564</v>
      </c>
      <c r="G569" s="22">
        <v>45367</v>
      </c>
      <c r="H569" s="31">
        <f t="shared" si="9"/>
        <v>15624</v>
      </c>
    </row>
    <row r="570" spans="1:8" x14ac:dyDescent="0.3">
      <c r="A570" s="15">
        <v>565</v>
      </c>
      <c r="B570" s="21">
        <v>45061</v>
      </c>
      <c r="C570" s="15">
        <v>14812</v>
      </c>
      <c r="F570" s="19">
        <v>565</v>
      </c>
      <c r="G570" s="22">
        <v>45366</v>
      </c>
      <c r="H570" s="31">
        <f t="shared" si="9"/>
        <v>15624</v>
      </c>
    </row>
    <row r="571" spans="1:8" x14ac:dyDescent="0.3">
      <c r="A571" s="15">
        <v>566</v>
      </c>
      <c r="B571" s="21">
        <v>45058</v>
      </c>
      <c r="C571" s="15">
        <v>14752</v>
      </c>
      <c r="F571" s="19">
        <v>566</v>
      </c>
      <c r="G571" s="22">
        <v>45365</v>
      </c>
      <c r="H571" s="31">
        <f t="shared" si="9"/>
        <v>15582</v>
      </c>
    </row>
    <row r="572" spans="1:8" x14ac:dyDescent="0.3">
      <c r="A572" s="15">
        <v>567</v>
      </c>
      <c r="B572" s="21">
        <v>45057</v>
      </c>
      <c r="C572" s="15">
        <v>14722</v>
      </c>
      <c r="F572" s="19">
        <v>567</v>
      </c>
      <c r="G572" s="22">
        <v>45364</v>
      </c>
      <c r="H572" s="31">
        <f t="shared" si="9"/>
        <v>15576</v>
      </c>
    </row>
    <row r="573" spans="1:8" x14ac:dyDescent="0.3">
      <c r="A573" s="15">
        <v>568</v>
      </c>
      <c r="B573" s="21">
        <v>45056</v>
      </c>
      <c r="C573" s="15">
        <v>14746</v>
      </c>
      <c r="F573" s="19">
        <v>568</v>
      </c>
      <c r="G573" s="22">
        <v>45363</v>
      </c>
      <c r="H573" s="31">
        <f t="shared" si="9"/>
        <v>15603</v>
      </c>
    </row>
    <row r="574" spans="1:8" x14ac:dyDescent="0.3">
      <c r="A574" s="15">
        <v>569</v>
      </c>
      <c r="B574" s="21">
        <v>45055</v>
      </c>
      <c r="C574" s="15">
        <v>14757</v>
      </c>
      <c r="F574" s="19">
        <v>569</v>
      </c>
      <c r="G574" s="22">
        <v>45362</v>
      </c>
      <c r="H574" s="31">
        <f t="shared" si="9"/>
        <v>15603</v>
      </c>
    </row>
    <row r="575" spans="1:8" x14ac:dyDescent="0.3">
      <c r="A575" s="15">
        <v>570</v>
      </c>
      <c r="B575" s="21">
        <v>45054</v>
      </c>
      <c r="C575" s="15">
        <v>14709</v>
      </c>
      <c r="F575" s="19">
        <v>570</v>
      </c>
      <c r="G575" s="22">
        <v>45361</v>
      </c>
      <c r="H575" s="31">
        <f t="shared" si="9"/>
        <v>15603</v>
      </c>
    </row>
    <row r="576" spans="1:8" x14ac:dyDescent="0.3">
      <c r="A576" s="15">
        <v>571</v>
      </c>
      <c r="B576" s="21">
        <v>45051</v>
      </c>
      <c r="C576" s="15">
        <v>14674</v>
      </c>
      <c r="F576" s="19">
        <v>571</v>
      </c>
      <c r="G576" s="22">
        <v>45360</v>
      </c>
      <c r="H576" s="31">
        <f t="shared" si="9"/>
        <v>15603</v>
      </c>
    </row>
    <row r="577" spans="1:8" x14ac:dyDescent="0.3">
      <c r="A577" s="15">
        <v>572</v>
      </c>
      <c r="B577" s="21">
        <v>45050</v>
      </c>
      <c r="C577" s="15">
        <v>14632</v>
      </c>
      <c r="F577" s="19">
        <v>572</v>
      </c>
      <c r="G577" s="22">
        <v>45359</v>
      </c>
      <c r="H577" s="31">
        <f t="shared" si="9"/>
        <v>15603</v>
      </c>
    </row>
    <row r="578" spans="1:8" x14ac:dyDescent="0.3">
      <c r="A578" s="15">
        <v>573</v>
      </c>
      <c r="B578" s="21">
        <v>45049</v>
      </c>
      <c r="C578" s="15">
        <v>14706</v>
      </c>
      <c r="F578" s="19">
        <v>573</v>
      </c>
      <c r="G578" s="22">
        <v>45358</v>
      </c>
      <c r="H578" s="31">
        <f t="shared" si="9"/>
        <v>15658</v>
      </c>
    </row>
    <row r="579" spans="1:8" x14ac:dyDescent="0.3">
      <c r="A579" s="15">
        <v>574</v>
      </c>
      <c r="B579" s="21">
        <v>45048</v>
      </c>
      <c r="C579" s="15">
        <v>14703</v>
      </c>
      <c r="F579" s="19">
        <v>574</v>
      </c>
      <c r="G579" s="22">
        <v>45357</v>
      </c>
      <c r="H579" s="31">
        <f t="shared" si="9"/>
        <v>15723</v>
      </c>
    </row>
    <row r="580" spans="1:8" x14ac:dyDescent="0.3">
      <c r="A580" s="15">
        <v>575</v>
      </c>
      <c r="B580" s="21">
        <v>45044</v>
      </c>
      <c r="C580" s="15">
        <v>14661</v>
      </c>
      <c r="F580" s="19">
        <v>575</v>
      </c>
      <c r="G580" s="22">
        <v>45356</v>
      </c>
      <c r="H580" s="31">
        <f t="shared" si="9"/>
        <v>15756</v>
      </c>
    </row>
    <row r="581" spans="1:8" x14ac:dyDescent="0.3">
      <c r="A581" s="15">
        <v>576</v>
      </c>
      <c r="B581" s="21">
        <v>45043</v>
      </c>
      <c r="C581" s="15">
        <v>14751</v>
      </c>
      <c r="F581" s="19">
        <v>576</v>
      </c>
      <c r="G581" s="22">
        <v>45355</v>
      </c>
      <c r="H581" s="31">
        <f t="shared" si="9"/>
        <v>15723</v>
      </c>
    </row>
    <row r="582" spans="1:8" x14ac:dyDescent="0.3">
      <c r="A582" s="15">
        <v>577</v>
      </c>
      <c r="B582" s="21">
        <v>45042</v>
      </c>
      <c r="C582" s="15">
        <v>14882</v>
      </c>
      <c r="F582" s="19">
        <v>577</v>
      </c>
      <c r="G582" s="22">
        <v>45354</v>
      </c>
      <c r="H582" s="31">
        <f t="shared" si="9"/>
        <v>15696</v>
      </c>
    </row>
    <row r="583" spans="1:8" x14ac:dyDescent="0.3">
      <c r="A583" s="15">
        <v>578</v>
      </c>
      <c r="B583" s="21">
        <v>45034</v>
      </c>
      <c r="C583" s="15">
        <v>14855</v>
      </c>
      <c r="F583" s="19">
        <v>578</v>
      </c>
      <c r="G583" s="22">
        <v>45353</v>
      </c>
      <c r="H583" s="31">
        <f t="shared" ref="H583:H646" si="10">_xlfn.XLOOKUP(G583,$B$6:$B$656,$C$6:$C$656,,-1)</f>
        <v>15696</v>
      </c>
    </row>
    <row r="584" spans="1:8" x14ac:dyDescent="0.3">
      <c r="A584" s="15">
        <v>579</v>
      </c>
      <c r="B584" s="21">
        <v>45033</v>
      </c>
      <c r="C584" s="15">
        <v>14773</v>
      </c>
      <c r="F584" s="19">
        <v>579</v>
      </c>
      <c r="G584" s="22">
        <v>45352</v>
      </c>
      <c r="H584" s="31">
        <f t="shared" si="10"/>
        <v>15696</v>
      </c>
    </row>
    <row r="585" spans="1:8" x14ac:dyDescent="0.3">
      <c r="A585" s="15">
        <v>580</v>
      </c>
      <c r="B585" s="21">
        <v>45030</v>
      </c>
      <c r="C585" s="15">
        <v>14666</v>
      </c>
      <c r="F585" s="19">
        <v>580</v>
      </c>
      <c r="G585" s="22">
        <v>45351</v>
      </c>
      <c r="H585" s="31">
        <f t="shared" si="10"/>
        <v>15715</v>
      </c>
    </row>
    <row r="586" spans="1:8" x14ac:dyDescent="0.3">
      <c r="A586" s="15">
        <v>581</v>
      </c>
      <c r="B586" s="21">
        <v>45029</v>
      </c>
      <c r="C586" s="15">
        <v>14792</v>
      </c>
      <c r="F586" s="19">
        <v>581</v>
      </c>
      <c r="G586" s="22">
        <v>45350</v>
      </c>
      <c r="H586" s="31">
        <f t="shared" si="10"/>
        <v>15673</v>
      </c>
    </row>
    <row r="587" spans="1:8" x14ac:dyDescent="0.3">
      <c r="A587" s="15">
        <v>582</v>
      </c>
      <c r="B587" s="21">
        <v>45028</v>
      </c>
      <c r="C587" s="15">
        <v>14866</v>
      </c>
      <c r="F587" s="19">
        <v>582</v>
      </c>
      <c r="G587" s="22">
        <v>45349</v>
      </c>
      <c r="H587" s="31">
        <f t="shared" si="10"/>
        <v>15655</v>
      </c>
    </row>
    <row r="588" spans="1:8" x14ac:dyDescent="0.3">
      <c r="A588" s="15">
        <v>583</v>
      </c>
      <c r="B588" s="21">
        <v>45027</v>
      </c>
      <c r="C588" s="15">
        <v>14888</v>
      </c>
      <c r="F588" s="19">
        <v>583</v>
      </c>
      <c r="G588" s="22">
        <v>45348</v>
      </c>
      <c r="H588" s="31">
        <f t="shared" si="10"/>
        <v>15635</v>
      </c>
    </row>
    <row r="589" spans="1:8" x14ac:dyDescent="0.3">
      <c r="A589" s="15">
        <v>584</v>
      </c>
      <c r="B589" s="21">
        <v>45026</v>
      </c>
      <c r="C589" s="15">
        <v>14905</v>
      </c>
      <c r="F589" s="19">
        <v>584</v>
      </c>
      <c r="G589" s="22">
        <v>45347</v>
      </c>
      <c r="H589" s="31">
        <f t="shared" si="10"/>
        <v>15589</v>
      </c>
    </row>
    <row r="590" spans="1:8" x14ac:dyDescent="0.3">
      <c r="A590" s="15">
        <v>585</v>
      </c>
      <c r="B590" s="21">
        <v>45022</v>
      </c>
      <c r="C590" s="15">
        <v>14943</v>
      </c>
      <c r="F590" s="19">
        <v>585</v>
      </c>
      <c r="G590" s="22">
        <v>45346</v>
      </c>
      <c r="H590" s="31">
        <f t="shared" si="10"/>
        <v>15589</v>
      </c>
    </row>
    <row r="591" spans="1:8" x14ac:dyDescent="0.3">
      <c r="A591" s="15">
        <v>586</v>
      </c>
      <c r="B591" s="21">
        <v>45021</v>
      </c>
      <c r="C591" s="15">
        <v>14933</v>
      </c>
      <c r="F591" s="19">
        <v>586</v>
      </c>
      <c r="G591" s="22">
        <v>45345</v>
      </c>
      <c r="H591" s="31">
        <f t="shared" si="10"/>
        <v>15589</v>
      </c>
    </row>
    <row r="592" spans="1:8" x14ac:dyDescent="0.3">
      <c r="A592" s="15">
        <v>587</v>
      </c>
      <c r="B592" s="21">
        <v>45020</v>
      </c>
      <c r="C592" s="15">
        <v>14913</v>
      </c>
      <c r="F592" s="19">
        <v>587</v>
      </c>
      <c r="G592" s="22">
        <v>45344</v>
      </c>
      <c r="H592" s="31">
        <f t="shared" si="10"/>
        <v>15630</v>
      </c>
    </row>
    <row r="593" spans="1:8" x14ac:dyDescent="0.3">
      <c r="A593" s="15">
        <v>588</v>
      </c>
      <c r="B593" s="21">
        <v>45019</v>
      </c>
      <c r="C593" s="15">
        <v>14990</v>
      </c>
      <c r="F593" s="19">
        <v>588</v>
      </c>
      <c r="G593" s="22">
        <v>45343</v>
      </c>
      <c r="H593" s="31">
        <f t="shared" si="10"/>
        <v>15658</v>
      </c>
    </row>
    <row r="594" spans="1:8" x14ac:dyDescent="0.3">
      <c r="A594" s="15">
        <v>589</v>
      </c>
      <c r="B594" s="21">
        <v>45016</v>
      </c>
      <c r="C594" s="15">
        <v>14977</v>
      </c>
      <c r="F594" s="19">
        <v>589</v>
      </c>
      <c r="G594" s="22">
        <v>45342</v>
      </c>
      <c r="H594" s="31">
        <f t="shared" si="10"/>
        <v>15659</v>
      </c>
    </row>
    <row r="595" spans="1:8" x14ac:dyDescent="0.3">
      <c r="A595" s="15">
        <v>590</v>
      </c>
      <c r="B595" s="21">
        <v>45015</v>
      </c>
      <c r="C595" s="15">
        <v>15062</v>
      </c>
      <c r="F595" s="19">
        <v>590</v>
      </c>
      <c r="G595" s="22">
        <v>45341</v>
      </c>
      <c r="H595" s="31">
        <f t="shared" si="10"/>
        <v>15630</v>
      </c>
    </row>
    <row r="596" spans="1:8" x14ac:dyDescent="0.3">
      <c r="A596" s="15">
        <v>591</v>
      </c>
      <c r="B596" s="21">
        <v>45014</v>
      </c>
      <c r="C596" s="15">
        <v>15094</v>
      </c>
      <c r="F596" s="19">
        <v>591</v>
      </c>
      <c r="G596" s="22">
        <v>45340</v>
      </c>
      <c r="H596" s="31">
        <f t="shared" si="10"/>
        <v>15654</v>
      </c>
    </row>
    <row r="597" spans="1:8" x14ac:dyDescent="0.3">
      <c r="A597" s="15">
        <v>592</v>
      </c>
      <c r="B597" s="21">
        <v>45013</v>
      </c>
      <c r="C597" s="15">
        <v>15088</v>
      </c>
      <c r="F597" s="19">
        <v>592</v>
      </c>
      <c r="G597" s="22">
        <v>45339</v>
      </c>
      <c r="H597" s="31">
        <f t="shared" si="10"/>
        <v>15654</v>
      </c>
    </row>
    <row r="598" spans="1:8" x14ac:dyDescent="0.3">
      <c r="A598" s="15">
        <v>593</v>
      </c>
      <c r="B598" s="21">
        <v>45012</v>
      </c>
      <c r="C598" s="15">
        <v>15174</v>
      </c>
      <c r="F598" s="19">
        <v>593</v>
      </c>
      <c r="G598" s="22">
        <v>45338</v>
      </c>
      <c r="H598" s="31">
        <f t="shared" si="10"/>
        <v>15654</v>
      </c>
    </row>
    <row r="599" spans="1:8" x14ac:dyDescent="0.3">
      <c r="A599" s="15">
        <v>594</v>
      </c>
      <c r="B599" s="21">
        <v>45009</v>
      </c>
      <c r="C599" s="15">
        <v>15189</v>
      </c>
      <c r="F599" s="19">
        <v>594</v>
      </c>
      <c r="G599" s="22">
        <v>45337</v>
      </c>
      <c r="H599" s="31">
        <f t="shared" si="10"/>
        <v>15606</v>
      </c>
    </row>
    <row r="600" spans="1:8" x14ac:dyDescent="0.3">
      <c r="A600" s="15">
        <v>595</v>
      </c>
      <c r="B600" s="21">
        <v>45006</v>
      </c>
      <c r="C600" s="15">
        <v>15349</v>
      </c>
      <c r="F600" s="19">
        <v>595</v>
      </c>
      <c r="G600" s="22">
        <v>45336</v>
      </c>
      <c r="H600" s="31">
        <f t="shared" si="10"/>
        <v>15585</v>
      </c>
    </row>
    <row r="601" spans="1:8" x14ac:dyDescent="0.3">
      <c r="A601" s="15">
        <v>596</v>
      </c>
      <c r="B601" s="21">
        <v>45005</v>
      </c>
      <c r="C601" s="15">
        <v>15372</v>
      </c>
      <c r="F601" s="19">
        <v>596</v>
      </c>
      <c r="G601" s="22">
        <v>45335</v>
      </c>
      <c r="H601" s="31">
        <f t="shared" si="10"/>
        <v>15585</v>
      </c>
    </row>
    <row r="602" spans="1:8" x14ac:dyDescent="0.3">
      <c r="A602" s="15">
        <v>597</v>
      </c>
      <c r="B602" s="21">
        <v>45002</v>
      </c>
      <c r="C602" s="15">
        <v>15364</v>
      </c>
      <c r="F602" s="19">
        <v>597</v>
      </c>
      <c r="G602" s="22">
        <v>45334</v>
      </c>
      <c r="H602" s="31">
        <f t="shared" si="10"/>
        <v>15612</v>
      </c>
    </row>
    <row r="603" spans="1:8" x14ac:dyDescent="0.3">
      <c r="A603" s="15">
        <v>598</v>
      </c>
      <c r="B603" s="21">
        <v>45001</v>
      </c>
      <c r="C603" s="15">
        <v>15418</v>
      </c>
      <c r="F603" s="19">
        <v>598</v>
      </c>
      <c r="G603" s="22">
        <v>45333</v>
      </c>
      <c r="H603" s="31">
        <f t="shared" si="10"/>
        <v>15685</v>
      </c>
    </row>
    <row r="604" spans="1:8" x14ac:dyDescent="0.3">
      <c r="A604" s="15">
        <v>599</v>
      </c>
      <c r="B604" s="21">
        <v>45000</v>
      </c>
      <c r="C604" s="15">
        <v>15365</v>
      </c>
      <c r="F604" s="19">
        <v>599</v>
      </c>
      <c r="G604" s="22">
        <v>45332</v>
      </c>
      <c r="H604" s="31">
        <f t="shared" si="10"/>
        <v>15685</v>
      </c>
    </row>
    <row r="605" spans="1:8" x14ac:dyDescent="0.3">
      <c r="A605" s="15">
        <v>600</v>
      </c>
      <c r="B605" s="21">
        <v>44999</v>
      </c>
      <c r="C605" s="15">
        <v>15380</v>
      </c>
      <c r="F605" s="19">
        <v>600</v>
      </c>
      <c r="G605" s="22">
        <v>45331</v>
      </c>
      <c r="H605" s="31">
        <f t="shared" si="10"/>
        <v>15685</v>
      </c>
    </row>
    <row r="606" spans="1:8" x14ac:dyDescent="0.3">
      <c r="A606" s="15">
        <v>601</v>
      </c>
      <c r="B606" s="21">
        <v>44998</v>
      </c>
      <c r="C606" s="15">
        <v>15374</v>
      </c>
      <c r="F606" s="19">
        <v>601</v>
      </c>
      <c r="G606" s="22">
        <v>45330</v>
      </c>
      <c r="H606" s="31">
        <f t="shared" si="10"/>
        <v>15685</v>
      </c>
    </row>
    <row r="607" spans="1:8" x14ac:dyDescent="0.3">
      <c r="A607" s="15">
        <v>602</v>
      </c>
      <c r="B607" s="21">
        <v>44995</v>
      </c>
      <c r="C607" s="15">
        <v>15468</v>
      </c>
      <c r="F607" s="19">
        <v>602</v>
      </c>
      <c r="G607" s="22">
        <v>45329</v>
      </c>
      <c r="H607" s="31">
        <f t="shared" si="10"/>
        <v>15685</v>
      </c>
    </row>
    <row r="608" spans="1:8" x14ac:dyDescent="0.3">
      <c r="A608" s="15">
        <v>603</v>
      </c>
      <c r="B608" s="21">
        <v>44994</v>
      </c>
      <c r="C608" s="15">
        <v>15438</v>
      </c>
      <c r="F608" s="19">
        <v>603</v>
      </c>
      <c r="G608" s="22">
        <v>45328</v>
      </c>
      <c r="H608" s="31">
        <f t="shared" si="10"/>
        <v>15734</v>
      </c>
    </row>
    <row r="609" spans="1:8" x14ac:dyDescent="0.3">
      <c r="A609" s="15">
        <v>604</v>
      </c>
      <c r="B609" s="21">
        <v>44993</v>
      </c>
      <c r="C609" s="15">
        <v>15451</v>
      </c>
      <c r="F609" s="19">
        <v>604</v>
      </c>
      <c r="G609" s="22">
        <v>45327</v>
      </c>
      <c r="H609" s="31">
        <f t="shared" si="10"/>
        <v>15705</v>
      </c>
    </row>
    <row r="610" spans="1:8" x14ac:dyDescent="0.3">
      <c r="A610" s="15">
        <v>605</v>
      </c>
      <c r="B610" s="21">
        <v>44992</v>
      </c>
      <c r="C610" s="15">
        <v>15359</v>
      </c>
      <c r="F610" s="19">
        <v>605</v>
      </c>
      <c r="G610" s="22">
        <v>45326</v>
      </c>
      <c r="H610" s="31">
        <f t="shared" si="10"/>
        <v>15688</v>
      </c>
    </row>
    <row r="611" spans="1:8" x14ac:dyDescent="0.3">
      <c r="A611" s="15">
        <v>606</v>
      </c>
      <c r="B611" s="21">
        <v>44991</v>
      </c>
      <c r="C611" s="15">
        <v>15301</v>
      </c>
      <c r="F611" s="19">
        <v>606</v>
      </c>
      <c r="G611" s="22">
        <v>45325</v>
      </c>
      <c r="H611" s="31">
        <f t="shared" si="10"/>
        <v>15688</v>
      </c>
    </row>
    <row r="612" spans="1:8" x14ac:dyDescent="0.3">
      <c r="A612" s="15">
        <v>607</v>
      </c>
      <c r="B612" s="21">
        <v>44988</v>
      </c>
      <c r="C612" s="15">
        <v>15306</v>
      </c>
      <c r="F612" s="19">
        <v>607</v>
      </c>
      <c r="G612" s="22">
        <v>45324</v>
      </c>
      <c r="H612" s="31">
        <f t="shared" si="10"/>
        <v>15688</v>
      </c>
    </row>
    <row r="613" spans="1:8" x14ac:dyDescent="0.3">
      <c r="A613" s="15">
        <v>608</v>
      </c>
      <c r="B613" s="21">
        <v>44987</v>
      </c>
      <c r="C613" s="15">
        <v>15273</v>
      </c>
      <c r="F613" s="19">
        <v>608</v>
      </c>
      <c r="G613" s="22">
        <v>45323</v>
      </c>
      <c r="H613" s="31">
        <f t="shared" si="10"/>
        <v>15775</v>
      </c>
    </row>
    <row r="614" spans="1:8" x14ac:dyDescent="0.3">
      <c r="A614" s="15">
        <v>609</v>
      </c>
      <c r="B614" s="21">
        <v>44986</v>
      </c>
      <c r="C614" s="15">
        <v>15250</v>
      </c>
      <c r="F614" s="19">
        <v>609</v>
      </c>
      <c r="G614" s="22">
        <v>45322</v>
      </c>
      <c r="H614" s="31">
        <f t="shared" si="10"/>
        <v>15803</v>
      </c>
    </row>
    <row r="615" spans="1:8" x14ac:dyDescent="0.3">
      <c r="A615" s="15">
        <v>610</v>
      </c>
      <c r="B615" s="21">
        <v>44985</v>
      </c>
      <c r="C615" s="15">
        <v>15240</v>
      </c>
      <c r="F615" s="19">
        <v>610</v>
      </c>
      <c r="G615" s="22">
        <v>45321</v>
      </c>
      <c r="H615" s="31">
        <f t="shared" si="10"/>
        <v>15796</v>
      </c>
    </row>
    <row r="616" spans="1:8" x14ac:dyDescent="0.3">
      <c r="A616" s="15">
        <v>611</v>
      </c>
      <c r="B616" s="21">
        <v>44984</v>
      </c>
      <c r="C616" s="15">
        <v>15274</v>
      </c>
      <c r="F616" s="19">
        <v>611</v>
      </c>
      <c r="G616" s="22">
        <v>45320</v>
      </c>
      <c r="H616" s="31">
        <f t="shared" si="10"/>
        <v>15825</v>
      </c>
    </row>
    <row r="617" spans="1:8" x14ac:dyDescent="0.3">
      <c r="A617" s="15">
        <v>612</v>
      </c>
      <c r="B617" s="21">
        <v>44981</v>
      </c>
      <c r="C617" s="15">
        <v>15216</v>
      </c>
      <c r="F617" s="19">
        <v>612</v>
      </c>
      <c r="G617" s="22">
        <v>45319</v>
      </c>
      <c r="H617" s="31">
        <f t="shared" si="10"/>
        <v>15829</v>
      </c>
    </row>
    <row r="618" spans="1:8" x14ac:dyDescent="0.3">
      <c r="A618" s="15">
        <v>613</v>
      </c>
      <c r="B618" s="21">
        <v>44980</v>
      </c>
      <c r="C618" s="15">
        <v>15187</v>
      </c>
      <c r="F618" s="19">
        <v>613</v>
      </c>
      <c r="G618" s="22">
        <v>45318</v>
      </c>
      <c r="H618" s="31">
        <f t="shared" si="10"/>
        <v>15829</v>
      </c>
    </row>
    <row r="619" spans="1:8" x14ac:dyDescent="0.3">
      <c r="A619" s="15">
        <v>614</v>
      </c>
      <c r="B619" s="21">
        <v>44979</v>
      </c>
      <c r="C619" s="15">
        <v>15218</v>
      </c>
      <c r="F619" s="19">
        <v>614</v>
      </c>
      <c r="G619" s="22">
        <v>45317</v>
      </c>
      <c r="H619" s="31">
        <f t="shared" si="10"/>
        <v>15829</v>
      </c>
    </row>
    <row r="620" spans="1:8" x14ac:dyDescent="0.3">
      <c r="A620" s="15">
        <v>615</v>
      </c>
      <c r="B620" s="21">
        <v>44978</v>
      </c>
      <c r="C620" s="15">
        <v>15179</v>
      </c>
      <c r="F620" s="19">
        <v>615</v>
      </c>
      <c r="G620" s="22">
        <v>45316</v>
      </c>
      <c r="H620" s="31">
        <f t="shared" si="10"/>
        <v>15767</v>
      </c>
    </row>
    <row r="621" spans="1:8" x14ac:dyDescent="0.3">
      <c r="A621" s="15">
        <v>616</v>
      </c>
      <c r="B621" s="21">
        <v>44977</v>
      </c>
      <c r="C621" s="15">
        <v>15168</v>
      </c>
      <c r="F621" s="19">
        <v>616</v>
      </c>
      <c r="G621" s="22">
        <v>45315</v>
      </c>
      <c r="H621" s="31">
        <f t="shared" si="10"/>
        <v>15719</v>
      </c>
    </row>
    <row r="622" spans="1:8" x14ac:dyDescent="0.3">
      <c r="A622" s="15">
        <v>617</v>
      </c>
      <c r="B622" s="21">
        <v>44974</v>
      </c>
      <c r="C622" s="15">
        <v>15199</v>
      </c>
      <c r="F622" s="19">
        <v>617</v>
      </c>
      <c r="G622" s="22">
        <v>45314</v>
      </c>
      <c r="H622" s="31">
        <f t="shared" si="10"/>
        <v>15656</v>
      </c>
    </row>
    <row r="623" spans="1:8" x14ac:dyDescent="0.3">
      <c r="A623" s="15">
        <v>618</v>
      </c>
      <c r="B623" s="21">
        <v>44973</v>
      </c>
      <c r="C623" s="15">
        <v>15176</v>
      </c>
      <c r="F623" s="19">
        <v>618</v>
      </c>
      <c r="G623" s="22">
        <v>45313</v>
      </c>
      <c r="H623" s="31">
        <f t="shared" si="10"/>
        <v>15627</v>
      </c>
    </row>
    <row r="624" spans="1:8" x14ac:dyDescent="0.3">
      <c r="A624" s="15">
        <v>619</v>
      </c>
      <c r="B624" s="21">
        <v>44972</v>
      </c>
      <c r="C624" s="15">
        <v>15194</v>
      </c>
      <c r="F624" s="19">
        <v>619</v>
      </c>
      <c r="G624" s="22">
        <v>45312</v>
      </c>
      <c r="H624" s="31">
        <f t="shared" si="10"/>
        <v>15628</v>
      </c>
    </row>
    <row r="625" spans="1:8" x14ac:dyDescent="0.3">
      <c r="A625" s="15">
        <v>620</v>
      </c>
      <c r="B625" s="21">
        <v>44971</v>
      </c>
      <c r="C625" s="15">
        <v>15168</v>
      </c>
      <c r="F625" s="19">
        <v>620</v>
      </c>
      <c r="G625" s="22">
        <v>45311</v>
      </c>
      <c r="H625" s="31">
        <f t="shared" si="10"/>
        <v>15628</v>
      </c>
    </row>
    <row r="626" spans="1:8" x14ac:dyDescent="0.3">
      <c r="A626" s="15">
        <v>621</v>
      </c>
      <c r="B626" s="21">
        <v>44970</v>
      </c>
      <c r="C626" s="15">
        <v>15216</v>
      </c>
      <c r="F626" s="19">
        <v>621</v>
      </c>
      <c r="G626" s="22">
        <v>45310</v>
      </c>
      <c r="H626" s="31">
        <f t="shared" si="10"/>
        <v>15628</v>
      </c>
    </row>
    <row r="627" spans="1:8" x14ac:dyDescent="0.3">
      <c r="A627" s="15">
        <v>622</v>
      </c>
      <c r="B627" s="21">
        <v>44967</v>
      </c>
      <c r="C627" s="15">
        <v>15140</v>
      </c>
      <c r="F627" s="19">
        <v>622</v>
      </c>
      <c r="G627" s="22">
        <v>45309</v>
      </c>
      <c r="H627" s="31">
        <f t="shared" si="10"/>
        <v>15630</v>
      </c>
    </row>
    <row r="628" spans="1:8" x14ac:dyDescent="0.3">
      <c r="A628" s="15">
        <v>623</v>
      </c>
      <c r="B628" s="21">
        <v>44966</v>
      </c>
      <c r="C628" s="15">
        <v>15120</v>
      </c>
      <c r="F628" s="19">
        <v>623</v>
      </c>
      <c r="G628" s="22">
        <v>45308</v>
      </c>
      <c r="H628" s="31">
        <f t="shared" si="10"/>
        <v>15639</v>
      </c>
    </row>
    <row r="629" spans="1:8" x14ac:dyDescent="0.3">
      <c r="A629" s="15">
        <v>624</v>
      </c>
      <c r="B629" s="21">
        <v>44965</v>
      </c>
      <c r="C629" s="15">
        <v>15122</v>
      </c>
      <c r="F629" s="19">
        <v>624</v>
      </c>
      <c r="G629" s="22">
        <v>45307</v>
      </c>
      <c r="H629" s="31">
        <f t="shared" si="10"/>
        <v>15592</v>
      </c>
    </row>
    <row r="630" spans="1:8" x14ac:dyDescent="0.3">
      <c r="A630" s="15">
        <v>625</v>
      </c>
      <c r="B630" s="21">
        <v>44964</v>
      </c>
      <c r="C630" s="15">
        <v>15139</v>
      </c>
      <c r="F630" s="19">
        <v>625</v>
      </c>
      <c r="G630" s="22">
        <v>45306</v>
      </c>
      <c r="H630" s="31">
        <f t="shared" si="10"/>
        <v>15555</v>
      </c>
    </row>
    <row r="631" spans="1:8" x14ac:dyDescent="0.3">
      <c r="A631" s="15">
        <v>626</v>
      </c>
      <c r="B631" s="21">
        <v>44963</v>
      </c>
      <c r="C631" s="15">
        <v>15055</v>
      </c>
      <c r="F631" s="19">
        <v>626</v>
      </c>
      <c r="G631" s="22">
        <v>45305</v>
      </c>
      <c r="H631" s="31">
        <f t="shared" si="10"/>
        <v>15559</v>
      </c>
    </row>
    <row r="632" spans="1:8" x14ac:dyDescent="0.3">
      <c r="A632" s="15">
        <v>627</v>
      </c>
      <c r="B632" s="21">
        <v>44960</v>
      </c>
      <c r="C632" s="15">
        <v>14898</v>
      </c>
      <c r="F632" s="19">
        <v>627</v>
      </c>
      <c r="G632" s="22">
        <v>45304</v>
      </c>
      <c r="H632" s="31">
        <f t="shared" si="10"/>
        <v>15559</v>
      </c>
    </row>
    <row r="633" spans="1:8" x14ac:dyDescent="0.3">
      <c r="A633" s="15">
        <v>628</v>
      </c>
      <c r="B633" s="21">
        <v>44959</v>
      </c>
      <c r="C633" s="15">
        <v>14868</v>
      </c>
      <c r="F633" s="19">
        <v>628</v>
      </c>
      <c r="G633" s="22">
        <v>45303</v>
      </c>
      <c r="H633" s="31">
        <f t="shared" si="10"/>
        <v>15559</v>
      </c>
    </row>
    <row r="634" spans="1:8" x14ac:dyDescent="0.3">
      <c r="A634" s="15">
        <v>629</v>
      </c>
      <c r="B634" s="21">
        <v>44958</v>
      </c>
      <c r="C634" s="15">
        <v>14991</v>
      </c>
      <c r="F634" s="19">
        <v>629</v>
      </c>
      <c r="G634" s="22">
        <v>45302</v>
      </c>
      <c r="H634" s="31">
        <f t="shared" si="10"/>
        <v>15558</v>
      </c>
    </row>
    <row r="635" spans="1:8" x14ac:dyDescent="0.3">
      <c r="A635" s="15">
        <v>630</v>
      </c>
      <c r="B635" s="21">
        <v>44957</v>
      </c>
      <c r="C635" s="15">
        <v>14992</v>
      </c>
      <c r="F635" s="19">
        <v>630</v>
      </c>
      <c r="G635" s="22">
        <v>45301</v>
      </c>
      <c r="H635" s="31">
        <f t="shared" si="10"/>
        <v>15568</v>
      </c>
    </row>
    <row r="636" spans="1:8" x14ac:dyDescent="0.3">
      <c r="A636" s="15">
        <v>631</v>
      </c>
      <c r="B636" s="21">
        <v>44956</v>
      </c>
      <c r="C636" s="15">
        <v>14979</v>
      </c>
      <c r="F636" s="19">
        <v>631</v>
      </c>
      <c r="G636" s="22">
        <v>45300</v>
      </c>
      <c r="H636" s="31">
        <f t="shared" si="10"/>
        <v>15518</v>
      </c>
    </row>
    <row r="637" spans="1:8" x14ac:dyDescent="0.3">
      <c r="A637" s="15">
        <v>632</v>
      </c>
      <c r="B637" s="21">
        <v>44953</v>
      </c>
      <c r="C637" s="15">
        <v>14978</v>
      </c>
      <c r="F637" s="19">
        <v>632</v>
      </c>
      <c r="G637" s="22">
        <v>45299</v>
      </c>
      <c r="H637" s="31">
        <f t="shared" si="10"/>
        <v>15522</v>
      </c>
    </row>
    <row r="638" spans="1:8" x14ac:dyDescent="0.3">
      <c r="A638" s="15">
        <v>633</v>
      </c>
      <c r="B638" s="21">
        <v>44952</v>
      </c>
      <c r="C638" s="15">
        <v>14964</v>
      </c>
      <c r="F638" s="19">
        <v>633</v>
      </c>
      <c r="G638" s="22">
        <v>45298</v>
      </c>
      <c r="H638" s="31">
        <f t="shared" si="10"/>
        <v>15518</v>
      </c>
    </row>
    <row r="639" spans="1:8" x14ac:dyDescent="0.3">
      <c r="A639" s="15">
        <v>634</v>
      </c>
      <c r="B639" s="21">
        <v>44951</v>
      </c>
      <c r="C639" s="15">
        <v>14958</v>
      </c>
      <c r="F639" s="19">
        <v>634</v>
      </c>
      <c r="G639" s="22">
        <v>45297</v>
      </c>
      <c r="H639" s="31">
        <f t="shared" si="10"/>
        <v>15518</v>
      </c>
    </row>
    <row r="640" spans="1:8" x14ac:dyDescent="0.3">
      <c r="A640" s="15">
        <v>635</v>
      </c>
      <c r="B640" s="21">
        <v>44950</v>
      </c>
      <c r="C640" s="15">
        <v>14930</v>
      </c>
      <c r="F640" s="19">
        <v>635</v>
      </c>
      <c r="G640" s="22">
        <v>45296</v>
      </c>
      <c r="H640" s="31">
        <f t="shared" si="10"/>
        <v>15518</v>
      </c>
    </row>
    <row r="641" spans="1:8" x14ac:dyDescent="0.3">
      <c r="A641" s="15">
        <v>636</v>
      </c>
      <c r="B641" s="21">
        <v>44946</v>
      </c>
      <c r="C641" s="15">
        <v>15121</v>
      </c>
      <c r="F641" s="19">
        <v>636</v>
      </c>
      <c r="G641" s="22">
        <v>45295</v>
      </c>
      <c r="H641" s="31">
        <f t="shared" si="10"/>
        <v>15525</v>
      </c>
    </row>
    <row r="642" spans="1:8" x14ac:dyDescent="0.3">
      <c r="A642" s="15">
        <v>637</v>
      </c>
      <c r="B642" s="21">
        <v>44945</v>
      </c>
      <c r="C642" s="15">
        <v>15113</v>
      </c>
      <c r="F642" s="19">
        <v>637</v>
      </c>
      <c r="G642" s="22">
        <v>45294</v>
      </c>
      <c r="H642" s="31">
        <f t="shared" si="10"/>
        <v>15495</v>
      </c>
    </row>
    <row r="643" spans="1:8" x14ac:dyDescent="0.3">
      <c r="A643" s="15">
        <v>638</v>
      </c>
      <c r="B643" s="21">
        <v>44944</v>
      </c>
      <c r="C643" s="15">
        <v>15137</v>
      </c>
      <c r="F643" s="19">
        <v>638</v>
      </c>
      <c r="G643" s="22">
        <v>45293</v>
      </c>
      <c r="H643" s="31">
        <f t="shared" si="10"/>
        <v>15473</v>
      </c>
    </row>
    <row r="644" spans="1:8" x14ac:dyDescent="0.3">
      <c r="A644" s="15">
        <v>639</v>
      </c>
      <c r="B644" s="21">
        <v>44943</v>
      </c>
      <c r="C644" s="15">
        <v>15154</v>
      </c>
      <c r="F644" s="19">
        <v>639</v>
      </c>
      <c r="G644" s="22">
        <v>45292</v>
      </c>
      <c r="H644" s="31">
        <f t="shared" si="10"/>
        <v>15439</v>
      </c>
    </row>
    <row r="645" spans="1:8" x14ac:dyDescent="0.3">
      <c r="A645" s="15">
        <v>640</v>
      </c>
      <c r="B645" s="21">
        <v>44942</v>
      </c>
      <c r="C645" s="15">
        <v>15019</v>
      </c>
      <c r="F645" s="19">
        <v>640</v>
      </c>
      <c r="G645" s="22">
        <v>45291</v>
      </c>
      <c r="H645" s="31">
        <f t="shared" si="10"/>
        <v>15439</v>
      </c>
    </row>
    <row r="646" spans="1:8" x14ac:dyDescent="0.3">
      <c r="A646" s="15">
        <v>641</v>
      </c>
      <c r="B646" s="21">
        <v>44939</v>
      </c>
      <c r="C646" s="15">
        <v>15177</v>
      </c>
      <c r="F646" s="19">
        <v>641</v>
      </c>
      <c r="G646" s="22">
        <v>45290</v>
      </c>
      <c r="H646" s="31">
        <f t="shared" si="10"/>
        <v>15439</v>
      </c>
    </row>
    <row r="647" spans="1:8" x14ac:dyDescent="0.3">
      <c r="A647" s="15">
        <v>642</v>
      </c>
      <c r="B647" s="21">
        <v>44938</v>
      </c>
      <c r="C647" s="15">
        <v>15366</v>
      </c>
      <c r="F647" s="19">
        <v>642</v>
      </c>
      <c r="G647" s="22">
        <v>45289</v>
      </c>
      <c r="H647" s="31">
        <f t="shared" ref="H647:H710" si="11">_xlfn.XLOOKUP(G647,$B$6:$B$656,$C$6:$C$656,,-1)</f>
        <v>15439</v>
      </c>
    </row>
    <row r="648" spans="1:8" x14ac:dyDescent="0.3">
      <c r="A648" s="15">
        <v>643</v>
      </c>
      <c r="B648" s="21">
        <v>44937</v>
      </c>
      <c r="C648" s="15">
        <v>15527</v>
      </c>
      <c r="F648" s="19">
        <v>643</v>
      </c>
      <c r="G648" s="22">
        <v>45288</v>
      </c>
      <c r="H648" s="31">
        <f t="shared" si="11"/>
        <v>15416</v>
      </c>
    </row>
    <row r="649" spans="1:8" x14ac:dyDescent="0.3">
      <c r="A649" s="15">
        <v>644</v>
      </c>
      <c r="B649" s="21">
        <v>44936</v>
      </c>
      <c r="C649" s="15">
        <v>15589</v>
      </c>
      <c r="F649" s="19">
        <v>644</v>
      </c>
      <c r="G649" s="22">
        <v>45287</v>
      </c>
      <c r="H649" s="31">
        <f t="shared" si="11"/>
        <v>15414</v>
      </c>
    </row>
    <row r="650" spans="1:8" x14ac:dyDescent="0.3">
      <c r="A650" s="15">
        <v>645</v>
      </c>
      <c r="B650" s="21">
        <v>44935</v>
      </c>
      <c r="C650" s="15">
        <v>15574</v>
      </c>
      <c r="F650" s="19">
        <v>645</v>
      </c>
      <c r="G650" s="22">
        <v>45286</v>
      </c>
      <c r="H650" s="31">
        <f t="shared" si="11"/>
        <v>15489</v>
      </c>
    </row>
    <row r="651" spans="1:8" x14ac:dyDescent="0.3">
      <c r="A651" s="15">
        <v>646</v>
      </c>
      <c r="B651" s="21">
        <v>44932</v>
      </c>
      <c r="C651" s="15">
        <v>15635</v>
      </c>
      <c r="F651" s="19">
        <v>646</v>
      </c>
      <c r="G651" s="22">
        <v>45285</v>
      </c>
      <c r="H651" s="31">
        <f t="shared" si="11"/>
        <v>15489</v>
      </c>
    </row>
    <row r="652" spans="1:8" x14ac:dyDescent="0.3">
      <c r="A652" s="15">
        <v>647</v>
      </c>
      <c r="B652" s="21">
        <v>44931</v>
      </c>
      <c r="C652" s="15">
        <v>15610</v>
      </c>
      <c r="F652" s="19">
        <v>647</v>
      </c>
      <c r="G652" s="22">
        <v>45284</v>
      </c>
      <c r="H652" s="31">
        <f t="shared" si="11"/>
        <v>15489</v>
      </c>
    </row>
    <row r="653" spans="1:8" x14ac:dyDescent="0.3">
      <c r="A653" s="15">
        <v>648</v>
      </c>
      <c r="B653" s="21">
        <v>44930</v>
      </c>
      <c r="C653" s="15">
        <v>15615</v>
      </c>
      <c r="F653" s="19">
        <v>648</v>
      </c>
      <c r="G653" s="22">
        <v>45283</v>
      </c>
      <c r="H653" s="31">
        <f t="shared" si="11"/>
        <v>15489</v>
      </c>
    </row>
    <row r="654" spans="1:8" x14ac:dyDescent="0.3">
      <c r="A654" s="15">
        <v>649</v>
      </c>
      <c r="B654" s="21">
        <v>44929</v>
      </c>
      <c r="C654" s="15">
        <v>15590</v>
      </c>
      <c r="F654" s="19">
        <v>649</v>
      </c>
      <c r="G654" s="22">
        <v>45282</v>
      </c>
      <c r="H654" s="31">
        <f t="shared" si="11"/>
        <v>15489</v>
      </c>
    </row>
    <row r="655" spans="1:8" x14ac:dyDescent="0.3">
      <c r="A655" s="15">
        <v>650</v>
      </c>
      <c r="B655" s="21">
        <v>44928</v>
      </c>
      <c r="C655" s="15">
        <v>15572</v>
      </c>
      <c r="F655" s="19">
        <v>650</v>
      </c>
      <c r="G655" s="22">
        <v>45281</v>
      </c>
      <c r="H655" s="31">
        <f t="shared" si="11"/>
        <v>15533</v>
      </c>
    </row>
    <row r="656" spans="1:8" x14ac:dyDescent="0.3">
      <c r="A656" s="15">
        <v>651</v>
      </c>
      <c r="B656" s="21">
        <v>44925</v>
      </c>
      <c r="C656" s="15">
        <v>15592</v>
      </c>
      <c r="F656" s="19">
        <v>651</v>
      </c>
      <c r="G656" s="22">
        <v>45280</v>
      </c>
      <c r="H656" s="31">
        <f t="shared" si="11"/>
        <v>15512</v>
      </c>
    </row>
    <row r="657" spans="6:8" x14ac:dyDescent="0.3">
      <c r="F657" s="19">
        <v>652</v>
      </c>
      <c r="G657" s="22">
        <v>45279</v>
      </c>
      <c r="H657" s="31">
        <f t="shared" si="11"/>
        <v>15506</v>
      </c>
    </row>
    <row r="658" spans="6:8" x14ac:dyDescent="0.3">
      <c r="F658" s="19">
        <v>653</v>
      </c>
      <c r="G658" s="22">
        <v>45278</v>
      </c>
      <c r="H658" s="31">
        <f t="shared" si="11"/>
        <v>15516</v>
      </c>
    </row>
    <row r="659" spans="6:8" x14ac:dyDescent="0.3">
      <c r="F659" s="19">
        <v>654</v>
      </c>
      <c r="G659" s="22">
        <v>45277</v>
      </c>
      <c r="H659" s="31">
        <f t="shared" si="11"/>
        <v>15503</v>
      </c>
    </row>
    <row r="660" spans="6:8" x14ac:dyDescent="0.3">
      <c r="F660" s="19">
        <v>655</v>
      </c>
      <c r="G660" s="22">
        <v>45276</v>
      </c>
      <c r="H660" s="31">
        <f t="shared" si="11"/>
        <v>15503</v>
      </c>
    </row>
    <row r="661" spans="6:8" x14ac:dyDescent="0.3">
      <c r="F661" s="19">
        <v>656</v>
      </c>
      <c r="G661" s="22">
        <v>45275</v>
      </c>
      <c r="H661" s="31">
        <f t="shared" si="11"/>
        <v>15503</v>
      </c>
    </row>
    <row r="662" spans="6:8" x14ac:dyDescent="0.3">
      <c r="F662" s="19">
        <v>657</v>
      </c>
      <c r="G662" s="22">
        <v>45274</v>
      </c>
      <c r="H662" s="31">
        <f t="shared" si="11"/>
        <v>15493</v>
      </c>
    </row>
    <row r="663" spans="6:8" x14ac:dyDescent="0.3">
      <c r="F663" s="19">
        <v>658</v>
      </c>
      <c r="G663" s="22">
        <v>45273</v>
      </c>
      <c r="H663" s="31">
        <f t="shared" si="11"/>
        <v>15629</v>
      </c>
    </row>
    <row r="664" spans="6:8" x14ac:dyDescent="0.3">
      <c r="F664" s="19">
        <v>659</v>
      </c>
      <c r="G664" s="22">
        <v>45272</v>
      </c>
      <c r="H664" s="31">
        <f t="shared" si="11"/>
        <v>15631</v>
      </c>
    </row>
    <row r="665" spans="6:8" x14ac:dyDescent="0.3">
      <c r="F665" s="19">
        <v>660</v>
      </c>
      <c r="G665" s="22">
        <v>45271</v>
      </c>
      <c r="H665" s="31">
        <f t="shared" si="11"/>
        <v>15614</v>
      </c>
    </row>
    <row r="666" spans="6:8" x14ac:dyDescent="0.3">
      <c r="F666" s="19">
        <v>661</v>
      </c>
      <c r="G666" s="22">
        <v>45270</v>
      </c>
      <c r="H666" s="31">
        <f t="shared" si="11"/>
        <v>15500</v>
      </c>
    </row>
    <row r="667" spans="6:8" x14ac:dyDescent="0.3">
      <c r="F667" s="19">
        <v>662</v>
      </c>
      <c r="G667" s="22">
        <v>45269</v>
      </c>
      <c r="H667" s="31">
        <f t="shared" si="11"/>
        <v>15500</v>
      </c>
    </row>
    <row r="668" spans="6:8" x14ac:dyDescent="0.3">
      <c r="F668" s="19">
        <v>663</v>
      </c>
      <c r="G668" s="22">
        <v>45268</v>
      </c>
      <c r="H668" s="31">
        <f t="shared" si="11"/>
        <v>15500</v>
      </c>
    </row>
    <row r="669" spans="6:8" x14ac:dyDescent="0.3">
      <c r="F669" s="19">
        <v>664</v>
      </c>
      <c r="G669" s="22">
        <v>45267</v>
      </c>
      <c r="H669" s="31">
        <f t="shared" si="11"/>
        <v>15536</v>
      </c>
    </row>
    <row r="670" spans="6:8" x14ac:dyDescent="0.3">
      <c r="F670" s="19">
        <v>665</v>
      </c>
      <c r="G670" s="22">
        <v>45266</v>
      </c>
      <c r="H670" s="31">
        <f t="shared" si="11"/>
        <v>15504</v>
      </c>
    </row>
    <row r="671" spans="6:8" x14ac:dyDescent="0.3">
      <c r="F671" s="19">
        <v>666</v>
      </c>
      <c r="G671" s="22">
        <v>45265</v>
      </c>
      <c r="H671" s="31">
        <f t="shared" si="11"/>
        <v>15504</v>
      </c>
    </row>
    <row r="672" spans="6:8" x14ac:dyDescent="0.3">
      <c r="F672" s="19">
        <v>667</v>
      </c>
      <c r="G672" s="22">
        <v>45264</v>
      </c>
      <c r="H672" s="31">
        <f t="shared" si="11"/>
        <v>15446</v>
      </c>
    </row>
    <row r="673" spans="6:8" x14ac:dyDescent="0.3">
      <c r="F673" s="19">
        <v>668</v>
      </c>
      <c r="G673" s="22">
        <v>45263</v>
      </c>
      <c r="H673" s="31">
        <f t="shared" si="11"/>
        <v>15524</v>
      </c>
    </row>
    <row r="674" spans="6:8" x14ac:dyDescent="0.3">
      <c r="F674" s="19">
        <v>669</v>
      </c>
      <c r="G674" s="22">
        <v>45262</v>
      </c>
      <c r="H674" s="31">
        <f t="shared" si="11"/>
        <v>15524</v>
      </c>
    </row>
    <row r="675" spans="6:8" x14ac:dyDescent="0.3">
      <c r="F675" s="19">
        <v>670</v>
      </c>
      <c r="G675" s="22">
        <v>45261</v>
      </c>
      <c r="H675" s="31">
        <f t="shared" si="11"/>
        <v>15524</v>
      </c>
    </row>
    <row r="676" spans="6:8" x14ac:dyDescent="0.3">
      <c r="F676" s="19">
        <v>671</v>
      </c>
      <c r="G676" s="22">
        <v>45260</v>
      </c>
      <c r="H676" s="31">
        <f t="shared" si="11"/>
        <v>15484</v>
      </c>
    </row>
    <row r="677" spans="6:8" x14ac:dyDescent="0.3">
      <c r="F677" s="19">
        <v>672</v>
      </c>
      <c r="G677" s="22">
        <v>45259</v>
      </c>
      <c r="H677" s="31">
        <f t="shared" si="11"/>
        <v>15384</v>
      </c>
    </row>
    <row r="678" spans="6:8" x14ac:dyDescent="0.3">
      <c r="F678" s="19">
        <v>673</v>
      </c>
      <c r="G678" s="22">
        <v>45258</v>
      </c>
      <c r="H678" s="31">
        <f t="shared" si="11"/>
        <v>15450</v>
      </c>
    </row>
    <row r="679" spans="6:8" x14ac:dyDescent="0.3">
      <c r="F679" s="19">
        <v>674</v>
      </c>
      <c r="G679" s="22">
        <v>45257</v>
      </c>
      <c r="H679" s="31">
        <f t="shared" si="11"/>
        <v>15527</v>
      </c>
    </row>
    <row r="680" spans="6:8" x14ac:dyDescent="0.3">
      <c r="F680" s="19">
        <v>675</v>
      </c>
      <c r="G680" s="22">
        <v>45256</v>
      </c>
      <c r="H680" s="31">
        <f t="shared" si="11"/>
        <v>15587</v>
      </c>
    </row>
    <row r="681" spans="6:8" x14ac:dyDescent="0.3">
      <c r="F681" s="19">
        <v>676</v>
      </c>
      <c r="G681" s="22">
        <v>45255</v>
      </c>
      <c r="H681" s="31">
        <f t="shared" si="11"/>
        <v>15587</v>
      </c>
    </row>
    <row r="682" spans="6:8" x14ac:dyDescent="0.3">
      <c r="F682" s="19">
        <v>677</v>
      </c>
      <c r="G682" s="22">
        <v>45254</v>
      </c>
      <c r="H682" s="31">
        <f t="shared" si="11"/>
        <v>15587</v>
      </c>
    </row>
    <row r="683" spans="6:8" x14ac:dyDescent="0.3">
      <c r="F683" s="19">
        <v>678</v>
      </c>
      <c r="G683" s="22">
        <v>45253</v>
      </c>
      <c r="H683" s="31">
        <f t="shared" si="11"/>
        <v>15593</v>
      </c>
    </row>
    <row r="684" spans="6:8" x14ac:dyDescent="0.3">
      <c r="F684" s="19">
        <v>679</v>
      </c>
      <c r="G684" s="22">
        <v>45252</v>
      </c>
      <c r="H684" s="31">
        <f t="shared" si="11"/>
        <v>15584</v>
      </c>
    </row>
    <row r="685" spans="6:8" x14ac:dyDescent="0.3">
      <c r="F685" s="19">
        <v>680</v>
      </c>
      <c r="G685" s="22">
        <v>45251</v>
      </c>
      <c r="H685" s="31">
        <f t="shared" si="11"/>
        <v>15436</v>
      </c>
    </row>
    <row r="686" spans="6:8" x14ac:dyDescent="0.3">
      <c r="F686" s="19">
        <v>681</v>
      </c>
      <c r="G686" s="22">
        <v>45250</v>
      </c>
      <c r="H686" s="31">
        <f t="shared" si="11"/>
        <v>15419</v>
      </c>
    </row>
    <row r="687" spans="6:8" x14ac:dyDescent="0.3">
      <c r="F687" s="19">
        <v>682</v>
      </c>
      <c r="G687" s="22">
        <v>45249</v>
      </c>
      <c r="H687" s="31">
        <f t="shared" si="11"/>
        <v>15504</v>
      </c>
    </row>
    <row r="688" spans="6:8" x14ac:dyDescent="0.3">
      <c r="F688" s="19">
        <v>683</v>
      </c>
      <c r="G688" s="22">
        <v>45248</v>
      </c>
      <c r="H688" s="31">
        <f t="shared" si="11"/>
        <v>15504</v>
      </c>
    </row>
    <row r="689" spans="6:8" x14ac:dyDescent="0.3">
      <c r="F689" s="19">
        <v>684</v>
      </c>
      <c r="G689" s="22">
        <v>45247</v>
      </c>
      <c r="H689" s="31">
        <f t="shared" si="11"/>
        <v>15504</v>
      </c>
    </row>
    <row r="690" spans="6:8" x14ac:dyDescent="0.3">
      <c r="F690" s="19">
        <v>685</v>
      </c>
      <c r="G690" s="22">
        <v>45246</v>
      </c>
      <c r="H690" s="31">
        <f t="shared" si="11"/>
        <v>15595</v>
      </c>
    </row>
    <row r="691" spans="6:8" x14ac:dyDescent="0.3">
      <c r="F691" s="19">
        <v>686</v>
      </c>
      <c r="G691" s="22">
        <v>45245</v>
      </c>
      <c r="H691" s="31">
        <f t="shared" si="11"/>
        <v>15503</v>
      </c>
    </row>
    <row r="692" spans="6:8" x14ac:dyDescent="0.3">
      <c r="F692" s="19">
        <v>687</v>
      </c>
      <c r="G692" s="22">
        <v>45244</v>
      </c>
      <c r="H692" s="31">
        <f t="shared" si="11"/>
        <v>15699</v>
      </c>
    </row>
    <row r="693" spans="6:8" x14ac:dyDescent="0.3">
      <c r="F693" s="19">
        <v>688</v>
      </c>
      <c r="G693" s="22">
        <v>45243</v>
      </c>
      <c r="H693" s="31">
        <f t="shared" si="11"/>
        <v>15713</v>
      </c>
    </row>
    <row r="694" spans="6:8" x14ac:dyDescent="0.3">
      <c r="F694" s="19">
        <v>689</v>
      </c>
      <c r="G694" s="22">
        <v>45242</v>
      </c>
      <c r="H694" s="31">
        <f t="shared" si="11"/>
        <v>15693</v>
      </c>
    </row>
    <row r="695" spans="6:8" x14ac:dyDescent="0.3">
      <c r="F695" s="19">
        <v>690</v>
      </c>
      <c r="G695" s="22">
        <v>45241</v>
      </c>
      <c r="H695" s="31">
        <f t="shared" si="11"/>
        <v>15693</v>
      </c>
    </row>
    <row r="696" spans="6:8" x14ac:dyDescent="0.3">
      <c r="F696" s="19">
        <v>691</v>
      </c>
      <c r="G696" s="22">
        <v>45240</v>
      </c>
      <c r="H696" s="31">
        <f t="shared" si="11"/>
        <v>15693</v>
      </c>
    </row>
    <row r="697" spans="6:8" x14ac:dyDescent="0.3">
      <c r="F697" s="19">
        <v>692</v>
      </c>
      <c r="G697" s="22">
        <v>45239</v>
      </c>
      <c r="H697" s="31">
        <f t="shared" si="11"/>
        <v>15649</v>
      </c>
    </row>
    <row r="698" spans="6:8" x14ac:dyDescent="0.3">
      <c r="F698" s="19">
        <v>693</v>
      </c>
      <c r="G698" s="22">
        <v>45238</v>
      </c>
      <c r="H698" s="31">
        <f t="shared" si="11"/>
        <v>15629</v>
      </c>
    </row>
    <row r="699" spans="6:8" x14ac:dyDescent="0.3">
      <c r="F699" s="19">
        <v>694</v>
      </c>
      <c r="G699" s="22">
        <v>45237</v>
      </c>
      <c r="H699" s="31">
        <f t="shared" si="11"/>
        <v>15593</v>
      </c>
    </row>
    <row r="700" spans="6:8" x14ac:dyDescent="0.3">
      <c r="F700" s="19">
        <v>695</v>
      </c>
      <c r="G700" s="22">
        <v>45236</v>
      </c>
      <c r="H700" s="31">
        <f t="shared" si="11"/>
        <v>15550</v>
      </c>
    </row>
    <row r="701" spans="6:8" x14ac:dyDescent="0.3">
      <c r="F701" s="19">
        <v>696</v>
      </c>
      <c r="G701" s="22">
        <v>45235</v>
      </c>
      <c r="H701" s="31">
        <f t="shared" si="11"/>
        <v>15771</v>
      </c>
    </row>
    <row r="702" spans="6:8" x14ac:dyDescent="0.3">
      <c r="F702" s="19">
        <v>697</v>
      </c>
      <c r="G702" s="22">
        <v>45234</v>
      </c>
      <c r="H702" s="31">
        <f t="shared" si="11"/>
        <v>15771</v>
      </c>
    </row>
    <row r="703" spans="6:8" x14ac:dyDescent="0.3">
      <c r="F703" s="19">
        <v>698</v>
      </c>
      <c r="G703" s="22">
        <v>45233</v>
      </c>
      <c r="H703" s="31">
        <f t="shared" si="11"/>
        <v>15771</v>
      </c>
    </row>
    <row r="704" spans="6:8" x14ac:dyDescent="0.3">
      <c r="F704" s="19">
        <v>699</v>
      </c>
      <c r="G704" s="22">
        <v>45232</v>
      </c>
      <c r="H704" s="31">
        <f t="shared" si="11"/>
        <v>15861</v>
      </c>
    </row>
    <row r="705" spans="6:8" x14ac:dyDescent="0.3">
      <c r="F705" s="19">
        <v>700</v>
      </c>
      <c r="G705" s="22">
        <v>45231</v>
      </c>
      <c r="H705" s="31">
        <f t="shared" si="11"/>
        <v>15946</v>
      </c>
    </row>
    <row r="706" spans="6:8" x14ac:dyDescent="0.3">
      <c r="F706" s="19">
        <v>701</v>
      </c>
      <c r="G706" s="22">
        <v>45230</v>
      </c>
      <c r="H706" s="31">
        <f t="shared" si="11"/>
        <v>15897</v>
      </c>
    </row>
    <row r="707" spans="6:8" x14ac:dyDescent="0.3">
      <c r="F707" s="19">
        <v>702</v>
      </c>
      <c r="G707" s="22">
        <v>45229</v>
      </c>
      <c r="H707" s="31">
        <f t="shared" si="11"/>
        <v>15916</v>
      </c>
    </row>
    <row r="708" spans="6:8" x14ac:dyDescent="0.3">
      <c r="F708" s="19">
        <v>703</v>
      </c>
      <c r="G708" s="22">
        <v>45228</v>
      </c>
      <c r="H708" s="31">
        <f t="shared" si="11"/>
        <v>15941</v>
      </c>
    </row>
    <row r="709" spans="6:8" x14ac:dyDescent="0.3">
      <c r="F709" s="19">
        <v>704</v>
      </c>
      <c r="G709" s="22">
        <v>45227</v>
      </c>
      <c r="H709" s="31">
        <f t="shared" si="11"/>
        <v>15941</v>
      </c>
    </row>
    <row r="710" spans="6:8" x14ac:dyDescent="0.3">
      <c r="F710" s="19">
        <v>705</v>
      </c>
      <c r="G710" s="22">
        <v>45226</v>
      </c>
      <c r="H710" s="31">
        <f t="shared" si="11"/>
        <v>15941</v>
      </c>
    </row>
    <row r="711" spans="6:8" x14ac:dyDescent="0.3">
      <c r="F711" s="19">
        <v>706</v>
      </c>
      <c r="G711" s="22">
        <v>45225</v>
      </c>
      <c r="H711" s="31">
        <f t="shared" ref="H711:H774" si="12">_xlfn.XLOOKUP(G711,$B$6:$B$656,$C$6:$C$656,,-1)</f>
        <v>15933</v>
      </c>
    </row>
    <row r="712" spans="6:8" x14ac:dyDescent="0.3">
      <c r="F712" s="19">
        <v>707</v>
      </c>
      <c r="G712" s="22">
        <v>45224</v>
      </c>
      <c r="H712" s="31">
        <f t="shared" si="12"/>
        <v>15871</v>
      </c>
    </row>
    <row r="713" spans="6:8" x14ac:dyDescent="0.3">
      <c r="F713" s="19">
        <v>708</v>
      </c>
      <c r="G713" s="22">
        <v>45223</v>
      </c>
      <c r="H713" s="31">
        <f t="shared" si="12"/>
        <v>15869</v>
      </c>
    </row>
    <row r="714" spans="6:8" x14ac:dyDescent="0.3">
      <c r="F714" s="19">
        <v>709</v>
      </c>
      <c r="G714" s="22">
        <v>45222</v>
      </c>
      <c r="H714" s="31">
        <f t="shared" si="12"/>
        <v>15943</v>
      </c>
    </row>
    <row r="715" spans="6:8" x14ac:dyDescent="0.3">
      <c r="F715" s="19">
        <v>710</v>
      </c>
      <c r="G715" s="22">
        <v>45221</v>
      </c>
      <c r="H715" s="31">
        <f t="shared" si="12"/>
        <v>15856</v>
      </c>
    </row>
    <row r="716" spans="6:8" x14ac:dyDescent="0.3">
      <c r="F716" s="19">
        <v>711</v>
      </c>
      <c r="G716" s="22">
        <v>45220</v>
      </c>
      <c r="H716" s="31">
        <f t="shared" si="12"/>
        <v>15856</v>
      </c>
    </row>
    <row r="717" spans="6:8" x14ac:dyDescent="0.3">
      <c r="F717" s="19">
        <v>712</v>
      </c>
      <c r="G717" s="22">
        <v>45219</v>
      </c>
      <c r="H717" s="31">
        <f t="shared" si="12"/>
        <v>15856</v>
      </c>
    </row>
    <row r="718" spans="6:8" x14ac:dyDescent="0.3">
      <c r="F718" s="19">
        <v>713</v>
      </c>
      <c r="G718" s="22">
        <v>45218</v>
      </c>
      <c r="H718" s="31">
        <f t="shared" si="12"/>
        <v>15838</v>
      </c>
    </row>
    <row r="719" spans="6:8" x14ac:dyDescent="0.3">
      <c r="F719" s="19">
        <v>714</v>
      </c>
      <c r="G719" s="22">
        <v>45217</v>
      </c>
      <c r="H719" s="31">
        <f t="shared" si="12"/>
        <v>15731</v>
      </c>
    </row>
    <row r="720" spans="6:8" x14ac:dyDescent="0.3">
      <c r="F720" s="19">
        <v>715</v>
      </c>
      <c r="G720" s="22">
        <v>45216</v>
      </c>
      <c r="H720" s="31">
        <f t="shared" si="12"/>
        <v>15718</v>
      </c>
    </row>
    <row r="721" spans="6:8" x14ac:dyDescent="0.3">
      <c r="F721" s="19">
        <v>716</v>
      </c>
      <c r="G721" s="22">
        <v>45215</v>
      </c>
      <c r="H721" s="31">
        <f t="shared" si="12"/>
        <v>15716</v>
      </c>
    </row>
    <row r="722" spans="6:8" x14ac:dyDescent="0.3">
      <c r="F722" s="19">
        <v>717</v>
      </c>
      <c r="G722" s="22">
        <v>45214</v>
      </c>
      <c r="H722" s="31">
        <f t="shared" si="12"/>
        <v>15709</v>
      </c>
    </row>
    <row r="723" spans="6:8" x14ac:dyDescent="0.3">
      <c r="F723" s="19">
        <v>718</v>
      </c>
      <c r="G723" s="22">
        <v>45213</v>
      </c>
      <c r="H723" s="31">
        <f t="shared" si="12"/>
        <v>15709</v>
      </c>
    </row>
    <row r="724" spans="6:8" x14ac:dyDescent="0.3">
      <c r="F724" s="19">
        <v>719</v>
      </c>
      <c r="G724" s="22">
        <v>45212</v>
      </c>
      <c r="H724" s="31">
        <f t="shared" si="12"/>
        <v>15709</v>
      </c>
    </row>
    <row r="725" spans="6:8" x14ac:dyDescent="0.3">
      <c r="F725" s="19">
        <v>720</v>
      </c>
      <c r="G725" s="22">
        <v>45211</v>
      </c>
      <c r="H725" s="31">
        <f t="shared" si="12"/>
        <v>15702</v>
      </c>
    </row>
    <row r="726" spans="6:8" x14ac:dyDescent="0.3">
      <c r="F726" s="19">
        <v>721</v>
      </c>
      <c r="G726" s="22">
        <v>45210</v>
      </c>
      <c r="H726" s="31">
        <f t="shared" si="12"/>
        <v>15710</v>
      </c>
    </row>
    <row r="727" spans="6:8" x14ac:dyDescent="0.3">
      <c r="F727" s="19">
        <v>722</v>
      </c>
      <c r="G727" s="22">
        <v>45209</v>
      </c>
      <c r="H727" s="31">
        <f t="shared" si="12"/>
        <v>15708</v>
      </c>
    </row>
    <row r="728" spans="6:8" x14ac:dyDescent="0.3">
      <c r="F728" s="19">
        <v>723</v>
      </c>
      <c r="G728" s="22">
        <v>45208</v>
      </c>
      <c r="H728" s="31">
        <f t="shared" si="12"/>
        <v>15675</v>
      </c>
    </row>
    <row r="729" spans="6:8" x14ac:dyDescent="0.3">
      <c r="F729" s="19">
        <v>724</v>
      </c>
      <c r="G729" s="22">
        <v>45207</v>
      </c>
      <c r="H729" s="31">
        <f t="shared" si="12"/>
        <v>15628</v>
      </c>
    </row>
    <row r="730" spans="6:8" x14ac:dyDescent="0.3">
      <c r="F730" s="19">
        <v>725</v>
      </c>
      <c r="G730" s="22">
        <v>45206</v>
      </c>
      <c r="H730" s="31">
        <f t="shared" si="12"/>
        <v>15628</v>
      </c>
    </row>
    <row r="731" spans="6:8" x14ac:dyDescent="0.3">
      <c r="F731" s="19">
        <v>726</v>
      </c>
      <c r="G731" s="22">
        <v>45205</v>
      </c>
      <c r="H731" s="31">
        <f t="shared" si="12"/>
        <v>15628</v>
      </c>
    </row>
    <row r="732" spans="6:8" x14ac:dyDescent="0.3">
      <c r="F732" s="19">
        <v>727</v>
      </c>
      <c r="G732" s="22">
        <v>45204</v>
      </c>
      <c r="H732" s="31">
        <f t="shared" si="12"/>
        <v>15601</v>
      </c>
    </row>
    <row r="733" spans="6:8" x14ac:dyDescent="0.3">
      <c r="F733" s="19">
        <v>728</v>
      </c>
      <c r="G733" s="22">
        <v>45203</v>
      </c>
      <c r="H733" s="31">
        <f t="shared" si="12"/>
        <v>15636</v>
      </c>
    </row>
    <row r="734" spans="6:8" x14ac:dyDescent="0.3">
      <c r="F734" s="19">
        <v>729</v>
      </c>
      <c r="G734" s="22">
        <v>45202</v>
      </c>
      <c r="H734" s="31">
        <f t="shared" si="12"/>
        <v>15600</v>
      </c>
    </row>
    <row r="735" spans="6:8" x14ac:dyDescent="0.3">
      <c r="F735" s="19">
        <v>730</v>
      </c>
      <c r="G735" s="22">
        <v>45201</v>
      </c>
      <c r="H735" s="31">
        <f t="shared" si="12"/>
        <v>15519</v>
      </c>
    </row>
    <row r="736" spans="6:8" x14ac:dyDescent="0.3">
      <c r="F736" s="19">
        <v>731</v>
      </c>
      <c r="G736" s="22">
        <v>45200</v>
      </c>
      <c r="H736" s="31">
        <f t="shared" si="12"/>
        <v>15487</v>
      </c>
    </row>
    <row r="737" spans="6:8" x14ac:dyDescent="0.3">
      <c r="F737" s="19">
        <v>732</v>
      </c>
      <c r="G737" s="22">
        <v>45199</v>
      </c>
      <c r="H737" s="31">
        <f t="shared" si="12"/>
        <v>15487</v>
      </c>
    </row>
    <row r="738" spans="6:8" x14ac:dyDescent="0.3">
      <c r="F738" s="19">
        <v>733</v>
      </c>
      <c r="G738" s="22">
        <v>45198</v>
      </c>
      <c r="H738" s="31">
        <f t="shared" si="12"/>
        <v>15487</v>
      </c>
    </row>
    <row r="739" spans="6:8" x14ac:dyDescent="0.3">
      <c r="F739" s="19">
        <v>734</v>
      </c>
      <c r="G739" s="22">
        <v>45197</v>
      </c>
      <c r="H739" s="31">
        <f t="shared" si="12"/>
        <v>15526</v>
      </c>
    </row>
    <row r="740" spans="6:8" x14ac:dyDescent="0.3">
      <c r="F740" s="19">
        <v>735</v>
      </c>
      <c r="G740" s="22">
        <v>45196</v>
      </c>
      <c r="H740" s="31">
        <f t="shared" si="12"/>
        <v>15526</v>
      </c>
    </row>
    <row r="741" spans="6:8" x14ac:dyDescent="0.3">
      <c r="F741" s="19">
        <v>736</v>
      </c>
      <c r="G741" s="22">
        <v>45195</v>
      </c>
      <c r="H741" s="31">
        <f t="shared" si="12"/>
        <v>15464</v>
      </c>
    </row>
    <row r="742" spans="6:8" x14ac:dyDescent="0.3">
      <c r="F742" s="19">
        <v>737</v>
      </c>
      <c r="G742" s="22">
        <v>45194</v>
      </c>
      <c r="H742" s="31">
        <f t="shared" si="12"/>
        <v>15399</v>
      </c>
    </row>
    <row r="743" spans="6:8" x14ac:dyDescent="0.3">
      <c r="F743" s="19">
        <v>738</v>
      </c>
      <c r="G743" s="22">
        <v>45193</v>
      </c>
      <c r="H743" s="31">
        <f t="shared" si="12"/>
        <v>15383</v>
      </c>
    </row>
    <row r="744" spans="6:8" x14ac:dyDescent="0.3">
      <c r="F744" s="19">
        <v>739</v>
      </c>
      <c r="G744" s="22">
        <v>45192</v>
      </c>
      <c r="H744" s="31">
        <f t="shared" si="12"/>
        <v>15383</v>
      </c>
    </row>
    <row r="745" spans="6:8" x14ac:dyDescent="0.3">
      <c r="F745" s="19">
        <v>740</v>
      </c>
      <c r="G745" s="22">
        <v>45191</v>
      </c>
      <c r="H745" s="31">
        <f t="shared" si="12"/>
        <v>15383</v>
      </c>
    </row>
    <row r="746" spans="6:8" x14ac:dyDescent="0.3">
      <c r="F746" s="19">
        <v>741</v>
      </c>
      <c r="G746" s="22">
        <v>45190</v>
      </c>
      <c r="H746" s="31">
        <f t="shared" si="12"/>
        <v>15397</v>
      </c>
    </row>
    <row r="747" spans="6:8" x14ac:dyDescent="0.3">
      <c r="F747" s="19">
        <v>742</v>
      </c>
      <c r="G747" s="22">
        <v>45189</v>
      </c>
      <c r="H747" s="31">
        <f t="shared" si="12"/>
        <v>15396</v>
      </c>
    </row>
    <row r="748" spans="6:8" x14ac:dyDescent="0.3">
      <c r="F748" s="19">
        <v>743</v>
      </c>
      <c r="G748" s="22">
        <v>45188</v>
      </c>
      <c r="H748" s="31">
        <f t="shared" si="12"/>
        <v>15381</v>
      </c>
    </row>
    <row r="749" spans="6:8" x14ac:dyDescent="0.3">
      <c r="F749" s="19">
        <v>744</v>
      </c>
      <c r="G749" s="22">
        <v>45187</v>
      </c>
      <c r="H749" s="31">
        <f t="shared" si="12"/>
        <v>15373</v>
      </c>
    </row>
    <row r="750" spans="6:8" x14ac:dyDescent="0.3">
      <c r="F750" s="19">
        <v>745</v>
      </c>
      <c r="G750" s="22">
        <v>45186</v>
      </c>
      <c r="H750" s="31">
        <f t="shared" si="12"/>
        <v>15367</v>
      </c>
    </row>
    <row r="751" spans="6:8" x14ac:dyDescent="0.3">
      <c r="F751" s="19">
        <v>746</v>
      </c>
      <c r="G751" s="22">
        <v>45185</v>
      </c>
      <c r="H751" s="31">
        <f t="shared" si="12"/>
        <v>15367</v>
      </c>
    </row>
    <row r="752" spans="6:8" x14ac:dyDescent="0.3">
      <c r="F752" s="19">
        <v>747</v>
      </c>
      <c r="G752" s="22">
        <v>45184</v>
      </c>
      <c r="H752" s="31">
        <f t="shared" si="12"/>
        <v>15367</v>
      </c>
    </row>
    <row r="753" spans="6:8" x14ac:dyDescent="0.3">
      <c r="F753" s="19">
        <v>748</v>
      </c>
      <c r="G753" s="22">
        <v>45183</v>
      </c>
      <c r="H753" s="31">
        <f t="shared" si="12"/>
        <v>15357</v>
      </c>
    </row>
    <row r="754" spans="6:8" x14ac:dyDescent="0.3">
      <c r="F754" s="19">
        <v>749</v>
      </c>
      <c r="G754" s="22">
        <v>45182</v>
      </c>
      <c r="H754" s="31">
        <f t="shared" si="12"/>
        <v>15367</v>
      </c>
    </row>
    <row r="755" spans="6:8" x14ac:dyDescent="0.3">
      <c r="F755" s="19">
        <v>750</v>
      </c>
      <c r="G755" s="22">
        <v>45181</v>
      </c>
      <c r="H755" s="31">
        <f t="shared" si="12"/>
        <v>15344</v>
      </c>
    </row>
    <row r="756" spans="6:8" x14ac:dyDescent="0.3">
      <c r="F756" s="19">
        <v>751</v>
      </c>
      <c r="G756" s="22">
        <v>45180</v>
      </c>
      <c r="H756" s="31">
        <f t="shared" si="12"/>
        <v>15352</v>
      </c>
    </row>
    <row r="757" spans="6:8" x14ac:dyDescent="0.3">
      <c r="F757" s="19">
        <v>752</v>
      </c>
      <c r="G757" s="22">
        <v>45179</v>
      </c>
      <c r="H757" s="31">
        <f t="shared" si="12"/>
        <v>15341</v>
      </c>
    </row>
    <row r="758" spans="6:8" x14ac:dyDescent="0.3">
      <c r="F758" s="19">
        <v>753</v>
      </c>
      <c r="G758" s="22">
        <v>45178</v>
      </c>
      <c r="H758" s="31">
        <f t="shared" si="12"/>
        <v>15341</v>
      </c>
    </row>
    <row r="759" spans="6:8" x14ac:dyDescent="0.3">
      <c r="F759" s="19">
        <v>754</v>
      </c>
      <c r="G759" s="22">
        <v>45177</v>
      </c>
      <c r="H759" s="31">
        <f t="shared" si="12"/>
        <v>15341</v>
      </c>
    </row>
    <row r="760" spans="6:8" x14ac:dyDescent="0.3">
      <c r="F760" s="19">
        <v>755</v>
      </c>
      <c r="G760" s="22">
        <v>45176</v>
      </c>
      <c r="H760" s="31">
        <f t="shared" si="12"/>
        <v>15334</v>
      </c>
    </row>
    <row r="761" spans="6:8" x14ac:dyDescent="0.3">
      <c r="F761" s="19">
        <v>756</v>
      </c>
      <c r="G761" s="22">
        <v>45175</v>
      </c>
      <c r="H761" s="31">
        <f t="shared" si="12"/>
        <v>15307</v>
      </c>
    </row>
    <row r="762" spans="6:8" x14ac:dyDescent="0.3">
      <c r="F762" s="19">
        <v>757</v>
      </c>
      <c r="G762" s="22">
        <v>45174</v>
      </c>
      <c r="H762" s="31">
        <f t="shared" si="12"/>
        <v>15260</v>
      </c>
    </row>
    <row r="763" spans="6:8" x14ac:dyDescent="0.3">
      <c r="F763" s="19">
        <v>758</v>
      </c>
      <c r="G763" s="22">
        <v>45173</v>
      </c>
      <c r="H763" s="31">
        <f t="shared" si="12"/>
        <v>15247</v>
      </c>
    </row>
    <row r="764" spans="6:8" x14ac:dyDescent="0.3">
      <c r="F764" s="19">
        <v>759</v>
      </c>
      <c r="G764" s="22">
        <v>45172</v>
      </c>
      <c r="H764" s="31">
        <f t="shared" si="12"/>
        <v>15252</v>
      </c>
    </row>
    <row r="765" spans="6:8" x14ac:dyDescent="0.3">
      <c r="F765" s="19">
        <v>760</v>
      </c>
      <c r="G765" s="22">
        <v>45171</v>
      </c>
      <c r="H765" s="31">
        <f t="shared" si="12"/>
        <v>15252</v>
      </c>
    </row>
    <row r="766" spans="6:8" x14ac:dyDescent="0.3">
      <c r="F766" s="19">
        <v>761</v>
      </c>
      <c r="G766" s="22">
        <v>45170</v>
      </c>
      <c r="H766" s="31">
        <f t="shared" si="12"/>
        <v>15252</v>
      </c>
    </row>
    <row r="767" spans="6:8" x14ac:dyDescent="0.3">
      <c r="F767" s="19">
        <v>762</v>
      </c>
      <c r="G767" s="22">
        <v>45169</v>
      </c>
      <c r="H767" s="31">
        <f t="shared" si="12"/>
        <v>15237</v>
      </c>
    </row>
    <row r="768" spans="6:8" x14ac:dyDescent="0.3">
      <c r="F768" s="19">
        <v>763</v>
      </c>
      <c r="G768" s="22">
        <v>45168</v>
      </c>
      <c r="H768" s="31">
        <f t="shared" si="12"/>
        <v>15239</v>
      </c>
    </row>
    <row r="769" spans="6:8" x14ac:dyDescent="0.3">
      <c r="F769" s="19">
        <v>764</v>
      </c>
      <c r="G769" s="22">
        <v>45167</v>
      </c>
      <c r="H769" s="31">
        <f t="shared" si="12"/>
        <v>15263</v>
      </c>
    </row>
    <row r="770" spans="6:8" x14ac:dyDescent="0.3">
      <c r="F770" s="19">
        <v>765</v>
      </c>
      <c r="G770" s="22">
        <v>45166</v>
      </c>
      <c r="H770" s="31">
        <f t="shared" si="12"/>
        <v>15294</v>
      </c>
    </row>
    <row r="771" spans="6:8" x14ac:dyDescent="0.3">
      <c r="F771" s="19">
        <v>766</v>
      </c>
      <c r="G771" s="22">
        <v>45165</v>
      </c>
      <c r="H771" s="31">
        <f t="shared" si="12"/>
        <v>15297</v>
      </c>
    </row>
    <row r="772" spans="6:8" x14ac:dyDescent="0.3">
      <c r="F772" s="19">
        <v>767</v>
      </c>
      <c r="G772" s="22">
        <v>45164</v>
      </c>
      <c r="H772" s="31">
        <f t="shared" si="12"/>
        <v>15297</v>
      </c>
    </row>
    <row r="773" spans="6:8" x14ac:dyDescent="0.3">
      <c r="F773" s="19">
        <v>768</v>
      </c>
      <c r="G773" s="22">
        <v>45163</v>
      </c>
      <c r="H773" s="31">
        <f t="shared" si="12"/>
        <v>15297</v>
      </c>
    </row>
    <row r="774" spans="6:8" x14ac:dyDescent="0.3">
      <c r="F774" s="19">
        <v>769</v>
      </c>
      <c r="G774" s="22">
        <v>45162</v>
      </c>
      <c r="H774" s="31">
        <f t="shared" si="12"/>
        <v>15253</v>
      </c>
    </row>
    <row r="775" spans="6:8" x14ac:dyDescent="0.3">
      <c r="F775" s="19">
        <v>770</v>
      </c>
      <c r="G775" s="22">
        <v>45161</v>
      </c>
      <c r="H775" s="31">
        <f t="shared" ref="H775:H838" si="13">_xlfn.XLOOKUP(G775,$B$6:$B$656,$C$6:$C$656,,-1)</f>
        <v>15319</v>
      </c>
    </row>
    <row r="776" spans="6:8" x14ac:dyDescent="0.3">
      <c r="F776" s="19">
        <v>771</v>
      </c>
      <c r="G776" s="22">
        <v>45160</v>
      </c>
      <c r="H776" s="31">
        <f t="shared" si="13"/>
        <v>15326</v>
      </c>
    </row>
    <row r="777" spans="6:8" x14ac:dyDescent="0.3">
      <c r="F777" s="19">
        <v>772</v>
      </c>
      <c r="G777" s="22">
        <v>45159</v>
      </c>
      <c r="H777" s="31">
        <f t="shared" si="13"/>
        <v>15329</v>
      </c>
    </row>
    <row r="778" spans="6:8" x14ac:dyDescent="0.3">
      <c r="F778" s="19">
        <v>773</v>
      </c>
      <c r="G778" s="22">
        <v>45158</v>
      </c>
      <c r="H778" s="31">
        <f t="shared" si="13"/>
        <v>15308</v>
      </c>
    </row>
    <row r="779" spans="6:8" x14ac:dyDescent="0.3">
      <c r="F779" s="19">
        <v>774</v>
      </c>
      <c r="G779" s="22">
        <v>45157</v>
      </c>
      <c r="H779" s="31">
        <f t="shared" si="13"/>
        <v>15308</v>
      </c>
    </row>
    <row r="780" spans="6:8" x14ac:dyDescent="0.3">
      <c r="F780" s="19">
        <v>775</v>
      </c>
      <c r="G780" s="22">
        <v>45156</v>
      </c>
      <c r="H780" s="31">
        <f t="shared" si="13"/>
        <v>15308</v>
      </c>
    </row>
    <row r="781" spans="6:8" x14ac:dyDescent="0.3">
      <c r="F781" s="19">
        <v>776</v>
      </c>
      <c r="G781" s="22">
        <v>45155</v>
      </c>
      <c r="H781" s="31">
        <f t="shared" si="13"/>
        <v>15308</v>
      </c>
    </row>
    <row r="782" spans="6:8" x14ac:dyDescent="0.3">
      <c r="F782" s="19">
        <v>777</v>
      </c>
      <c r="G782" s="22">
        <v>45154</v>
      </c>
      <c r="H782" s="31">
        <f t="shared" si="13"/>
        <v>15308</v>
      </c>
    </row>
    <row r="783" spans="6:8" x14ac:dyDescent="0.3">
      <c r="F783" s="19">
        <v>778</v>
      </c>
      <c r="G783" s="22">
        <v>45153</v>
      </c>
      <c r="H783" s="31">
        <f t="shared" si="13"/>
        <v>15346</v>
      </c>
    </row>
    <row r="784" spans="6:8" x14ac:dyDescent="0.3">
      <c r="F784" s="19">
        <v>779</v>
      </c>
      <c r="G784" s="22">
        <v>45152</v>
      </c>
      <c r="H784" s="31">
        <f t="shared" si="13"/>
        <v>15323</v>
      </c>
    </row>
    <row r="785" spans="6:8" x14ac:dyDescent="0.3">
      <c r="F785" s="19">
        <v>780</v>
      </c>
      <c r="G785" s="22">
        <v>45151</v>
      </c>
      <c r="H785" s="31">
        <f t="shared" si="13"/>
        <v>15225</v>
      </c>
    </row>
    <row r="786" spans="6:8" x14ac:dyDescent="0.3">
      <c r="F786" s="19">
        <v>781</v>
      </c>
      <c r="G786" s="22">
        <v>45150</v>
      </c>
      <c r="H786" s="31">
        <f t="shared" si="13"/>
        <v>15225</v>
      </c>
    </row>
    <row r="787" spans="6:8" x14ac:dyDescent="0.3">
      <c r="F787" s="19">
        <v>782</v>
      </c>
      <c r="G787" s="22">
        <v>45149</v>
      </c>
      <c r="H787" s="31">
        <f t="shared" si="13"/>
        <v>15225</v>
      </c>
    </row>
    <row r="788" spans="6:8" x14ac:dyDescent="0.3">
      <c r="F788" s="19">
        <v>783</v>
      </c>
      <c r="G788" s="22">
        <v>45148</v>
      </c>
      <c r="H788" s="31">
        <f t="shared" si="13"/>
        <v>15204</v>
      </c>
    </row>
    <row r="789" spans="6:8" x14ac:dyDescent="0.3">
      <c r="F789" s="19">
        <v>784</v>
      </c>
      <c r="G789" s="22">
        <v>45147</v>
      </c>
      <c r="H789" s="31">
        <f t="shared" si="13"/>
        <v>15206</v>
      </c>
    </row>
    <row r="790" spans="6:8" x14ac:dyDescent="0.3">
      <c r="F790" s="19">
        <v>785</v>
      </c>
      <c r="G790" s="22">
        <v>45146</v>
      </c>
      <c r="H790" s="31">
        <f t="shared" si="13"/>
        <v>15229</v>
      </c>
    </row>
    <row r="791" spans="6:8" x14ac:dyDescent="0.3">
      <c r="F791" s="19">
        <v>786</v>
      </c>
      <c r="G791" s="22">
        <v>45145</v>
      </c>
      <c r="H791" s="31">
        <f t="shared" si="13"/>
        <v>15178</v>
      </c>
    </row>
    <row r="792" spans="6:8" x14ac:dyDescent="0.3">
      <c r="F792" s="19">
        <v>787</v>
      </c>
      <c r="G792" s="22">
        <v>45144</v>
      </c>
      <c r="H792" s="31">
        <f t="shared" si="13"/>
        <v>15168</v>
      </c>
    </row>
    <row r="793" spans="6:8" x14ac:dyDescent="0.3">
      <c r="F793" s="19">
        <v>788</v>
      </c>
      <c r="G793" s="22">
        <v>45143</v>
      </c>
      <c r="H793" s="31">
        <f t="shared" si="13"/>
        <v>15168</v>
      </c>
    </row>
    <row r="794" spans="6:8" x14ac:dyDescent="0.3">
      <c r="F794" s="19">
        <v>789</v>
      </c>
      <c r="G794" s="22">
        <v>45142</v>
      </c>
      <c r="H794" s="31">
        <f t="shared" si="13"/>
        <v>15168</v>
      </c>
    </row>
    <row r="795" spans="6:8" x14ac:dyDescent="0.3">
      <c r="F795" s="19">
        <v>790</v>
      </c>
      <c r="G795" s="22">
        <v>45141</v>
      </c>
      <c r="H795" s="31">
        <f t="shared" si="13"/>
        <v>15198</v>
      </c>
    </row>
    <row r="796" spans="6:8" x14ac:dyDescent="0.3">
      <c r="F796" s="19">
        <v>791</v>
      </c>
      <c r="G796" s="22">
        <v>45140</v>
      </c>
      <c r="H796" s="31">
        <f t="shared" si="13"/>
        <v>15171</v>
      </c>
    </row>
    <row r="797" spans="6:8" x14ac:dyDescent="0.3">
      <c r="F797" s="19">
        <v>792</v>
      </c>
      <c r="G797" s="22">
        <v>45139</v>
      </c>
      <c r="H797" s="31">
        <f t="shared" si="13"/>
        <v>15117</v>
      </c>
    </row>
    <row r="798" spans="6:8" x14ac:dyDescent="0.3">
      <c r="F798" s="19">
        <v>793</v>
      </c>
      <c r="G798" s="22">
        <v>45138</v>
      </c>
      <c r="H798" s="31">
        <f t="shared" si="13"/>
        <v>15092</v>
      </c>
    </row>
    <row r="799" spans="6:8" x14ac:dyDescent="0.3">
      <c r="F799" s="19">
        <v>794</v>
      </c>
      <c r="G799" s="22">
        <v>45137</v>
      </c>
      <c r="H799" s="31">
        <f t="shared" si="13"/>
        <v>15083</v>
      </c>
    </row>
    <row r="800" spans="6:8" x14ac:dyDescent="0.3">
      <c r="F800" s="19">
        <v>795</v>
      </c>
      <c r="G800" s="22">
        <v>45136</v>
      </c>
      <c r="H800" s="31">
        <f t="shared" si="13"/>
        <v>15083</v>
      </c>
    </row>
    <row r="801" spans="6:8" x14ac:dyDescent="0.3">
      <c r="F801" s="19">
        <v>796</v>
      </c>
      <c r="G801" s="22">
        <v>45135</v>
      </c>
      <c r="H801" s="31">
        <f t="shared" si="13"/>
        <v>15083</v>
      </c>
    </row>
    <row r="802" spans="6:8" x14ac:dyDescent="0.3">
      <c r="F802" s="19">
        <v>797</v>
      </c>
      <c r="G802" s="22">
        <v>45134</v>
      </c>
      <c r="H802" s="31">
        <f t="shared" si="13"/>
        <v>15003</v>
      </c>
    </row>
    <row r="803" spans="6:8" x14ac:dyDescent="0.3">
      <c r="F803" s="19">
        <v>798</v>
      </c>
      <c r="G803" s="22">
        <v>45133</v>
      </c>
      <c r="H803" s="31">
        <f t="shared" si="13"/>
        <v>15032</v>
      </c>
    </row>
    <row r="804" spans="6:8" x14ac:dyDescent="0.3">
      <c r="F804" s="19">
        <v>799</v>
      </c>
      <c r="G804" s="22">
        <v>45132</v>
      </c>
      <c r="H804" s="31">
        <f t="shared" si="13"/>
        <v>15007</v>
      </c>
    </row>
    <row r="805" spans="6:8" x14ac:dyDescent="0.3">
      <c r="F805" s="19">
        <v>800</v>
      </c>
      <c r="G805" s="22">
        <v>45131</v>
      </c>
      <c r="H805" s="31">
        <f t="shared" si="13"/>
        <v>15028</v>
      </c>
    </row>
    <row r="806" spans="6:8" x14ac:dyDescent="0.3">
      <c r="F806" s="19">
        <v>801</v>
      </c>
      <c r="G806" s="22">
        <v>45130</v>
      </c>
      <c r="H806" s="31">
        <f t="shared" si="13"/>
        <v>15026</v>
      </c>
    </row>
    <row r="807" spans="6:8" x14ac:dyDescent="0.3">
      <c r="F807" s="19">
        <v>802</v>
      </c>
      <c r="G807" s="22">
        <v>45129</v>
      </c>
      <c r="H807" s="31">
        <f t="shared" si="13"/>
        <v>15026</v>
      </c>
    </row>
    <row r="808" spans="6:8" x14ac:dyDescent="0.3">
      <c r="F808" s="19">
        <v>803</v>
      </c>
      <c r="G808" s="22">
        <v>45128</v>
      </c>
      <c r="H808" s="31">
        <f t="shared" si="13"/>
        <v>15026</v>
      </c>
    </row>
    <row r="809" spans="6:8" x14ac:dyDescent="0.3">
      <c r="F809" s="19">
        <v>804</v>
      </c>
      <c r="G809" s="22">
        <v>45127</v>
      </c>
      <c r="H809" s="31">
        <f t="shared" si="13"/>
        <v>14991</v>
      </c>
    </row>
    <row r="810" spans="6:8" x14ac:dyDescent="0.3">
      <c r="F810" s="19">
        <v>805</v>
      </c>
      <c r="G810" s="22">
        <v>45126</v>
      </c>
      <c r="H810" s="31">
        <f t="shared" si="13"/>
        <v>14994</v>
      </c>
    </row>
    <row r="811" spans="6:8" x14ac:dyDescent="0.3">
      <c r="F811" s="19">
        <v>806</v>
      </c>
      <c r="G811" s="22">
        <v>45125</v>
      </c>
      <c r="H811" s="31">
        <f t="shared" si="13"/>
        <v>14994</v>
      </c>
    </row>
    <row r="812" spans="6:8" x14ac:dyDescent="0.3">
      <c r="F812" s="19">
        <v>807</v>
      </c>
      <c r="G812" s="22">
        <v>45124</v>
      </c>
      <c r="H812" s="31">
        <f t="shared" si="13"/>
        <v>15007</v>
      </c>
    </row>
    <row r="813" spans="6:8" x14ac:dyDescent="0.3">
      <c r="F813" s="19">
        <v>808</v>
      </c>
      <c r="G813" s="22">
        <v>45123</v>
      </c>
      <c r="H813" s="31">
        <f t="shared" si="13"/>
        <v>14945</v>
      </c>
    </row>
    <row r="814" spans="6:8" x14ac:dyDescent="0.3">
      <c r="F814" s="19">
        <v>809</v>
      </c>
      <c r="G814" s="22">
        <v>45122</v>
      </c>
      <c r="H814" s="31">
        <f t="shared" si="13"/>
        <v>14945</v>
      </c>
    </row>
    <row r="815" spans="6:8" x14ac:dyDescent="0.3">
      <c r="F815" s="19">
        <v>810</v>
      </c>
      <c r="G815" s="22">
        <v>45121</v>
      </c>
      <c r="H815" s="31">
        <f t="shared" si="13"/>
        <v>14945</v>
      </c>
    </row>
    <row r="816" spans="6:8" x14ac:dyDescent="0.3">
      <c r="F816" s="19">
        <v>811</v>
      </c>
      <c r="G816" s="22">
        <v>45120</v>
      </c>
      <c r="H816" s="31">
        <f t="shared" si="13"/>
        <v>14978</v>
      </c>
    </row>
    <row r="817" spans="6:8" x14ac:dyDescent="0.3">
      <c r="F817" s="19">
        <v>812</v>
      </c>
      <c r="G817" s="22">
        <v>45119</v>
      </c>
      <c r="H817" s="31">
        <f t="shared" si="13"/>
        <v>15084</v>
      </c>
    </row>
    <row r="818" spans="6:8" x14ac:dyDescent="0.3">
      <c r="F818" s="19">
        <v>813</v>
      </c>
      <c r="G818" s="22">
        <v>45118</v>
      </c>
      <c r="H818" s="31">
        <f t="shared" si="13"/>
        <v>15162</v>
      </c>
    </row>
    <row r="819" spans="6:8" x14ac:dyDescent="0.3">
      <c r="F819" s="19">
        <v>814</v>
      </c>
      <c r="G819" s="22">
        <v>45117</v>
      </c>
      <c r="H819" s="31">
        <f t="shared" si="13"/>
        <v>15192</v>
      </c>
    </row>
    <row r="820" spans="6:8" x14ac:dyDescent="0.3">
      <c r="F820" s="19">
        <v>815</v>
      </c>
      <c r="G820" s="22">
        <v>45116</v>
      </c>
      <c r="H820" s="31">
        <f t="shared" si="13"/>
        <v>15136</v>
      </c>
    </row>
    <row r="821" spans="6:8" x14ac:dyDescent="0.3">
      <c r="F821" s="19">
        <v>816</v>
      </c>
      <c r="G821" s="22">
        <v>45115</v>
      </c>
      <c r="H821" s="31">
        <f t="shared" si="13"/>
        <v>15136</v>
      </c>
    </row>
    <row r="822" spans="6:8" x14ac:dyDescent="0.3">
      <c r="F822" s="19">
        <v>817</v>
      </c>
      <c r="G822" s="22">
        <v>45114</v>
      </c>
      <c r="H822" s="31">
        <f t="shared" si="13"/>
        <v>15136</v>
      </c>
    </row>
    <row r="823" spans="6:8" x14ac:dyDescent="0.3">
      <c r="F823" s="19">
        <v>818</v>
      </c>
      <c r="G823" s="22">
        <v>45113</v>
      </c>
      <c r="H823" s="31">
        <f t="shared" si="13"/>
        <v>15062</v>
      </c>
    </row>
    <row r="824" spans="6:8" x14ac:dyDescent="0.3">
      <c r="F824" s="19">
        <v>819</v>
      </c>
      <c r="G824" s="22">
        <v>45112</v>
      </c>
      <c r="H824" s="31">
        <f t="shared" si="13"/>
        <v>15013</v>
      </c>
    </row>
    <row r="825" spans="6:8" x14ac:dyDescent="0.3">
      <c r="F825" s="19">
        <v>820</v>
      </c>
      <c r="G825" s="22">
        <v>45111</v>
      </c>
      <c r="H825" s="31">
        <f t="shared" si="13"/>
        <v>15018</v>
      </c>
    </row>
    <row r="826" spans="6:8" x14ac:dyDescent="0.3">
      <c r="F826" s="19">
        <v>821</v>
      </c>
      <c r="G826" s="22">
        <v>45110</v>
      </c>
      <c r="H826" s="31">
        <f t="shared" si="13"/>
        <v>15034</v>
      </c>
    </row>
    <row r="827" spans="6:8" x14ac:dyDescent="0.3">
      <c r="F827" s="19">
        <v>822</v>
      </c>
      <c r="G827" s="22">
        <v>45109</v>
      </c>
      <c r="H827" s="31">
        <f t="shared" si="13"/>
        <v>15000</v>
      </c>
    </row>
    <row r="828" spans="6:8" x14ac:dyDescent="0.3">
      <c r="F828" s="19">
        <v>823</v>
      </c>
      <c r="G828" s="22">
        <v>45108</v>
      </c>
      <c r="H828" s="31">
        <f t="shared" si="13"/>
        <v>15000</v>
      </c>
    </row>
    <row r="829" spans="6:8" x14ac:dyDescent="0.3">
      <c r="F829" s="19">
        <v>824</v>
      </c>
      <c r="G829" s="22">
        <v>45107</v>
      </c>
      <c r="H829" s="31">
        <f t="shared" si="13"/>
        <v>15000</v>
      </c>
    </row>
    <row r="830" spans="6:8" x14ac:dyDescent="0.3">
      <c r="F830" s="19">
        <v>825</v>
      </c>
      <c r="G830" s="22">
        <v>45106</v>
      </c>
      <c r="H830" s="31">
        <f t="shared" si="13"/>
        <v>15000</v>
      </c>
    </row>
    <row r="831" spans="6:8" x14ac:dyDescent="0.3">
      <c r="F831" s="19">
        <v>826</v>
      </c>
      <c r="G831" s="22">
        <v>45105</v>
      </c>
      <c r="H831" s="31">
        <f t="shared" si="13"/>
        <v>15000</v>
      </c>
    </row>
    <row r="832" spans="6:8" x14ac:dyDescent="0.3">
      <c r="F832" s="19">
        <v>827</v>
      </c>
      <c r="G832" s="22">
        <v>45104</v>
      </c>
      <c r="H832" s="31">
        <f t="shared" si="13"/>
        <v>15000</v>
      </c>
    </row>
    <row r="833" spans="6:8" x14ac:dyDescent="0.3">
      <c r="F833" s="19">
        <v>828</v>
      </c>
      <c r="G833" s="22">
        <v>45103</v>
      </c>
      <c r="H833" s="31">
        <f t="shared" si="13"/>
        <v>15026</v>
      </c>
    </row>
    <row r="834" spans="6:8" x14ac:dyDescent="0.3">
      <c r="F834" s="19">
        <v>829</v>
      </c>
      <c r="G834" s="22">
        <v>45102</v>
      </c>
      <c r="H834" s="31">
        <f t="shared" si="13"/>
        <v>14998</v>
      </c>
    </row>
    <row r="835" spans="6:8" x14ac:dyDescent="0.3">
      <c r="F835" s="19">
        <v>830</v>
      </c>
      <c r="G835" s="22">
        <v>45101</v>
      </c>
      <c r="H835" s="31">
        <f t="shared" si="13"/>
        <v>14998</v>
      </c>
    </row>
    <row r="836" spans="6:8" x14ac:dyDescent="0.3">
      <c r="F836" s="19">
        <v>831</v>
      </c>
      <c r="G836" s="22">
        <v>45100</v>
      </c>
      <c r="H836" s="31">
        <f t="shared" si="13"/>
        <v>14998</v>
      </c>
    </row>
    <row r="837" spans="6:8" x14ac:dyDescent="0.3">
      <c r="F837" s="19">
        <v>832</v>
      </c>
      <c r="G837" s="22">
        <v>45099</v>
      </c>
      <c r="H837" s="31">
        <f t="shared" si="13"/>
        <v>14918</v>
      </c>
    </row>
    <row r="838" spans="6:8" x14ac:dyDescent="0.3">
      <c r="F838" s="19">
        <v>833</v>
      </c>
      <c r="G838" s="22">
        <v>45098</v>
      </c>
      <c r="H838" s="31">
        <f t="shared" si="13"/>
        <v>14982</v>
      </c>
    </row>
    <row r="839" spans="6:8" x14ac:dyDescent="0.3">
      <c r="F839" s="19">
        <v>834</v>
      </c>
      <c r="G839" s="22">
        <v>45097</v>
      </c>
      <c r="H839" s="31">
        <f t="shared" ref="H839:H902" si="14">_xlfn.XLOOKUP(G839,$B$6:$B$656,$C$6:$C$656,,-1)</f>
        <v>15040</v>
      </c>
    </row>
    <row r="840" spans="6:8" x14ac:dyDescent="0.3">
      <c r="F840" s="19">
        <v>835</v>
      </c>
      <c r="G840" s="22">
        <v>45096</v>
      </c>
      <c r="H840" s="31">
        <f t="shared" si="14"/>
        <v>14994</v>
      </c>
    </row>
    <row r="841" spans="6:8" x14ac:dyDescent="0.3">
      <c r="F841" s="19">
        <v>836</v>
      </c>
      <c r="G841" s="22">
        <v>45095</v>
      </c>
      <c r="H841" s="31">
        <f t="shared" si="14"/>
        <v>14945</v>
      </c>
    </row>
    <row r="842" spans="6:8" x14ac:dyDescent="0.3">
      <c r="F842" s="19">
        <v>837</v>
      </c>
      <c r="G842" s="22">
        <v>45094</v>
      </c>
      <c r="H842" s="31">
        <f t="shared" si="14"/>
        <v>14945</v>
      </c>
    </row>
    <row r="843" spans="6:8" x14ac:dyDescent="0.3">
      <c r="F843" s="19">
        <v>838</v>
      </c>
      <c r="G843" s="22">
        <v>45093</v>
      </c>
      <c r="H843" s="31">
        <f t="shared" si="14"/>
        <v>14945</v>
      </c>
    </row>
    <row r="844" spans="6:8" x14ac:dyDescent="0.3">
      <c r="F844" s="19">
        <v>839</v>
      </c>
      <c r="G844" s="22">
        <v>45092</v>
      </c>
      <c r="H844" s="31">
        <f t="shared" si="14"/>
        <v>14943</v>
      </c>
    </row>
    <row r="845" spans="6:8" x14ac:dyDescent="0.3">
      <c r="F845" s="19">
        <v>840</v>
      </c>
      <c r="G845" s="22">
        <v>45091</v>
      </c>
      <c r="H845" s="31">
        <f t="shared" si="14"/>
        <v>14895</v>
      </c>
    </row>
    <row r="846" spans="6:8" x14ac:dyDescent="0.3">
      <c r="F846" s="19">
        <v>841</v>
      </c>
      <c r="G846" s="22">
        <v>45090</v>
      </c>
      <c r="H846" s="31">
        <f t="shared" si="14"/>
        <v>14868</v>
      </c>
    </row>
    <row r="847" spans="6:8" x14ac:dyDescent="0.3">
      <c r="F847" s="19">
        <v>842</v>
      </c>
      <c r="G847" s="22">
        <v>45089</v>
      </c>
      <c r="H847" s="31">
        <f t="shared" si="14"/>
        <v>14874</v>
      </c>
    </row>
    <row r="848" spans="6:8" x14ac:dyDescent="0.3">
      <c r="F848" s="19">
        <v>843</v>
      </c>
      <c r="G848" s="22">
        <v>45088</v>
      </c>
      <c r="H848" s="31">
        <f t="shared" si="14"/>
        <v>14853</v>
      </c>
    </row>
    <row r="849" spans="6:8" x14ac:dyDescent="0.3">
      <c r="F849" s="19">
        <v>844</v>
      </c>
      <c r="G849" s="22">
        <v>45087</v>
      </c>
      <c r="H849" s="31">
        <f t="shared" si="14"/>
        <v>14853</v>
      </c>
    </row>
    <row r="850" spans="6:8" x14ac:dyDescent="0.3">
      <c r="F850" s="19">
        <v>845</v>
      </c>
      <c r="G850" s="22">
        <v>45086</v>
      </c>
      <c r="H850" s="31">
        <f t="shared" si="14"/>
        <v>14853</v>
      </c>
    </row>
    <row r="851" spans="6:8" x14ac:dyDescent="0.3">
      <c r="F851" s="19">
        <v>846</v>
      </c>
      <c r="G851" s="22">
        <v>45085</v>
      </c>
      <c r="H851" s="31">
        <f t="shared" si="14"/>
        <v>14903</v>
      </c>
    </row>
    <row r="852" spans="6:8" x14ac:dyDescent="0.3">
      <c r="F852" s="19">
        <v>847</v>
      </c>
      <c r="G852" s="22">
        <v>45084</v>
      </c>
      <c r="H852" s="31">
        <f t="shared" si="14"/>
        <v>14875</v>
      </c>
    </row>
    <row r="853" spans="6:8" x14ac:dyDescent="0.3">
      <c r="F853" s="19">
        <v>848</v>
      </c>
      <c r="G853" s="22">
        <v>45083</v>
      </c>
      <c r="H853" s="31">
        <f t="shared" si="14"/>
        <v>14839</v>
      </c>
    </row>
    <row r="854" spans="6:8" x14ac:dyDescent="0.3">
      <c r="F854" s="19">
        <v>849</v>
      </c>
      <c r="G854" s="22">
        <v>45082</v>
      </c>
      <c r="H854" s="31">
        <f t="shared" si="14"/>
        <v>14888</v>
      </c>
    </row>
    <row r="855" spans="6:8" x14ac:dyDescent="0.3">
      <c r="F855" s="19">
        <v>850</v>
      </c>
      <c r="G855" s="22">
        <v>45081</v>
      </c>
      <c r="H855" s="31">
        <f t="shared" si="14"/>
        <v>15003</v>
      </c>
    </row>
    <row r="856" spans="6:8" x14ac:dyDescent="0.3">
      <c r="F856" s="19">
        <v>851</v>
      </c>
      <c r="G856" s="22">
        <v>45080</v>
      </c>
      <c r="H856" s="31">
        <f t="shared" si="14"/>
        <v>15003</v>
      </c>
    </row>
    <row r="857" spans="6:8" x14ac:dyDescent="0.3">
      <c r="F857" s="19">
        <v>852</v>
      </c>
      <c r="G857" s="22">
        <v>45079</v>
      </c>
      <c r="H857" s="31">
        <f t="shared" si="14"/>
        <v>15003</v>
      </c>
    </row>
    <row r="858" spans="6:8" x14ac:dyDescent="0.3">
      <c r="F858" s="19">
        <v>853</v>
      </c>
      <c r="G858" s="22">
        <v>45078</v>
      </c>
      <c r="H858" s="31">
        <f t="shared" si="14"/>
        <v>15003</v>
      </c>
    </row>
    <row r="859" spans="6:8" x14ac:dyDescent="0.3">
      <c r="F859" s="19">
        <v>854</v>
      </c>
      <c r="G859" s="22">
        <v>45077</v>
      </c>
      <c r="H859" s="31">
        <f t="shared" si="14"/>
        <v>15003</v>
      </c>
    </row>
    <row r="860" spans="6:8" x14ac:dyDescent="0.3">
      <c r="F860" s="19">
        <v>855</v>
      </c>
      <c r="G860" s="22">
        <v>45076</v>
      </c>
      <c r="H860" s="31">
        <f t="shared" si="14"/>
        <v>14969</v>
      </c>
    </row>
    <row r="861" spans="6:8" x14ac:dyDescent="0.3">
      <c r="F861" s="19">
        <v>856</v>
      </c>
      <c r="G861" s="22">
        <v>45075</v>
      </c>
      <c r="H861" s="31">
        <f t="shared" si="14"/>
        <v>14973</v>
      </c>
    </row>
    <row r="862" spans="6:8" x14ac:dyDescent="0.3">
      <c r="F862" s="19">
        <v>857</v>
      </c>
      <c r="G862" s="22">
        <v>45074</v>
      </c>
      <c r="H862" s="31">
        <f t="shared" si="14"/>
        <v>14959</v>
      </c>
    </row>
    <row r="863" spans="6:8" x14ac:dyDescent="0.3">
      <c r="F863" s="19">
        <v>858</v>
      </c>
      <c r="G863" s="22">
        <v>45073</v>
      </c>
      <c r="H863" s="31">
        <f t="shared" si="14"/>
        <v>14959</v>
      </c>
    </row>
    <row r="864" spans="6:8" x14ac:dyDescent="0.3">
      <c r="F864" s="19">
        <v>859</v>
      </c>
      <c r="G864" s="22">
        <v>45072</v>
      </c>
      <c r="H864" s="31">
        <f t="shared" si="14"/>
        <v>14959</v>
      </c>
    </row>
    <row r="865" spans="6:8" x14ac:dyDescent="0.3">
      <c r="F865" s="19">
        <v>860</v>
      </c>
      <c r="G865" s="22">
        <v>45071</v>
      </c>
      <c r="H865" s="31">
        <f t="shared" si="14"/>
        <v>14952</v>
      </c>
    </row>
    <row r="866" spans="6:8" x14ac:dyDescent="0.3">
      <c r="F866" s="19">
        <v>861</v>
      </c>
      <c r="G866" s="22">
        <v>45070</v>
      </c>
      <c r="H866" s="31">
        <f t="shared" si="14"/>
        <v>14905</v>
      </c>
    </row>
    <row r="867" spans="6:8" x14ac:dyDescent="0.3">
      <c r="F867" s="19">
        <v>862</v>
      </c>
      <c r="G867" s="22">
        <v>45069</v>
      </c>
      <c r="H867" s="31">
        <f t="shared" si="14"/>
        <v>14878</v>
      </c>
    </row>
    <row r="868" spans="6:8" x14ac:dyDescent="0.3">
      <c r="F868" s="19">
        <v>863</v>
      </c>
      <c r="G868" s="22">
        <v>45068</v>
      </c>
      <c r="H868" s="31">
        <f t="shared" si="14"/>
        <v>14897</v>
      </c>
    </row>
    <row r="869" spans="6:8" x14ac:dyDescent="0.3">
      <c r="F869" s="19">
        <v>864</v>
      </c>
      <c r="G869" s="22">
        <v>45067</v>
      </c>
      <c r="H869" s="31">
        <f t="shared" si="14"/>
        <v>14936</v>
      </c>
    </row>
    <row r="870" spans="6:8" x14ac:dyDescent="0.3">
      <c r="F870" s="19">
        <v>865</v>
      </c>
      <c r="G870" s="22">
        <v>45066</v>
      </c>
      <c r="H870" s="31">
        <f t="shared" si="14"/>
        <v>14936</v>
      </c>
    </row>
    <row r="871" spans="6:8" x14ac:dyDescent="0.3">
      <c r="F871" s="19">
        <v>866</v>
      </c>
      <c r="G871" s="22">
        <v>45065</v>
      </c>
      <c r="H871" s="31">
        <f t="shared" si="14"/>
        <v>14936</v>
      </c>
    </row>
    <row r="872" spans="6:8" x14ac:dyDescent="0.3">
      <c r="F872" s="19">
        <v>867</v>
      </c>
      <c r="G872" s="22">
        <v>45064</v>
      </c>
      <c r="H872" s="31">
        <f t="shared" si="14"/>
        <v>14875</v>
      </c>
    </row>
    <row r="873" spans="6:8" x14ac:dyDescent="0.3">
      <c r="F873" s="19">
        <v>868</v>
      </c>
      <c r="G873" s="22">
        <v>45063</v>
      </c>
      <c r="H873" s="31">
        <f t="shared" si="14"/>
        <v>14875</v>
      </c>
    </row>
    <row r="874" spans="6:8" x14ac:dyDescent="0.3">
      <c r="F874" s="19">
        <v>869</v>
      </c>
      <c r="G874" s="22">
        <v>45062</v>
      </c>
      <c r="H874" s="31">
        <f t="shared" si="14"/>
        <v>14810</v>
      </c>
    </row>
    <row r="875" spans="6:8" x14ac:dyDescent="0.3">
      <c r="F875" s="19">
        <v>870</v>
      </c>
      <c r="G875" s="22">
        <v>45061</v>
      </c>
      <c r="H875" s="31">
        <f t="shared" si="14"/>
        <v>14812</v>
      </c>
    </row>
    <row r="876" spans="6:8" x14ac:dyDescent="0.3">
      <c r="F876" s="19">
        <v>871</v>
      </c>
      <c r="G876" s="22">
        <v>45060</v>
      </c>
      <c r="H876" s="31">
        <f t="shared" si="14"/>
        <v>14752</v>
      </c>
    </row>
    <row r="877" spans="6:8" x14ac:dyDescent="0.3">
      <c r="F877" s="19">
        <v>872</v>
      </c>
      <c r="G877" s="22">
        <v>45059</v>
      </c>
      <c r="H877" s="31">
        <f t="shared" si="14"/>
        <v>14752</v>
      </c>
    </row>
    <row r="878" spans="6:8" x14ac:dyDescent="0.3">
      <c r="F878" s="19">
        <v>873</v>
      </c>
      <c r="G878" s="22">
        <v>45058</v>
      </c>
      <c r="H878" s="31">
        <f t="shared" si="14"/>
        <v>14752</v>
      </c>
    </row>
    <row r="879" spans="6:8" x14ac:dyDescent="0.3">
      <c r="F879" s="19">
        <v>874</v>
      </c>
      <c r="G879" s="22">
        <v>45057</v>
      </c>
      <c r="H879" s="31">
        <f t="shared" si="14"/>
        <v>14722</v>
      </c>
    </row>
    <row r="880" spans="6:8" x14ac:dyDescent="0.3">
      <c r="F880" s="19">
        <v>875</v>
      </c>
      <c r="G880" s="22">
        <v>45056</v>
      </c>
      <c r="H880" s="31">
        <f t="shared" si="14"/>
        <v>14746</v>
      </c>
    </row>
    <row r="881" spans="6:8" x14ac:dyDescent="0.3">
      <c r="F881" s="19">
        <v>876</v>
      </c>
      <c r="G881" s="22">
        <v>45055</v>
      </c>
      <c r="H881" s="31">
        <f t="shared" si="14"/>
        <v>14757</v>
      </c>
    </row>
    <row r="882" spans="6:8" x14ac:dyDescent="0.3">
      <c r="F882" s="19">
        <v>877</v>
      </c>
      <c r="G882" s="22">
        <v>45054</v>
      </c>
      <c r="H882" s="31">
        <f t="shared" si="14"/>
        <v>14709</v>
      </c>
    </row>
    <row r="883" spans="6:8" x14ac:dyDescent="0.3">
      <c r="F883" s="19">
        <v>878</v>
      </c>
      <c r="G883" s="22">
        <v>45053</v>
      </c>
      <c r="H883" s="31">
        <f t="shared" si="14"/>
        <v>14674</v>
      </c>
    </row>
    <row r="884" spans="6:8" x14ac:dyDescent="0.3">
      <c r="F884" s="19">
        <v>879</v>
      </c>
      <c r="G884" s="22">
        <v>45052</v>
      </c>
      <c r="H884" s="31">
        <f t="shared" si="14"/>
        <v>14674</v>
      </c>
    </row>
    <row r="885" spans="6:8" x14ac:dyDescent="0.3">
      <c r="F885" s="19">
        <v>880</v>
      </c>
      <c r="G885" s="22">
        <v>45051</v>
      </c>
      <c r="H885" s="31">
        <f t="shared" si="14"/>
        <v>14674</v>
      </c>
    </row>
    <row r="886" spans="6:8" x14ac:dyDescent="0.3">
      <c r="F886" s="19">
        <v>881</v>
      </c>
      <c r="G886" s="22">
        <v>45050</v>
      </c>
      <c r="H886" s="31">
        <f t="shared" si="14"/>
        <v>14632</v>
      </c>
    </row>
    <row r="887" spans="6:8" x14ac:dyDescent="0.3">
      <c r="F887" s="19">
        <v>882</v>
      </c>
      <c r="G887" s="22">
        <v>45049</v>
      </c>
      <c r="H887" s="31">
        <f t="shared" si="14"/>
        <v>14706</v>
      </c>
    </row>
    <row r="888" spans="6:8" x14ac:dyDescent="0.3">
      <c r="F888" s="19">
        <v>883</v>
      </c>
      <c r="G888" s="22">
        <v>45048</v>
      </c>
      <c r="H888" s="31">
        <f t="shared" si="14"/>
        <v>14703</v>
      </c>
    </row>
    <row r="889" spans="6:8" x14ac:dyDescent="0.3">
      <c r="F889" s="19">
        <v>884</v>
      </c>
      <c r="G889" s="22">
        <v>45047</v>
      </c>
      <c r="H889" s="31">
        <f t="shared" si="14"/>
        <v>14661</v>
      </c>
    </row>
    <row r="890" spans="6:8" x14ac:dyDescent="0.3">
      <c r="F890" s="19">
        <v>885</v>
      </c>
      <c r="G890" s="22">
        <v>45046</v>
      </c>
      <c r="H890" s="31">
        <f t="shared" si="14"/>
        <v>14661</v>
      </c>
    </row>
    <row r="891" spans="6:8" x14ac:dyDescent="0.3">
      <c r="F891" s="19">
        <v>886</v>
      </c>
      <c r="G891" s="22">
        <v>45045</v>
      </c>
      <c r="H891" s="31">
        <f t="shared" si="14"/>
        <v>14661</v>
      </c>
    </row>
    <row r="892" spans="6:8" x14ac:dyDescent="0.3">
      <c r="F892" s="19">
        <v>887</v>
      </c>
      <c r="G892" s="22">
        <v>45044</v>
      </c>
      <c r="H892" s="31">
        <f t="shared" si="14"/>
        <v>14661</v>
      </c>
    </row>
    <row r="893" spans="6:8" x14ac:dyDescent="0.3">
      <c r="F893" s="19">
        <v>888</v>
      </c>
      <c r="G893" s="22">
        <v>45043</v>
      </c>
      <c r="H893" s="31">
        <f t="shared" si="14"/>
        <v>14751</v>
      </c>
    </row>
    <row r="894" spans="6:8" x14ac:dyDescent="0.3">
      <c r="F894" s="19">
        <v>889</v>
      </c>
      <c r="G894" s="22">
        <v>45042</v>
      </c>
      <c r="H894" s="31">
        <f t="shared" si="14"/>
        <v>14882</v>
      </c>
    </row>
    <row r="895" spans="6:8" x14ac:dyDescent="0.3">
      <c r="F895" s="19">
        <v>890</v>
      </c>
      <c r="G895" s="22">
        <v>45041</v>
      </c>
      <c r="H895" s="31">
        <f t="shared" si="14"/>
        <v>14855</v>
      </c>
    </row>
    <row r="896" spans="6:8" x14ac:dyDescent="0.3">
      <c r="F896" s="19">
        <v>891</v>
      </c>
      <c r="G896" s="22">
        <v>45040</v>
      </c>
      <c r="H896" s="31">
        <f t="shared" si="14"/>
        <v>14855</v>
      </c>
    </row>
    <row r="897" spans="6:8" x14ac:dyDescent="0.3">
      <c r="F897" s="19">
        <v>892</v>
      </c>
      <c r="G897" s="22">
        <v>45039</v>
      </c>
      <c r="H897" s="31">
        <f t="shared" si="14"/>
        <v>14855</v>
      </c>
    </row>
    <row r="898" spans="6:8" x14ac:dyDescent="0.3">
      <c r="F898" s="19">
        <v>893</v>
      </c>
      <c r="G898" s="22">
        <v>45038</v>
      </c>
      <c r="H898" s="31">
        <f t="shared" si="14"/>
        <v>14855</v>
      </c>
    </row>
    <row r="899" spans="6:8" x14ac:dyDescent="0.3">
      <c r="F899" s="19">
        <v>894</v>
      </c>
      <c r="G899" s="22">
        <v>45037</v>
      </c>
      <c r="H899" s="31">
        <f t="shared" si="14"/>
        <v>14855</v>
      </c>
    </row>
    <row r="900" spans="6:8" x14ac:dyDescent="0.3">
      <c r="F900" s="19">
        <v>895</v>
      </c>
      <c r="G900" s="22">
        <v>45036</v>
      </c>
      <c r="H900" s="31">
        <f t="shared" si="14"/>
        <v>14855</v>
      </c>
    </row>
    <row r="901" spans="6:8" x14ac:dyDescent="0.3">
      <c r="F901" s="19">
        <v>896</v>
      </c>
      <c r="G901" s="22">
        <v>45035</v>
      </c>
      <c r="H901" s="31">
        <f t="shared" si="14"/>
        <v>14855</v>
      </c>
    </row>
    <row r="902" spans="6:8" x14ac:dyDescent="0.3">
      <c r="F902" s="19">
        <v>897</v>
      </c>
      <c r="G902" s="22">
        <v>45034</v>
      </c>
      <c r="H902" s="31">
        <f t="shared" si="14"/>
        <v>14855</v>
      </c>
    </row>
    <row r="903" spans="6:8" x14ac:dyDescent="0.3">
      <c r="F903" s="19">
        <v>898</v>
      </c>
      <c r="G903" s="22">
        <v>45033</v>
      </c>
      <c r="H903" s="31">
        <f t="shared" ref="H903:H966" si="15">_xlfn.XLOOKUP(G903,$B$6:$B$656,$C$6:$C$656,,-1)</f>
        <v>14773</v>
      </c>
    </row>
    <row r="904" spans="6:8" x14ac:dyDescent="0.3">
      <c r="F904" s="19">
        <v>899</v>
      </c>
      <c r="G904" s="22">
        <v>45032</v>
      </c>
      <c r="H904" s="31">
        <f t="shared" si="15"/>
        <v>14666</v>
      </c>
    </row>
    <row r="905" spans="6:8" x14ac:dyDescent="0.3">
      <c r="F905" s="19">
        <v>900</v>
      </c>
      <c r="G905" s="22">
        <v>45031</v>
      </c>
      <c r="H905" s="31">
        <f t="shared" si="15"/>
        <v>14666</v>
      </c>
    </row>
    <row r="906" spans="6:8" x14ac:dyDescent="0.3">
      <c r="F906" s="19">
        <v>901</v>
      </c>
      <c r="G906" s="22">
        <v>45030</v>
      </c>
      <c r="H906" s="31">
        <f t="shared" si="15"/>
        <v>14666</v>
      </c>
    </row>
    <row r="907" spans="6:8" x14ac:dyDescent="0.3">
      <c r="F907" s="19">
        <v>902</v>
      </c>
      <c r="G907" s="22">
        <v>45029</v>
      </c>
      <c r="H907" s="31">
        <f t="shared" si="15"/>
        <v>14792</v>
      </c>
    </row>
    <row r="908" spans="6:8" x14ac:dyDescent="0.3">
      <c r="F908" s="19">
        <v>903</v>
      </c>
      <c r="G908" s="22">
        <v>45028</v>
      </c>
      <c r="H908" s="31">
        <f t="shared" si="15"/>
        <v>14866</v>
      </c>
    </row>
    <row r="909" spans="6:8" x14ac:dyDescent="0.3">
      <c r="F909" s="19">
        <v>904</v>
      </c>
      <c r="G909" s="22">
        <v>45027</v>
      </c>
      <c r="H909" s="31">
        <f t="shared" si="15"/>
        <v>14888</v>
      </c>
    </row>
    <row r="910" spans="6:8" x14ac:dyDescent="0.3">
      <c r="F910" s="19">
        <v>905</v>
      </c>
      <c r="G910" s="22">
        <v>45026</v>
      </c>
      <c r="H910" s="31">
        <f t="shared" si="15"/>
        <v>14905</v>
      </c>
    </row>
    <row r="911" spans="6:8" x14ac:dyDescent="0.3">
      <c r="F911" s="19">
        <v>906</v>
      </c>
      <c r="G911" s="22">
        <v>45025</v>
      </c>
      <c r="H911" s="31">
        <f t="shared" si="15"/>
        <v>14943</v>
      </c>
    </row>
    <row r="912" spans="6:8" x14ac:dyDescent="0.3">
      <c r="F912" s="19">
        <v>907</v>
      </c>
      <c r="G912" s="22">
        <v>45024</v>
      </c>
      <c r="H912" s="31">
        <f t="shared" si="15"/>
        <v>14943</v>
      </c>
    </row>
    <row r="913" spans="6:8" x14ac:dyDescent="0.3">
      <c r="F913" s="19">
        <v>908</v>
      </c>
      <c r="G913" s="22">
        <v>45023</v>
      </c>
      <c r="H913" s="31">
        <f t="shared" si="15"/>
        <v>14943</v>
      </c>
    </row>
    <row r="914" spans="6:8" x14ac:dyDescent="0.3">
      <c r="F914" s="19">
        <v>909</v>
      </c>
      <c r="G914" s="22">
        <v>45022</v>
      </c>
      <c r="H914" s="31">
        <f t="shared" si="15"/>
        <v>14943</v>
      </c>
    </row>
    <row r="915" spans="6:8" x14ac:dyDescent="0.3">
      <c r="F915" s="19">
        <v>910</v>
      </c>
      <c r="G915" s="22">
        <v>45021</v>
      </c>
      <c r="H915" s="31">
        <f t="shared" si="15"/>
        <v>14933</v>
      </c>
    </row>
    <row r="916" spans="6:8" x14ac:dyDescent="0.3">
      <c r="F916" s="19">
        <v>911</v>
      </c>
      <c r="G916" s="22">
        <v>45020</v>
      </c>
      <c r="H916" s="31">
        <f t="shared" si="15"/>
        <v>14913</v>
      </c>
    </row>
    <row r="917" spans="6:8" x14ac:dyDescent="0.3">
      <c r="F917" s="19">
        <v>912</v>
      </c>
      <c r="G917" s="22">
        <v>45019</v>
      </c>
      <c r="H917" s="31">
        <f t="shared" si="15"/>
        <v>14990</v>
      </c>
    </row>
    <row r="918" spans="6:8" x14ac:dyDescent="0.3">
      <c r="F918" s="19">
        <v>913</v>
      </c>
      <c r="G918" s="22">
        <v>45018</v>
      </c>
      <c r="H918" s="31">
        <f t="shared" si="15"/>
        <v>14977</v>
      </c>
    </row>
    <row r="919" spans="6:8" x14ac:dyDescent="0.3">
      <c r="F919" s="19">
        <v>914</v>
      </c>
      <c r="G919" s="22">
        <v>45017</v>
      </c>
      <c r="H919" s="31">
        <f t="shared" si="15"/>
        <v>14977</v>
      </c>
    </row>
    <row r="920" spans="6:8" x14ac:dyDescent="0.3">
      <c r="F920" s="19">
        <v>915</v>
      </c>
      <c r="G920" s="22">
        <v>45016</v>
      </c>
      <c r="H920" s="31">
        <f t="shared" si="15"/>
        <v>14977</v>
      </c>
    </row>
    <row r="921" spans="6:8" x14ac:dyDescent="0.3">
      <c r="F921" s="19">
        <v>916</v>
      </c>
      <c r="G921" s="22">
        <v>45015</v>
      </c>
      <c r="H921" s="31">
        <f t="shared" si="15"/>
        <v>15062</v>
      </c>
    </row>
    <row r="922" spans="6:8" x14ac:dyDescent="0.3">
      <c r="F922" s="19">
        <v>917</v>
      </c>
      <c r="G922" s="22">
        <v>45014</v>
      </c>
      <c r="H922" s="31">
        <f t="shared" si="15"/>
        <v>15094</v>
      </c>
    </row>
    <row r="923" spans="6:8" x14ac:dyDescent="0.3">
      <c r="F923" s="19">
        <v>918</v>
      </c>
      <c r="G923" s="22">
        <v>45013</v>
      </c>
      <c r="H923" s="31">
        <f t="shared" si="15"/>
        <v>15088</v>
      </c>
    </row>
    <row r="924" spans="6:8" x14ac:dyDescent="0.3">
      <c r="F924" s="19">
        <v>919</v>
      </c>
      <c r="G924" s="22">
        <v>45012</v>
      </c>
      <c r="H924" s="31">
        <f t="shared" si="15"/>
        <v>15174</v>
      </c>
    </row>
    <row r="925" spans="6:8" x14ac:dyDescent="0.3">
      <c r="F925" s="19">
        <v>920</v>
      </c>
      <c r="G925" s="22">
        <v>45011</v>
      </c>
      <c r="H925" s="31">
        <f t="shared" si="15"/>
        <v>15189</v>
      </c>
    </row>
    <row r="926" spans="6:8" x14ac:dyDescent="0.3">
      <c r="F926" s="19">
        <v>921</v>
      </c>
      <c r="G926" s="22">
        <v>45010</v>
      </c>
      <c r="H926" s="31">
        <f t="shared" si="15"/>
        <v>15189</v>
      </c>
    </row>
    <row r="927" spans="6:8" x14ac:dyDescent="0.3">
      <c r="F927" s="19">
        <v>922</v>
      </c>
      <c r="G927" s="22">
        <v>45009</v>
      </c>
      <c r="H927" s="31">
        <f t="shared" si="15"/>
        <v>15189</v>
      </c>
    </row>
    <row r="928" spans="6:8" x14ac:dyDescent="0.3">
      <c r="F928" s="19">
        <v>923</v>
      </c>
      <c r="G928" s="22">
        <v>45008</v>
      </c>
      <c r="H928" s="31">
        <f t="shared" si="15"/>
        <v>15349</v>
      </c>
    </row>
    <row r="929" spans="6:8" x14ac:dyDescent="0.3">
      <c r="F929" s="19">
        <v>924</v>
      </c>
      <c r="G929" s="22">
        <v>45007</v>
      </c>
      <c r="H929" s="31">
        <f t="shared" si="15"/>
        <v>15349</v>
      </c>
    </row>
    <row r="930" spans="6:8" x14ac:dyDescent="0.3">
      <c r="F930" s="19">
        <v>925</v>
      </c>
      <c r="G930" s="22">
        <v>45006</v>
      </c>
      <c r="H930" s="31">
        <f t="shared" si="15"/>
        <v>15349</v>
      </c>
    </row>
    <row r="931" spans="6:8" x14ac:dyDescent="0.3">
      <c r="F931" s="19">
        <v>926</v>
      </c>
      <c r="G931" s="22">
        <v>45005</v>
      </c>
      <c r="H931" s="31">
        <f t="shared" si="15"/>
        <v>15372</v>
      </c>
    </row>
    <row r="932" spans="6:8" x14ac:dyDescent="0.3">
      <c r="F932" s="19">
        <v>927</v>
      </c>
      <c r="G932" s="22">
        <v>45004</v>
      </c>
      <c r="H932" s="31">
        <f t="shared" si="15"/>
        <v>15364</v>
      </c>
    </row>
    <row r="933" spans="6:8" x14ac:dyDescent="0.3">
      <c r="F933" s="19">
        <v>928</v>
      </c>
      <c r="G933" s="22">
        <v>45003</v>
      </c>
      <c r="H933" s="31">
        <f t="shared" si="15"/>
        <v>15364</v>
      </c>
    </row>
    <row r="934" spans="6:8" x14ac:dyDescent="0.3">
      <c r="F934" s="19">
        <v>929</v>
      </c>
      <c r="G934" s="22">
        <v>45002</v>
      </c>
      <c r="H934" s="31">
        <f t="shared" si="15"/>
        <v>15364</v>
      </c>
    </row>
    <row r="935" spans="6:8" x14ac:dyDescent="0.3">
      <c r="F935" s="19">
        <v>930</v>
      </c>
      <c r="G935" s="22">
        <v>45001</v>
      </c>
      <c r="H935" s="31">
        <f t="shared" si="15"/>
        <v>15418</v>
      </c>
    </row>
    <row r="936" spans="6:8" x14ac:dyDescent="0.3">
      <c r="F936" s="19">
        <v>931</v>
      </c>
      <c r="G936" s="22">
        <v>45000</v>
      </c>
      <c r="H936" s="31">
        <f t="shared" si="15"/>
        <v>15365</v>
      </c>
    </row>
    <row r="937" spans="6:8" x14ac:dyDescent="0.3">
      <c r="F937" s="19">
        <v>932</v>
      </c>
      <c r="G937" s="22">
        <v>44999</v>
      </c>
      <c r="H937" s="31">
        <f t="shared" si="15"/>
        <v>15380</v>
      </c>
    </row>
    <row r="938" spans="6:8" x14ac:dyDescent="0.3">
      <c r="F938" s="19">
        <v>933</v>
      </c>
      <c r="G938" s="22">
        <v>44998</v>
      </c>
      <c r="H938" s="31">
        <f t="shared" si="15"/>
        <v>15374</v>
      </c>
    </row>
    <row r="939" spans="6:8" x14ac:dyDescent="0.3">
      <c r="F939" s="19">
        <v>934</v>
      </c>
      <c r="G939" s="22">
        <v>44997</v>
      </c>
      <c r="H939" s="31">
        <f t="shared" si="15"/>
        <v>15468</v>
      </c>
    </row>
    <row r="940" spans="6:8" x14ac:dyDescent="0.3">
      <c r="F940" s="19">
        <v>935</v>
      </c>
      <c r="G940" s="22">
        <v>44996</v>
      </c>
      <c r="H940" s="31">
        <f t="shared" si="15"/>
        <v>15468</v>
      </c>
    </row>
    <row r="941" spans="6:8" x14ac:dyDescent="0.3">
      <c r="F941" s="19">
        <v>936</v>
      </c>
      <c r="G941" s="22">
        <v>44995</v>
      </c>
      <c r="H941" s="31">
        <f t="shared" si="15"/>
        <v>15468</v>
      </c>
    </row>
    <row r="942" spans="6:8" x14ac:dyDescent="0.3">
      <c r="F942" s="19">
        <v>937</v>
      </c>
      <c r="G942" s="22">
        <v>44994</v>
      </c>
      <c r="H942" s="31">
        <f t="shared" si="15"/>
        <v>15438</v>
      </c>
    </row>
    <row r="943" spans="6:8" x14ac:dyDescent="0.3">
      <c r="F943" s="19">
        <v>938</v>
      </c>
      <c r="G943" s="22">
        <v>44993</v>
      </c>
      <c r="H943" s="31">
        <f t="shared" si="15"/>
        <v>15451</v>
      </c>
    </row>
    <row r="944" spans="6:8" x14ac:dyDescent="0.3">
      <c r="F944" s="19">
        <v>939</v>
      </c>
      <c r="G944" s="22">
        <v>44992</v>
      </c>
      <c r="H944" s="31">
        <f t="shared" si="15"/>
        <v>15359</v>
      </c>
    </row>
    <row r="945" spans="6:8" x14ac:dyDescent="0.3">
      <c r="F945" s="19">
        <v>940</v>
      </c>
      <c r="G945" s="22">
        <v>44991</v>
      </c>
      <c r="H945" s="31">
        <f t="shared" si="15"/>
        <v>15301</v>
      </c>
    </row>
    <row r="946" spans="6:8" x14ac:dyDescent="0.3">
      <c r="F946" s="19">
        <v>941</v>
      </c>
      <c r="G946" s="22">
        <v>44990</v>
      </c>
      <c r="H946" s="31">
        <f t="shared" si="15"/>
        <v>15306</v>
      </c>
    </row>
    <row r="947" spans="6:8" x14ac:dyDescent="0.3">
      <c r="F947" s="19">
        <v>942</v>
      </c>
      <c r="G947" s="22">
        <v>44989</v>
      </c>
      <c r="H947" s="31">
        <f t="shared" si="15"/>
        <v>15306</v>
      </c>
    </row>
    <row r="948" spans="6:8" x14ac:dyDescent="0.3">
      <c r="F948" s="19">
        <v>943</v>
      </c>
      <c r="G948" s="22">
        <v>44988</v>
      </c>
      <c r="H948" s="31">
        <f t="shared" si="15"/>
        <v>15306</v>
      </c>
    </row>
    <row r="949" spans="6:8" x14ac:dyDescent="0.3">
      <c r="F949" s="19">
        <v>944</v>
      </c>
      <c r="G949" s="22">
        <v>44987</v>
      </c>
      <c r="H949" s="31">
        <f t="shared" si="15"/>
        <v>15273</v>
      </c>
    </row>
    <row r="950" spans="6:8" x14ac:dyDescent="0.3">
      <c r="F950" s="19">
        <v>945</v>
      </c>
      <c r="G950" s="22">
        <v>44986</v>
      </c>
      <c r="H950" s="31">
        <f t="shared" si="15"/>
        <v>15250</v>
      </c>
    </row>
    <row r="951" spans="6:8" x14ac:dyDescent="0.3">
      <c r="F951" s="19">
        <v>946</v>
      </c>
      <c r="G951" s="22">
        <v>44985</v>
      </c>
      <c r="H951" s="31">
        <f t="shared" si="15"/>
        <v>15240</v>
      </c>
    </row>
    <row r="952" spans="6:8" x14ac:dyDescent="0.3">
      <c r="F952" s="19">
        <v>947</v>
      </c>
      <c r="G952" s="22">
        <v>44984</v>
      </c>
      <c r="H952" s="31">
        <f t="shared" si="15"/>
        <v>15274</v>
      </c>
    </row>
    <row r="953" spans="6:8" x14ac:dyDescent="0.3">
      <c r="F953" s="19">
        <v>948</v>
      </c>
      <c r="G953" s="22">
        <v>44983</v>
      </c>
      <c r="H953" s="31">
        <f t="shared" si="15"/>
        <v>15216</v>
      </c>
    </row>
    <row r="954" spans="6:8" x14ac:dyDescent="0.3">
      <c r="F954" s="19">
        <v>949</v>
      </c>
      <c r="G954" s="22">
        <v>44982</v>
      </c>
      <c r="H954" s="31">
        <f t="shared" si="15"/>
        <v>15216</v>
      </c>
    </row>
    <row r="955" spans="6:8" x14ac:dyDescent="0.3">
      <c r="F955" s="19">
        <v>950</v>
      </c>
      <c r="G955" s="22">
        <v>44981</v>
      </c>
      <c r="H955" s="31">
        <f t="shared" si="15"/>
        <v>15216</v>
      </c>
    </row>
    <row r="956" spans="6:8" x14ac:dyDescent="0.3">
      <c r="F956" s="19">
        <v>951</v>
      </c>
      <c r="G956" s="22">
        <v>44980</v>
      </c>
      <c r="H956" s="31">
        <f t="shared" si="15"/>
        <v>15187</v>
      </c>
    </row>
    <row r="957" spans="6:8" x14ac:dyDescent="0.3">
      <c r="F957" s="19">
        <v>952</v>
      </c>
      <c r="G957" s="22">
        <v>44979</v>
      </c>
      <c r="H957" s="31">
        <f t="shared" si="15"/>
        <v>15218</v>
      </c>
    </row>
    <row r="958" spans="6:8" x14ac:dyDescent="0.3">
      <c r="F958" s="19">
        <v>953</v>
      </c>
      <c r="G958" s="22">
        <v>44978</v>
      </c>
      <c r="H958" s="31">
        <f t="shared" si="15"/>
        <v>15179</v>
      </c>
    </row>
    <row r="959" spans="6:8" x14ac:dyDescent="0.3">
      <c r="F959" s="19">
        <v>954</v>
      </c>
      <c r="G959" s="22">
        <v>44977</v>
      </c>
      <c r="H959" s="31">
        <f t="shared" si="15"/>
        <v>15168</v>
      </c>
    </row>
    <row r="960" spans="6:8" x14ac:dyDescent="0.3">
      <c r="F960" s="19">
        <v>955</v>
      </c>
      <c r="G960" s="22">
        <v>44976</v>
      </c>
      <c r="H960" s="31">
        <f t="shared" si="15"/>
        <v>15199</v>
      </c>
    </row>
    <row r="961" spans="6:8" x14ac:dyDescent="0.3">
      <c r="F961" s="19">
        <v>956</v>
      </c>
      <c r="G961" s="22">
        <v>44975</v>
      </c>
      <c r="H961" s="31">
        <f t="shared" si="15"/>
        <v>15199</v>
      </c>
    </row>
    <row r="962" spans="6:8" x14ac:dyDescent="0.3">
      <c r="F962" s="19">
        <v>957</v>
      </c>
      <c r="G962" s="22">
        <v>44974</v>
      </c>
      <c r="H962" s="31">
        <f t="shared" si="15"/>
        <v>15199</v>
      </c>
    </row>
    <row r="963" spans="6:8" x14ac:dyDescent="0.3">
      <c r="F963" s="19">
        <v>958</v>
      </c>
      <c r="G963" s="22">
        <v>44973</v>
      </c>
      <c r="H963" s="31">
        <f t="shared" si="15"/>
        <v>15176</v>
      </c>
    </row>
    <row r="964" spans="6:8" x14ac:dyDescent="0.3">
      <c r="F964" s="19">
        <v>959</v>
      </c>
      <c r="G964" s="22">
        <v>44972</v>
      </c>
      <c r="H964" s="31">
        <f t="shared" si="15"/>
        <v>15194</v>
      </c>
    </row>
    <row r="965" spans="6:8" x14ac:dyDescent="0.3">
      <c r="F965" s="19">
        <v>960</v>
      </c>
      <c r="G965" s="22">
        <v>44971</v>
      </c>
      <c r="H965" s="31">
        <f t="shared" si="15"/>
        <v>15168</v>
      </c>
    </row>
    <row r="966" spans="6:8" x14ac:dyDescent="0.3">
      <c r="F966" s="19">
        <v>961</v>
      </c>
      <c r="G966" s="22">
        <v>44970</v>
      </c>
      <c r="H966" s="31">
        <f t="shared" si="15"/>
        <v>15216</v>
      </c>
    </row>
    <row r="967" spans="6:8" x14ac:dyDescent="0.3">
      <c r="F967" s="19">
        <v>962</v>
      </c>
      <c r="G967" s="22">
        <v>44969</v>
      </c>
      <c r="H967" s="31">
        <f t="shared" ref="H967:H1009" si="16">_xlfn.XLOOKUP(G967,$B$6:$B$656,$C$6:$C$656,,-1)</f>
        <v>15140</v>
      </c>
    </row>
    <row r="968" spans="6:8" x14ac:dyDescent="0.3">
      <c r="F968" s="19">
        <v>963</v>
      </c>
      <c r="G968" s="22">
        <v>44968</v>
      </c>
      <c r="H968" s="31">
        <f t="shared" si="16"/>
        <v>15140</v>
      </c>
    </row>
    <row r="969" spans="6:8" x14ac:dyDescent="0.3">
      <c r="F969" s="19">
        <v>964</v>
      </c>
      <c r="G969" s="22">
        <v>44967</v>
      </c>
      <c r="H969" s="31">
        <f t="shared" si="16"/>
        <v>15140</v>
      </c>
    </row>
    <row r="970" spans="6:8" x14ac:dyDescent="0.3">
      <c r="F970" s="19">
        <v>965</v>
      </c>
      <c r="G970" s="22">
        <v>44966</v>
      </c>
      <c r="H970" s="31">
        <f t="shared" si="16"/>
        <v>15120</v>
      </c>
    </row>
    <row r="971" spans="6:8" x14ac:dyDescent="0.3">
      <c r="F971" s="19">
        <v>966</v>
      </c>
      <c r="G971" s="22">
        <v>44965</v>
      </c>
      <c r="H971" s="31">
        <f t="shared" si="16"/>
        <v>15122</v>
      </c>
    </row>
    <row r="972" spans="6:8" x14ac:dyDescent="0.3">
      <c r="F972" s="19">
        <v>967</v>
      </c>
      <c r="G972" s="22">
        <v>44964</v>
      </c>
      <c r="H972" s="31">
        <f t="shared" si="16"/>
        <v>15139</v>
      </c>
    </row>
    <row r="973" spans="6:8" x14ac:dyDescent="0.3">
      <c r="F973" s="19">
        <v>968</v>
      </c>
      <c r="G973" s="22">
        <v>44963</v>
      </c>
      <c r="H973" s="31">
        <f t="shared" si="16"/>
        <v>15055</v>
      </c>
    </row>
    <row r="974" spans="6:8" x14ac:dyDescent="0.3">
      <c r="F974" s="19">
        <v>969</v>
      </c>
      <c r="G974" s="22">
        <v>44962</v>
      </c>
      <c r="H974" s="31">
        <f t="shared" si="16"/>
        <v>14898</v>
      </c>
    </row>
    <row r="975" spans="6:8" x14ac:dyDescent="0.3">
      <c r="F975" s="19">
        <v>970</v>
      </c>
      <c r="G975" s="22">
        <v>44961</v>
      </c>
      <c r="H975" s="31">
        <f t="shared" si="16"/>
        <v>14898</v>
      </c>
    </row>
    <row r="976" spans="6:8" x14ac:dyDescent="0.3">
      <c r="F976" s="19">
        <v>971</v>
      </c>
      <c r="G976" s="22">
        <v>44960</v>
      </c>
      <c r="H976" s="31">
        <f t="shared" si="16"/>
        <v>14898</v>
      </c>
    </row>
    <row r="977" spans="6:8" x14ac:dyDescent="0.3">
      <c r="F977" s="19">
        <v>972</v>
      </c>
      <c r="G977" s="22">
        <v>44959</v>
      </c>
      <c r="H977" s="31">
        <f t="shared" si="16"/>
        <v>14868</v>
      </c>
    </row>
    <row r="978" spans="6:8" x14ac:dyDescent="0.3">
      <c r="F978" s="19">
        <v>973</v>
      </c>
      <c r="G978" s="22">
        <v>44958</v>
      </c>
      <c r="H978" s="31">
        <f t="shared" si="16"/>
        <v>14991</v>
      </c>
    </row>
    <row r="979" spans="6:8" x14ac:dyDescent="0.3">
      <c r="F979" s="19">
        <v>974</v>
      </c>
      <c r="G979" s="22">
        <v>44957</v>
      </c>
      <c r="H979" s="31">
        <f t="shared" si="16"/>
        <v>14992</v>
      </c>
    </row>
    <row r="980" spans="6:8" x14ac:dyDescent="0.3">
      <c r="F980" s="19">
        <v>975</v>
      </c>
      <c r="G980" s="22">
        <v>44956</v>
      </c>
      <c r="H980" s="31">
        <f t="shared" si="16"/>
        <v>14979</v>
      </c>
    </row>
    <row r="981" spans="6:8" x14ac:dyDescent="0.3">
      <c r="F981" s="19">
        <v>976</v>
      </c>
      <c r="G981" s="22">
        <v>44955</v>
      </c>
      <c r="H981" s="31">
        <f t="shared" si="16"/>
        <v>14978</v>
      </c>
    </row>
    <row r="982" spans="6:8" x14ac:dyDescent="0.3">
      <c r="F982" s="19">
        <v>977</v>
      </c>
      <c r="G982" s="22">
        <v>44954</v>
      </c>
      <c r="H982" s="31">
        <f t="shared" si="16"/>
        <v>14978</v>
      </c>
    </row>
    <row r="983" spans="6:8" x14ac:dyDescent="0.3">
      <c r="F983" s="19">
        <v>978</v>
      </c>
      <c r="G983" s="22">
        <v>44953</v>
      </c>
      <c r="H983" s="31">
        <f t="shared" si="16"/>
        <v>14978</v>
      </c>
    </row>
    <row r="984" spans="6:8" x14ac:dyDescent="0.3">
      <c r="F984" s="19">
        <v>979</v>
      </c>
      <c r="G984" s="22">
        <v>44952</v>
      </c>
      <c r="H984" s="31">
        <f t="shared" si="16"/>
        <v>14964</v>
      </c>
    </row>
    <row r="985" spans="6:8" x14ac:dyDescent="0.3">
      <c r="F985" s="19">
        <v>980</v>
      </c>
      <c r="G985" s="22">
        <v>44951</v>
      </c>
      <c r="H985" s="31">
        <f t="shared" si="16"/>
        <v>14958</v>
      </c>
    </row>
    <row r="986" spans="6:8" x14ac:dyDescent="0.3">
      <c r="F986" s="19">
        <v>981</v>
      </c>
      <c r="G986" s="22">
        <v>44950</v>
      </c>
      <c r="H986" s="31">
        <f t="shared" si="16"/>
        <v>14930</v>
      </c>
    </row>
    <row r="987" spans="6:8" x14ac:dyDescent="0.3">
      <c r="F987" s="19">
        <v>982</v>
      </c>
      <c r="G987" s="22">
        <v>44949</v>
      </c>
      <c r="H987" s="31">
        <f t="shared" si="16"/>
        <v>15121</v>
      </c>
    </row>
    <row r="988" spans="6:8" x14ac:dyDescent="0.3">
      <c r="F988" s="19">
        <v>983</v>
      </c>
      <c r="G988" s="22">
        <v>44948</v>
      </c>
      <c r="H988" s="31">
        <f t="shared" si="16"/>
        <v>15121</v>
      </c>
    </row>
    <row r="989" spans="6:8" x14ac:dyDescent="0.3">
      <c r="F989" s="19">
        <v>984</v>
      </c>
      <c r="G989" s="22">
        <v>44947</v>
      </c>
      <c r="H989" s="31">
        <f t="shared" si="16"/>
        <v>15121</v>
      </c>
    </row>
    <row r="990" spans="6:8" x14ac:dyDescent="0.3">
      <c r="F990" s="19">
        <v>985</v>
      </c>
      <c r="G990" s="22">
        <v>44946</v>
      </c>
      <c r="H990" s="31">
        <f t="shared" si="16"/>
        <v>15121</v>
      </c>
    </row>
    <row r="991" spans="6:8" x14ac:dyDescent="0.3">
      <c r="F991" s="19">
        <v>986</v>
      </c>
      <c r="G991" s="22">
        <v>44945</v>
      </c>
      <c r="H991" s="31">
        <f t="shared" si="16"/>
        <v>15113</v>
      </c>
    </row>
    <row r="992" spans="6:8" x14ac:dyDescent="0.3">
      <c r="F992" s="19">
        <v>987</v>
      </c>
      <c r="G992" s="22">
        <v>44944</v>
      </c>
      <c r="H992" s="31">
        <f t="shared" si="16"/>
        <v>15137</v>
      </c>
    </row>
    <row r="993" spans="6:8" x14ac:dyDescent="0.3">
      <c r="F993" s="19">
        <v>988</v>
      </c>
      <c r="G993" s="22">
        <v>44943</v>
      </c>
      <c r="H993" s="31">
        <f t="shared" si="16"/>
        <v>15154</v>
      </c>
    </row>
    <row r="994" spans="6:8" x14ac:dyDescent="0.3">
      <c r="F994" s="19">
        <v>989</v>
      </c>
      <c r="G994" s="22">
        <v>44942</v>
      </c>
      <c r="H994" s="31">
        <f t="shared" si="16"/>
        <v>15019</v>
      </c>
    </row>
    <row r="995" spans="6:8" x14ac:dyDescent="0.3">
      <c r="F995" s="19">
        <v>990</v>
      </c>
      <c r="G995" s="22">
        <v>44941</v>
      </c>
      <c r="H995" s="31">
        <f t="shared" si="16"/>
        <v>15177</v>
      </c>
    </row>
    <row r="996" spans="6:8" x14ac:dyDescent="0.3">
      <c r="F996" s="19">
        <v>991</v>
      </c>
      <c r="G996" s="22">
        <v>44940</v>
      </c>
      <c r="H996" s="31">
        <f t="shared" si="16"/>
        <v>15177</v>
      </c>
    </row>
    <row r="997" spans="6:8" x14ac:dyDescent="0.3">
      <c r="F997" s="19">
        <v>992</v>
      </c>
      <c r="G997" s="22">
        <v>44939</v>
      </c>
      <c r="H997" s="31">
        <f t="shared" si="16"/>
        <v>15177</v>
      </c>
    </row>
    <row r="998" spans="6:8" x14ac:dyDescent="0.3">
      <c r="F998" s="19">
        <v>993</v>
      </c>
      <c r="G998" s="22">
        <v>44938</v>
      </c>
      <c r="H998" s="31">
        <f t="shared" si="16"/>
        <v>15366</v>
      </c>
    </row>
    <row r="999" spans="6:8" x14ac:dyDescent="0.3">
      <c r="F999" s="19">
        <v>994</v>
      </c>
      <c r="G999" s="22">
        <v>44937</v>
      </c>
      <c r="H999" s="31">
        <f t="shared" si="16"/>
        <v>15527</v>
      </c>
    </row>
    <row r="1000" spans="6:8" x14ac:dyDescent="0.3">
      <c r="F1000" s="19">
        <v>995</v>
      </c>
      <c r="G1000" s="22">
        <v>44936</v>
      </c>
      <c r="H1000" s="31">
        <f t="shared" si="16"/>
        <v>15589</v>
      </c>
    </row>
    <row r="1001" spans="6:8" x14ac:dyDescent="0.3">
      <c r="F1001" s="19">
        <v>996</v>
      </c>
      <c r="G1001" s="22">
        <v>44935</v>
      </c>
      <c r="H1001" s="31">
        <f t="shared" si="16"/>
        <v>15574</v>
      </c>
    </row>
    <row r="1002" spans="6:8" x14ac:dyDescent="0.3">
      <c r="F1002" s="19">
        <v>997</v>
      </c>
      <c r="G1002" s="22">
        <v>44934</v>
      </c>
      <c r="H1002" s="31">
        <f t="shared" si="16"/>
        <v>15635</v>
      </c>
    </row>
    <row r="1003" spans="6:8" x14ac:dyDescent="0.3">
      <c r="F1003" s="19">
        <v>998</v>
      </c>
      <c r="G1003" s="22">
        <v>44933</v>
      </c>
      <c r="H1003" s="31">
        <f t="shared" si="16"/>
        <v>15635</v>
      </c>
    </row>
    <row r="1004" spans="6:8" x14ac:dyDescent="0.3">
      <c r="F1004" s="19">
        <v>999</v>
      </c>
      <c r="G1004" s="22">
        <v>44932</v>
      </c>
      <c r="H1004" s="31">
        <f t="shared" si="16"/>
        <v>15635</v>
      </c>
    </row>
    <row r="1005" spans="6:8" x14ac:dyDescent="0.3">
      <c r="F1005" s="19">
        <v>1000</v>
      </c>
      <c r="G1005" s="22">
        <v>44931</v>
      </c>
      <c r="H1005" s="31">
        <f t="shared" si="16"/>
        <v>15610</v>
      </c>
    </row>
    <row r="1006" spans="6:8" x14ac:dyDescent="0.3">
      <c r="F1006" s="19">
        <v>1001</v>
      </c>
      <c r="G1006" s="22">
        <v>44930</v>
      </c>
      <c r="H1006" s="31">
        <f t="shared" si="16"/>
        <v>15615</v>
      </c>
    </row>
    <row r="1007" spans="6:8" x14ac:dyDescent="0.3">
      <c r="F1007" s="19">
        <v>1002</v>
      </c>
      <c r="G1007" s="22">
        <v>44929</v>
      </c>
      <c r="H1007" s="31">
        <f t="shared" si="16"/>
        <v>15590</v>
      </c>
    </row>
    <row r="1008" spans="6:8" x14ac:dyDescent="0.3">
      <c r="F1008" s="19">
        <v>1003</v>
      </c>
      <c r="G1008" s="22">
        <v>44928</v>
      </c>
      <c r="H1008" s="31">
        <f t="shared" si="16"/>
        <v>15572</v>
      </c>
    </row>
    <row r="1009" spans="6:8" x14ac:dyDescent="0.3">
      <c r="F1009" s="19">
        <v>1004</v>
      </c>
      <c r="G1009" s="22">
        <v>44927</v>
      </c>
      <c r="H1009" s="31">
        <f t="shared" si="16"/>
        <v>15592</v>
      </c>
    </row>
  </sheetData>
  <mergeCells count="3">
    <mergeCell ref="A3:D3"/>
    <mergeCell ref="B5"/>
    <mergeCell ref="C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9695-BFCD-44C3-A970-0F34A5E7B964}">
  <dimension ref="A3:H1009"/>
  <sheetViews>
    <sheetView topLeftCell="C1" zoomScale="129" zoomScaleNormal="127" workbookViewId="0">
      <selection activeCell="F6" sqref="F6:H1009"/>
    </sheetView>
  </sheetViews>
  <sheetFormatPr defaultRowHeight="15.6" x14ac:dyDescent="0.3"/>
  <cols>
    <col min="1" max="1" width="9.44140625" bestFit="1" customWidth="1"/>
    <col min="2" max="2" width="13.5546875" bestFit="1" customWidth="1"/>
    <col min="3" max="3" width="14.6640625" customWidth="1"/>
    <col min="6" max="6" width="6.33203125" bestFit="1" customWidth="1"/>
    <col min="7" max="7" width="13.44140625" bestFit="1" customWidth="1"/>
    <col min="8" max="8" width="20.5546875" style="28" bestFit="1" customWidth="1"/>
    <col min="9" max="9" width="20.33203125" bestFit="1" customWidth="1"/>
    <col min="12" max="12" width="13.33203125" bestFit="1" customWidth="1"/>
    <col min="13" max="13" width="12.44140625" bestFit="1" customWidth="1"/>
    <col min="14" max="14" width="11.44140625" bestFit="1" customWidth="1"/>
    <col min="15" max="15" width="9.5546875" bestFit="1" customWidth="1"/>
    <col min="16" max="16" width="13.44140625" bestFit="1" customWidth="1"/>
    <col min="17" max="17" width="13.33203125" bestFit="1" customWidth="1"/>
    <col min="18" max="18" width="13.44140625" bestFit="1" customWidth="1"/>
    <col min="19" max="19" width="12.44140625" bestFit="1" customWidth="1"/>
    <col min="20" max="21" width="13" bestFit="1" customWidth="1"/>
    <col min="22" max="22" width="14.44140625" bestFit="1" customWidth="1"/>
    <col min="23" max="23" width="14" bestFit="1" customWidth="1"/>
    <col min="24" max="24" width="13.88671875" bestFit="1" customWidth="1"/>
    <col min="25" max="25" width="13.6640625" bestFit="1" customWidth="1"/>
    <col min="26" max="26" width="13.109375" bestFit="1" customWidth="1"/>
    <col min="27" max="27" width="13.44140625" bestFit="1" customWidth="1"/>
    <col min="28" max="28" width="17" customWidth="1"/>
    <col min="29" max="29" width="11.88671875" bestFit="1" customWidth="1"/>
  </cols>
  <sheetData>
    <row r="3" spans="1:8" ht="20.399999999999999" x14ac:dyDescent="0.35">
      <c r="A3" s="44" t="s">
        <v>11</v>
      </c>
      <c r="B3" s="44"/>
      <c r="C3" s="44"/>
      <c r="D3" s="44"/>
      <c r="E3" s="10"/>
    </row>
    <row r="5" spans="1:8" x14ac:dyDescent="0.3">
      <c r="A5" s="9" t="s">
        <v>19</v>
      </c>
      <c r="B5" s="9" t="s">
        <v>5</v>
      </c>
      <c r="C5" s="9" t="s">
        <v>10</v>
      </c>
      <c r="F5" s="16" t="str">
        <f>A5</f>
        <v>No,</v>
      </c>
      <c r="G5" s="16" t="str">
        <f>B5</f>
        <v>Tanggal</v>
      </c>
      <c r="H5" s="29" t="s">
        <v>14</v>
      </c>
    </row>
    <row r="6" spans="1:8" x14ac:dyDescent="0.3">
      <c r="A6" s="3">
        <v>1</v>
      </c>
      <c r="B6" s="23">
        <v>45901</v>
      </c>
      <c r="C6" s="8">
        <v>66.81</v>
      </c>
      <c r="F6" s="19">
        <v>1</v>
      </c>
      <c r="G6" s="22">
        <v>45930</v>
      </c>
      <c r="H6" s="30">
        <f>_xlfn.XLOOKUP(G6,$B$6:$B$38,$C$6:$C$38,,-1)</f>
        <v>66.81</v>
      </c>
    </row>
    <row r="7" spans="1:8" x14ac:dyDescent="0.3">
      <c r="A7" s="3">
        <v>2</v>
      </c>
      <c r="B7" s="23">
        <v>45870</v>
      </c>
      <c r="C7" s="8">
        <v>66.069999999999993</v>
      </c>
      <c r="F7" s="19">
        <v>2</v>
      </c>
      <c r="G7" s="22">
        <v>45929</v>
      </c>
      <c r="H7" s="30">
        <f t="shared" ref="H7:H70" si="0">_xlfn.XLOOKUP(G7,$B$6:$B$38,$C$6:$C$38,,-1)</f>
        <v>66.81</v>
      </c>
    </row>
    <row r="8" spans="1:8" x14ac:dyDescent="0.3">
      <c r="A8" s="3">
        <v>3</v>
      </c>
      <c r="B8" s="23">
        <v>45839</v>
      </c>
      <c r="C8" s="8">
        <v>68.59</v>
      </c>
      <c r="F8" s="19">
        <v>3</v>
      </c>
      <c r="G8" s="22">
        <v>45928</v>
      </c>
      <c r="H8" s="30">
        <f t="shared" si="0"/>
        <v>66.81</v>
      </c>
    </row>
    <row r="9" spans="1:8" x14ac:dyDescent="0.3">
      <c r="A9" s="3">
        <v>4</v>
      </c>
      <c r="B9" s="23">
        <v>45809</v>
      </c>
      <c r="C9" s="8">
        <v>69.33</v>
      </c>
      <c r="F9" s="19">
        <v>4</v>
      </c>
      <c r="G9" s="22">
        <v>45927</v>
      </c>
      <c r="H9" s="30">
        <f t="shared" si="0"/>
        <v>66.81</v>
      </c>
    </row>
    <row r="10" spans="1:8" x14ac:dyDescent="0.3">
      <c r="A10" s="3">
        <v>5</v>
      </c>
      <c r="B10" s="23">
        <v>45778</v>
      </c>
      <c r="C10" s="8">
        <v>62.75</v>
      </c>
      <c r="F10" s="19">
        <v>5</v>
      </c>
      <c r="G10" s="22">
        <v>45926</v>
      </c>
      <c r="H10" s="30">
        <f t="shared" si="0"/>
        <v>66.81</v>
      </c>
    </row>
    <row r="11" spans="1:8" x14ac:dyDescent="0.3">
      <c r="A11" s="3">
        <v>6</v>
      </c>
      <c r="B11" s="23">
        <v>45748</v>
      </c>
      <c r="C11" s="8">
        <v>65.290000000000006</v>
      </c>
      <c r="F11" s="19">
        <v>6</v>
      </c>
      <c r="G11" s="22">
        <v>45925</v>
      </c>
      <c r="H11" s="30">
        <f t="shared" si="0"/>
        <v>66.81</v>
      </c>
    </row>
    <row r="12" spans="1:8" x14ac:dyDescent="0.3">
      <c r="A12" s="3">
        <v>7</v>
      </c>
      <c r="B12" s="23">
        <v>45717</v>
      </c>
      <c r="C12" s="8">
        <v>71.11</v>
      </c>
      <c r="F12" s="19">
        <v>7</v>
      </c>
      <c r="G12" s="22">
        <v>45924</v>
      </c>
      <c r="H12" s="30">
        <f t="shared" si="0"/>
        <v>66.81</v>
      </c>
    </row>
    <row r="13" spans="1:8" x14ac:dyDescent="0.3">
      <c r="A13" s="3">
        <v>8</v>
      </c>
      <c r="B13" s="23">
        <v>45689</v>
      </c>
      <c r="C13" s="8">
        <v>74.290000000000006</v>
      </c>
      <c r="F13" s="19">
        <v>8</v>
      </c>
      <c r="G13" s="22">
        <v>45923</v>
      </c>
      <c r="H13" s="30">
        <f t="shared" si="0"/>
        <v>66.81</v>
      </c>
    </row>
    <row r="14" spans="1:8" x14ac:dyDescent="0.3">
      <c r="A14" s="3">
        <v>9</v>
      </c>
      <c r="B14" s="23">
        <v>45658</v>
      </c>
      <c r="C14" s="8">
        <v>76.81</v>
      </c>
      <c r="F14" s="19">
        <v>9</v>
      </c>
      <c r="G14" s="22">
        <v>45922</v>
      </c>
      <c r="H14" s="30">
        <f t="shared" si="0"/>
        <v>66.81</v>
      </c>
    </row>
    <row r="15" spans="1:8" x14ac:dyDescent="0.3">
      <c r="A15" s="3">
        <v>10</v>
      </c>
      <c r="B15" s="23">
        <v>45627</v>
      </c>
      <c r="C15" s="8">
        <v>71.61</v>
      </c>
      <c r="F15" s="19">
        <v>10</v>
      </c>
      <c r="G15" s="22">
        <v>45921</v>
      </c>
      <c r="H15" s="30">
        <f t="shared" si="0"/>
        <v>66.81</v>
      </c>
    </row>
    <row r="16" spans="1:8" x14ac:dyDescent="0.3">
      <c r="A16" s="3">
        <v>11</v>
      </c>
      <c r="B16" s="23">
        <v>45597</v>
      </c>
      <c r="C16" s="8">
        <v>71.83</v>
      </c>
      <c r="F16" s="19">
        <v>11</v>
      </c>
      <c r="G16" s="22">
        <v>45920</v>
      </c>
      <c r="H16" s="30">
        <f t="shared" si="0"/>
        <v>66.81</v>
      </c>
    </row>
    <row r="17" spans="1:8" x14ac:dyDescent="0.3">
      <c r="A17" s="3">
        <v>12</v>
      </c>
      <c r="B17" s="23">
        <v>45566</v>
      </c>
      <c r="C17" s="8">
        <v>73.53</v>
      </c>
      <c r="F17" s="19">
        <v>12</v>
      </c>
      <c r="G17" s="22">
        <v>45919</v>
      </c>
      <c r="H17" s="30">
        <f t="shared" si="0"/>
        <v>66.81</v>
      </c>
    </row>
    <row r="18" spans="1:8" x14ac:dyDescent="0.3">
      <c r="A18" s="3">
        <v>13</v>
      </c>
      <c r="B18" s="23">
        <v>45536</v>
      </c>
      <c r="C18" s="8">
        <v>72.540000000000006</v>
      </c>
      <c r="F18" s="19">
        <v>13</v>
      </c>
      <c r="G18" s="22">
        <v>45918</v>
      </c>
      <c r="H18" s="30">
        <f t="shared" si="0"/>
        <v>66.81</v>
      </c>
    </row>
    <row r="19" spans="1:8" x14ac:dyDescent="0.3">
      <c r="A19" s="3">
        <v>14</v>
      </c>
      <c r="B19" s="23">
        <v>45505</v>
      </c>
      <c r="C19" s="8">
        <v>78.510000000000005</v>
      </c>
      <c r="F19" s="19">
        <v>14</v>
      </c>
      <c r="G19" s="22">
        <v>45917</v>
      </c>
      <c r="H19" s="30">
        <f t="shared" si="0"/>
        <v>66.81</v>
      </c>
    </row>
    <row r="20" spans="1:8" x14ac:dyDescent="0.3">
      <c r="A20" s="3">
        <v>15</v>
      </c>
      <c r="B20" s="23">
        <v>45474</v>
      </c>
      <c r="C20" s="8">
        <v>82</v>
      </c>
      <c r="F20" s="19">
        <v>15</v>
      </c>
      <c r="G20" s="22">
        <v>45916</v>
      </c>
      <c r="H20" s="30">
        <f t="shared" si="0"/>
        <v>66.81</v>
      </c>
    </row>
    <row r="21" spans="1:8" x14ac:dyDescent="0.3">
      <c r="A21" s="3">
        <v>16</v>
      </c>
      <c r="B21" s="23">
        <v>45444</v>
      </c>
      <c r="C21" s="8">
        <v>79.31</v>
      </c>
      <c r="F21" s="19">
        <v>16</v>
      </c>
      <c r="G21" s="22">
        <v>45915</v>
      </c>
      <c r="H21" s="30">
        <f t="shared" si="0"/>
        <v>66.81</v>
      </c>
    </row>
    <row r="22" spans="1:8" x14ac:dyDescent="0.3">
      <c r="A22" s="3">
        <v>17</v>
      </c>
      <c r="B22" s="23">
        <v>45413</v>
      </c>
      <c r="C22" s="8">
        <v>79.78</v>
      </c>
      <c r="F22" s="19">
        <v>17</v>
      </c>
      <c r="G22" s="22">
        <v>45914</v>
      </c>
      <c r="H22" s="30">
        <f t="shared" si="0"/>
        <v>66.81</v>
      </c>
    </row>
    <row r="23" spans="1:8" x14ac:dyDescent="0.3">
      <c r="A23" s="3">
        <v>18</v>
      </c>
      <c r="B23" s="23">
        <v>45383</v>
      </c>
      <c r="C23" s="8">
        <v>87.61</v>
      </c>
      <c r="F23" s="19">
        <v>18</v>
      </c>
      <c r="G23" s="22">
        <v>45913</v>
      </c>
      <c r="H23" s="30">
        <f t="shared" si="0"/>
        <v>66.81</v>
      </c>
    </row>
    <row r="24" spans="1:8" x14ac:dyDescent="0.3">
      <c r="A24" s="3">
        <v>19</v>
      </c>
      <c r="B24" s="23">
        <v>45352</v>
      </c>
      <c r="C24" s="8">
        <v>83.78</v>
      </c>
      <c r="F24" s="19">
        <v>19</v>
      </c>
      <c r="G24" s="22">
        <v>45912</v>
      </c>
      <c r="H24" s="30">
        <f t="shared" si="0"/>
        <v>66.81</v>
      </c>
    </row>
    <row r="25" spans="1:8" x14ac:dyDescent="0.3">
      <c r="A25" s="3">
        <v>20</v>
      </c>
      <c r="B25" s="23">
        <v>45323</v>
      </c>
      <c r="C25" s="8">
        <v>80.09</v>
      </c>
      <c r="F25" s="19">
        <v>20</v>
      </c>
      <c r="G25" s="22">
        <v>45911</v>
      </c>
      <c r="H25" s="30">
        <f t="shared" si="0"/>
        <v>66.81</v>
      </c>
    </row>
    <row r="26" spans="1:8" x14ac:dyDescent="0.3">
      <c r="A26" s="3">
        <v>21</v>
      </c>
      <c r="B26" s="23">
        <v>45292</v>
      </c>
      <c r="C26" s="8">
        <v>71.11</v>
      </c>
      <c r="F26" s="19">
        <v>21</v>
      </c>
      <c r="G26" s="22">
        <v>45910</v>
      </c>
      <c r="H26" s="30">
        <f t="shared" si="0"/>
        <v>66.81</v>
      </c>
    </row>
    <row r="27" spans="1:8" x14ac:dyDescent="0.3">
      <c r="A27" s="3">
        <v>22</v>
      </c>
      <c r="B27" s="23">
        <v>45261</v>
      </c>
      <c r="C27" s="8">
        <v>75.510000000000005</v>
      </c>
      <c r="F27" s="19">
        <v>22</v>
      </c>
      <c r="G27" s="22">
        <v>45909</v>
      </c>
      <c r="H27" s="30">
        <f t="shared" si="0"/>
        <v>66.81</v>
      </c>
    </row>
    <row r="28" spans="1:8" x14ac:dyDescent="0.3">
      <c r="A28" s="3">
        <v>23</v>
      </c>
      <c r="B28" s="23">
        <v>45231</v>
      </c>
      <c r="C28" s="8">
        <v>79.63</v>
      </c>
      <c r="F28" s="19">
        <v>23</v>
      </c>
      <c r="G28" s="22">
        <v>45908</v>
      </c>
      <c r="H28" s="30">
        <f t="shared" si="0"/>
        <v>66.81</v>
      </c>
    </row>
    <row r="29" spans="1:8" x14ac:dyDescent="0.3">
      <c r="A29" s="3">
        <v>24</v>
      </c>
      <c r="B29" s="23">
        <v>45200</v>
      </c>
      <c r="C29" s="8">
        <v>86.72</v>
      </c>
      <c r="F29" s="19">
        <v>24</v>
      </c>
      <c r="G29" s="22">
        <v>45907</v>
      </c>
      <c r="H29" s="30">
        <f t="shared" si="0"/>
        <v>66.81</v>
      </c>
    </row>
    <row r="30" spans="1:8" x14ac:dyDescent="0.3">
      <c r="A30" s="3">
        <v>25</v>
      </c>
      <c r="B30" s="23">
        <v>45170</v>
      </c>
      <c r="C30" s="8">
        <v>90.17</v>
      </c>
      <c r="F30" s="19">
        <v>25</v>
      </c>
      <c r="G30" s="22">
        <v>45906</v>
      </c>
      <c r="H30" s="30">
        <f t="shared" si="0"/>
        <v>66.81</v>
      </c>
    </row>
    <row r="31" spans="1:8" x14ac:dyDescent="0.3">
      <c r="A31" s="3">
        <v>26</v>
      </c>
      <c r="B31" s="23">
        <v>45139</v>
      </c>
      <c r="C31" s="8">
        <v>82.59</v>
      </c>
      <c r="F31" s="19">
        <v>26</v>
      </c>
      <c r="G31" s="22">
        <v>45905</v>
      </c>
      <c r="H31" s="30">
        <f t="shared" si="0"/>
        <v>66.81</v>
      </c>
    </row>
    <row r="32" spans="1:8" x14ac:dyDescent="0.3">
      <c r="A32" s="3">
        <v>27</v>
      </c>
      <c r="B32" s="23">
        <v>45108</v>
      </c>
      <c r="C32" s="8">
        <v>71.31</v>
      </c>
      <c r="F32" s="19">
        <v>27</v>
      </c>
      <c r="G32" s="22">
        <v>45904</v>
      </c>
      <c r="H32" s="30">
        <f t="shared" si="0"/>
        <v>66.81</v>
      </c>
    </row>
    <row r="33" spans="1:8" x14ac:dyDescent="0.3">
      <c r="A33" s="3">
        <v>28</v>
      </c>
      <c r="B33" s="23">
        <v>45078</v>
      </c>
      <c r="C33" s="8">
        <v>65.900000000000006</v>
      </c>
      <c r="F33" s="19">
        <v>28</v>
      </c>
      <c r="G33" s="22">
        <v>45903</v>
      </c>
      <c r="H33" s="30">
        <f t="shared" si="0"/>
        <v>66.81</v>
      </c>
    </row>
    <row r="34" spans="1:8" x14ac:dyDescent="0.3">
      <c r="A34" s="3">
        <v>29</v>
      </c>
      <c r="B34" s="23">
        <v>45047</v>
      </c>
      <c r="C34" s="8">
        <v>70.12</v>
      </c>
      <c r="F34" s="19">
        <v>29</v>
      </c>
      <c r="G34" s="22">
        <v>45902</v>
      </c>
      <c r="H34" s="30">
        <f t="shared" si="0"/>
        <v>66.81</v>
      </c>
    </row>
    <row r="35" spans="1:8" x14ac:dyDescent="0.3">
      <c r="A35" s="3">
        <v>30</v>
      </c>
      <c r="B35" s="23">
        <v>45017</v>
      </c>
      <c r="C35" s="8">
        <v>79.34</v>
      </c>
      <c r="F35" s="19">
        <v>30</v>
      </c>
      <c r="G35" s="22">
        <v>45901</v>
      </c>
      <c r="H35" s="30">
        <f t="shared" si="0"/>
        <v>66.81</v>
      </c>
    </row>
    <row r="36" spans="1:8" x14ac:dyDescent="0.3">
      <c r="A36" s="3">
        <v>31</v>
      </c>
      <c r="B36" s="23">
        <v>44986</v>
      </c>
      <c r="C36" s="8">
        <v>74.59</v>
      </c>
      <c r="F36" s="19">
        <v>31</v>
      </c>
      <c r="G36" s="22">
        <v>45900</v>
      </c>
      <c r="H36" s="30">
        <f t="shared" si="0"/>
        <v>66.069999999999993</v>
      </c>
    </row>
    <row r="37" spans="1:8" x14ac:dyDescent="0.3">
      <c r="A37" s="3">
        <v>32</v>
      </c>
      <c r="B37" s="23">
        <v>44958</v>
      </c>
      <c r="C37" s="8">
        <v>79.48</v>
      </c>
      <c r="F37" s="19">
        <v>32</v>
      </c>
      <c r="G37" s="22">
        <v>45899</v>
      </c>
      <c r="H37" s="30">
        <f t="shared" si="0"/>
        <v>66.069999999999993</v>
      </c>
    </row>
    <row r="38" spans="1:8" x14ac:dyDescent="0.3">
      <c r="A38" s="3">
        <v>33</v>
      </c>
      <c r="B38" s="23">
        <v>44927</v>
      </c>
      <c r="C38" s="8">
        <v>78.540000000000006</v>
      </c>
      <c r="F38" s="19">
        <v>33</v>
      </c>
      <c r="G38" s="22">
        <v>45898</v>
      </c>
      <c r="H38" s="30">
        <f t="shared" si="0"/>
        <v>66.069999999999993</v>
      </c>
    </row>
    <row r="39" spans="1:8" x14ac:dyDescent="0.3">
      <c r="F39" s="19">
        <v>34</v>
      </c>
      <c r="G39" s="22">
        <v>45897</v>
      </c>
      <c r="H39" s="30">
        <f t="shared" si="0"/>
        <v>66.069999999999993</v>
      </c>
    </row>
    <row r="40" spans="1:8" x14ac:dyDescent="0.3">
      <c r="F40" s="19">
        <v>35</v>
      </c>
      <c r="G40" s="22">
        <v>45896</v>
      </c>
      <c r="H40" s="30">
        <f t="shared" si="0"/>
        <v>66.069999999999993</v>
      </c>
    </row>
    <row r="41" spans="1:8" x14ac:dyDescent="0.3">
      <c r="F41" s="19">
        <v>36</v>
      </c>
      <c r="G41" s="22">
        <v>45895</v>
      </c>
      <c r="H41" s="30">
        <f t="shared" si="0"/>
        <v>66.069999999999993</v>
      </c>
    </row>
    <row r="42" spans="1:8" x14ac:dyDescent="0.3">
      <c r="F42" s="19">
        <v>37</v>
      </c>
      <c r="G42" s="22">
        <v>45894</v>
      </c>
      <c r="H42" s="30">
        <f t="shared" si="0"/>
        <v>66.069999999999993</v>
      </c>
    </row>
    <row r="43" spans="1:8" x14ac:dyDescent="0.3">
      <c r="F43" s="19">
        <v>38</v>
      </c>
      <c r="G43" s="22">
        <v>45893</v>
      </c>
      <c r="H43" s="30">
        <f t="shared" si="0"/>
        <v>66.069999999999993</v>
      </c>
    </row>
    <row r="44" spans="1:8" x14ac:dyDescent="0.3">
      <c r="F44" s="19">
        <v>39</v>
      </c>
      <c r="G44" s="22">
        <v>45892</v>
      </c>
      <c r="H44" s="30">
        <f t="shared" si="0"/>
        <v>66.069999999999993</v>
      </c>
    </row>
    <row r="45" spans="1:8" x14ac:dyDescent="0.3">
      <c r="F45" s="19">
        <v>40</v>
      </c>
      <c r="G45" s="22">
        <v>45891</v>
      </c>
      <c r="H45" s="30">
        <f t="shared" si="0"/>
        <v>66.069999999999993</v>
      </c>
    </row>
    <row r="46" spans="1:8" x14ac:dyDescent="0.3">
      <c r="F46" s="19">
        <v>41</v>
      </c>
      <c r="G46" s="22">
        <v>45890</v>
      </c>
      <c r="H46" s="30">
        <f t="shared" si="0"/>
        <v>66.069999999999993</v>
      </c>
    </row>
    <row r="47" spans="1:8" x14ac:dyDescent="0.3">
      <c r="F47" s="19">
        <v>42</v>
      </c>
      <c r="G47" s="22">
        <v>45889</v>
      </c>
      <c r="H47" s="30">
        <f t="shared" si="0"/>
        <v>66.069999999999993</v>
      </c>
    </row>
    <row r="48" spans="1:8" x14ac:dyDescent="0.3">
      <c r="F48" s="19">
        <v>43</v>
      </c>
      <c r="G48" s="22">
        <v>45888</v>
      </c>
      <c r="H48" s="30">
        <f t="shared" si="0"/>
        <v>66.069999999999993</v>
      </c>
    </row>
    <row r="49" spans="6:8" x14ac:dyDescent="0.3">
      <c r="F49" s="19">
        <v>44</v>
      </c>
      <c r="G49" s="22">
        <v>45887</v>
      </c>
      <c r="H49" s="30">
        <f t="shared" si="0"/>
        <v>66.069999999999993</v>
      </c>
    </row>
    <row r="50" spans="6:8" x14ac:dyDescent="0.3">
      <c r="F50" s="19">
        <v>45</v>
      </c>
      <c r="G50" s="22">
        <v>45886</v>
      </c>
      <c r="H50" s="30">
        <f t="shared" si="0"/>
        <v>66.069999999999993</v>
      </c>
    </row>
    <row r="51" spans="6:8" x14ac:dyDescent="0.3">
      <c r="F51" s="19">
        <v>46</v>
      </c>
      <c r="G51" s="22">
        <v>45885</v>
      </c>
      <c r="H51" s="30">
        <f t="shared" si="0"/>
        <v>66.069999999999993</v>
      </c>
    </row>
    <row r="52" spans="6:8" x14ac:dyDescent="0.3">
      <c r="F52" s="19">
        <v>47</v>
      </c>
      <c r="G52" s="22">
        <v>45884</v>
      </c>
      <c r="H52" s="30">
        <f t="shared" si="0"/>
        <v>66.069999999999993</v>
      </c>
    </row>
    <row r="53" spans="6:8" x14ac:dyDescent="0.3">
      <c r="F53" s="19">
        <v>48</v>
      </c>
      <c r="G53" s="22">
        <v>45883</v>
      </c>
      <c r="H53" s="30">
        <f t="shared" si="0"/>
        <v>66.069999999999993</v>
      </c>
    </row>
    <row r="54" spans="6:8" x14ac:dyDescent="0.3">
      <c r="F54" s="19">
        <v>49</v>
      </c>
      <c r="G54" s="22">
        <v>45882</v>
      </c>
      <c r="H54" s="30">
        <f t="shared" si="0"/>
        <v>66.069999999999993</v>
      </c>
    </row>
    <row r="55" spans="6:8" x14ac:dyDescent="0.3">
      <c r="F55" s="19">
        <v>50</v>
      </c>
      <c r="G55" s="22">
        <v>45881</v>
      </c>
      <c r="H55" s="30">
        <f t="shared" si="0"/>
        <v>66.069999999999993</v>
      </c>
    </row>
    <row r="56" spans="6:8" x14ac:dyDescent="0.3">
      <c r="F56" s="19">
        <v>51</v>
      </c>
      <c r="G56" s="22">
        <v>45880</v>
      </c>
      <c r="H56" s="30">
        <f t="shared" si="0"/>
        <v>66.069999999999993</v>
      </c>
    </row>
    <row r="57" spans="6:8" x14ac:dyDescent="0.3">
      <c r="F57" s="19">
        <v>52</v>
      </c>
      <c r="G57" s="22">
        <v>45879</v>
      </c>
      <c r="H57" s="30">
        <f t="shared" si="0"/>
        <v>66.069999999999993</v>
      </c>
    </row>
    <row r="58" spans="6:8" x14ac:dyDescent="0.3">
      <c r="F58" s="19">
        <v>53</v>
      </c>
      <c r="G58" s="22">
        <v>45878</v>
      </c>
      <c r="H58" s="30">
        <f t="shared" si="0"/>
        <v>66.069999999999993</v>
      </c>
    </row>
    <row r="59" spans="6:8" x14ac:dyDescent="0.3">
      <c r="F59" s="19">
        <v>54</v>
      </c>
      <c r="G59" s="22">
        <v>45877</v>
      </c>
      <c r="H59" s="30">
        <f t="shared" si="0"/>
        <v>66.069999999999993</v>
      </c>
    </row>
    <row r="60" spans="6:8" x14ac:dyDescent="0.3">
      <c r="F60" s="19">
        <v>55</v>
      </c>
      <c r="G60" s="22">
        <v>45876</v>
      </c>
      <c r="H60" s="30">
        <f t="shared" si="0"/>
        <v>66.069999999999993</v>
      </c>
    </row>
    <row r="61" spans="6:8" x14ac:dyDescent="0.3">
      <c r="F61" s="19">
        <v>56</v>
      </c>
      <c r="G61" s="22">
        <v>45875</v>
      </c>
      <c r="H61" s="30">
        <f t="shared" si="0"/>
        <v>66.069999999999993</v>
      </c>
    </row>
    <row r="62" spans="6:8" x14ac:dyDescent="0.3">
      <c r="F62" s="19">
        <v>57</v>
      </c>
      <c r="G62" s="22">
        <v>45874</v>
      </c>
      <c r="H62" s="30">
        <f t="shared" si="0"/>
        <v>66.069999999999993</v>
      </c>
    </row>
    <row r="63" spans="6:8" x14ac:dyDescent="0.3">
      <c r="F63" s="19">
        <v>58</v>
      </c>
      <c r="G63" s="22">
        <v>45873</v>
      </c>
      <c r="H63" s="30">
        <f t="shared" si="0"/>
        <v>66.069999999999993</v>
      </c>
    </row>
    <row r="64" spans="6:8" x14ac:dyDescent="0.3">
      <c r="F64" s="19">
        <v>59</v>
      </c>
      <c r="G64" s="22">
        <v>45872</v>
      </c>
      <c r="H64" s="30">
        <f t="shared" si="0"/>
        <v>66.069999999999993</v>
      </c>
    </row>
    <row r="65" spans="6:8" x14ac:dyDescent="0.3">
      <c r="F65" s="19">
        <v>60</v>
      </c>
      <c r="G65" s="22">
        <v>45871</v>
      </c>
      <c r="H65" s="30">
        <f t="shared" si="0"/>
        <v>66.069999999999993</v>
      </c>
    </row>
    <row r="66" spans="6:8" x14ac:dyDescent="0.3">
      <c r="F66" s="19">
        <v>61</v>
      </c>
      <c r="G66" s="22">
        <v>45870</v>
      </c>
      <c r="H66" s="30">
        <f t="shared" si="0"/>
        <v>66.069999999999993</v>
      </c>
    </row>
    <row r="67" spans="6:8" x14ac:dyDescent="0.3">
      <c r="F67" s="19">
        <v>62</v>
      </c>
      <c r="G67" s="22">
        <v>45869</v>
      </c>
      <c r="H67" s="30">
        <f t="shared" si="0"/>
        <v>68.59</v>
      </c>
    </row>
    <row r="68" spans="6:8" x14ac:dyDescent="0.3">
      <c r="F68" s="19">
        <v>63</v>
      </c>
      <c r="G68" s="22">
        <v>45868</v>
      </c>
      <c r="H68" s="30">
        <f t="shared" si="0"/>
        <v>68.59</v>
      </c>
    </row>
    <row r="69" spans="6:8" x14ac:dyDescent="0.3">
      <c r="F69" s="19">
        <v>64</v>
      </c>
      <c r="G69" s="22">
        <v>45867</v>
      </c>
      <c r="H69" s="30">
        <f t="shared" si="0"/>
        <v>68.59</v>
      </c>
    </row>
    <row r="70" spans="6:8" x14ac:dyDescent="0.3">
      <c r="F70" s="19">
        <v>65</v>
      </c>
      <c r="G70" s="22">
        <v>45866</v>
      </c>
      <c r="H70" s="30">
        <f t="shared" si="0"/>
        <v>68.59</v>
      </c>
    </row>
    <row r="71" spans="6:8" x14ac:dyDescent="0.3">
      <c r="F71" s="19">
        <v>66</v>
      </c>
      <c r="G71" s="22">
        <v>45865</v>
      </c>
      <c r="H71" s="30">
        <f t="shared" ref="H71:H134" si="1">_xlfn.XLOOKUP(G71,$B$6:$B$38,$C$6:$C$38,,-1)</f>
        <v>68.59</v>
      </c>
    </row>
    <row r="72" spans="6:8" x14ac:dyDescent="0.3">
      <c r="F72" s="19">
        <v>67</v>
      </c>
      <c r="G72" s="22">
        <v>45864</v>
      </c>
      <c r="H72" s="30">
        <f t="shared" si="1"/>
        <v>68.59</v>
      </c>
    </row>
    <row r="73" spans="6:8" x14ac:dyDescent="0.3">
      <c r="F73" s="19">
        <v>68</v>
      </c>
      <c r="G73" s="22">
        <v>45863</v>
      </c>
      <c r="H73" s="30">
        <f t="shared" si="1"/>
        <v>68.59</v>
      </c>
    </row>
    <row r="74" spans="6:8" x14ac:dyDescent="0.3">
      <c r="F74" s="19">
        <v>69</v>
      </c>
      <c r="G74" s="22">
        <v>45862</v>
      </c>
      <c r="H74" s="30">
        <f t="shared" si="1"/>
        <v>68.59</v>
      </c>
    </row>
    <row r="75" spans="6:8" x14ac:dyDescent="0.3">
      <c r="F75" s="19">
        <v>70</v>
      </c>
      <c r="G75" s="22">
        <v>45861</v>
      </c>
      <c r="H75" s="30">
        <f t="shared" si="1"/>
        <v>68.59</v>
      </c>
    </row>
    <row r="76" spans="6:8" x14ac:dyDescent="0.3">
      <c r="F76" s="19">
        <v>71</v>
      </c>
      <c r="G76" s="22">
        <v>45860</v>
      </c>
      <c r="H76" s="30">
        <f t="shared" si="1"/>
        <v>68.59</v>
      </c>
    </row>
    <row r="77" spans="6:8" x14ac:dyDescent="0.3">
      <c r="F77" s="19">
        <v>72</v>
      </c>
      <c r="G77" s="22">
        <v>45859</v>
      </c>
      <c r="H77" s="30">
        <f t="shared" si="1"/>
        <v>68.59</v>
      </c>
    </row>
    <row r="78" spans="6:8" x14ac:dyDescent="0.3">
      <c r="F78" s="19">
        <v>73</v>
      </c>
      <c r="G78" s="22">
        <v>45858</v>
      </c>
      <c r="H78" s="30">
        <f t="shared" si="1"/>
        <v>68.59</v>
      </c>
    </row>
    <row r="79" spans="6:8" x14ac:dyDescent="0.3">
      <c r="F79" s="19">
        <v>74</v>
      </c>
      <c r="G79" s="22">
        <v>45857</v>
      </c>
      <c r="H79" s="30">
        <f t="shared" si="1"/>
        <v>68.59</v>
      </c>
    </row>
    <row r="80" spans="6:8" x14ac:dyDescent="0.3">
      <c r="F80" s="19">
        <v>75</v>
      </c>
      <c r="G80" s="22">
        <v>45856</v>
      </c>
      <c r="H80" s="30">
        <f t="shared" si="1"/>
        <v>68.59</v>
      </c>
    </row>
    <row r="81" spans="6:8" x14ac:dyDescent="0.3">
      <c r="F81" s="19">
        <v>76</v>
      </c>
      <c r="G81" s="22">
        <v>45855</v>
      </c>
      <c r="H81" s="30">
        <f t="shared" si="1"/>
        <v>68.59</v>
      </c>
    </row>
    <row r="82" spans="6:8" x14ac:dyDescent="0.3">
      <c r="F82" s="19">
        <v>77</v>
      </c>
      <c r="G82" s="22">
        <v>45854</v>
      </c>
      <c r="H82" s="30">
        <f t="shared" si="1"/>
        <v>68.59</v>
      </c>
    </row>
    <row r="83" spans="6:8" x14ac:dyDescent="0.3">
      <c r="F83" s="19">
        <v>78</v>
      </c>
      <c r="G83" s="22">
        <v>45853</v>
      </c>
      <c r="H83" s="30">
        <f t="shared" si="1"/>
        <v>68.59</v>
      </c>
    </row>
    <row r="84" spans="6:8" x14ac:dyDescent="0.3">
      <c r="F84" s="19">
        <v>79</v>
      </c>
      <c r="G84" s="22">
        <v>45852</v>
      </c>
      <c r="H84" s="30">
        <f t="shared" si="1"/>
        <v>68.59</v>
      </c>
    </row>
    <row r="85" spans="6:8" x14ac:dyDescent="0.3">
      <c r="F85" s="19">
        <v>80</v>
      </c>
      <c r="G85" s="22">
        <v>45851</v>
      </c>
      <c r="H85" s="30">
        <f t="shared" si="1"/>
        <v>68.59</v>
      </c>
    </row>
    <row r="86" spans="6:8" x14ac:dyDescent="0.3">
      <c r="F86" s="19">
        <v>81</v>
      </c>
      <c r="G86" s="22">
        <v>45850</v>
      </c>
      <c r="H86" s="30">
        <f t="shared" si="1"/>
        <v>68.59</v>
      </c>
    </row>
    <row r="87" spans="6:8" x14ac:dyDescent="0.3">
      <c r="F87" s="19">
        <v>82</v>
      </c>
      <c r="G87" s="22">
        <v>45849</v>
      </c>
      <c r="H87" s="30">
        <f t="shared" si="1"/>
        <v>68.59</v>
      </c>
    </row>
    <row r="88" spans="6:8" x14ac:dyDescent="0.3">
      <c r="F88" s="19">
        <v>83</v>
      </c>
      <c r="G88" s="22">
        <v>45848</v>
      </c>
      <c r="H88" s="30">
        <f t="shared" si="1"/>
        <v>68.59</v>
      </c>
    </row>
    <row r="89" spans="6:8" x14ac:dyDescent="0.3">
      <c r="F89" s="19">
        <v>84</v>
      </c>
      <c r="G89" s="22">
        <v>45847</v>
      </c>
      <c r="H89" s="30">
        <f t="shared" si="1"/>
        <v>68.59</v>
      </c>
    </row>
    <row r="90" spans="6:8" x14ac:dyDescent="0.3">
      <c r="F90" s="19">
        <v>85</v>
      </c>
      <c r="G90" s="22">
        <v>45846</v>
      </c>
      <c r="H90" s="30">
        <f t="shared" si="1"/>
        <v>68.59</v>
      </c>
    </row>
    <row r="91" spans="6:8" x14ac:dyDescent="0.3">
      <c r="F91" s="19">
        <v>86</v>
      </c>
      <c r="G91" s="22">
        <v>45845</v>
      </c>
      <c r="H91" s="30">
        <f t="shared" si="1"/>
        <v>68.59</v>
      </c>
    </row>
    <row r="92" spans="6:8" x14ac:dyDescent="0.3">
      <c r="F92" s="19">
        <v>87</v>
      </c>
      <c r="G92" s="22">
        <v>45844</v>
      </c>
      <c r="H92" s="30">
        <f t="shared" si="1"/>
        <v>68.59</v>
      </c>
    </row>
    <row r="93" spans="6:8" x14ac:dyDescent="0.3">
      <c r="F93" s="19">
        <v>88</v>
      </c>
      <c r="G93" s="22">
        <v>45843</v>
      </c>
      <c r="H93" s="30">
        <f t="shared" si="1"/>
        <v>68.59</v>
      </c>
    </row>
    <row r="94" spans="6:8" x14ac:dyDescent="0.3">
      <c r="F94" s="19">
        <v>89</v>
      </c>
      <c r="G94" s="22">
        <v>45842</v>
      </c>
      <c r="H94" s="30">
        <f t="shared" si="1"/>
        <v>68.59</v>
      </c>
    </row>
    <row r="95" spans="6:8" x14ac:dyDescent="0.3">
      <c r="F95" s="19">
        <v>90</v>
      </c>
      <c r="G95" s="22">
        <v>45841</v>
      </c>
      <c r="H95" s="30">
        <f t="shared" si="1"/>
        <v>68.59</v>
      </c>
    </row>
    <row r="96" spans="6:8" x14ac:dyDescent="0.3">
      <c r="F96" s="19">
        <v>91</v>
      </c>
      <c r="G96" s="22">
        <v>45840</v>
      </c>
      <c r="H96" s="30">
        <f t="shared" si="1"/>
        <v>68.59</v>
      </c>
    </row>
    <row r="97" spans="6:8" x14ac:dyDescent="0.3">
      <c r="F97" s="19">
        <v>92</v>
      </c>
      <c r="G97" s="22">
        <v>45839</v>
      </c>
      <c r="H97" s="30">
        <f t="shared" si="1"/>
        <v>68.59</v>
      </c>
    </row>
    <row r="98" spans="6:8" x14ac:dyDescent="0.3">
      <c r="F98" s="19">
        <v>93</v>
      </c>
      <c r="G98" s="22">
        <v>45838</v>
      </c>
      <c r="H98" s="30">
        <f t="shared" si="1"/>
        <v>69.33</v>
      </c>
    </row>
    <row r="99" spans="6:8" x14ac:dyDescent="0.3">
      <c r="F99" s="19">
        <v>94</v>
      </c>
      <c r="G99" s="22">
        <v>45837</v>
      </c>
      <c r="H99" s="30">
        <f t="shared" si="1"/>
        <v>69.33</v>
      </c>
    </row>
    <row r="100" spans="6:8" x14ac:dyDescent="0.3">
      <c r="F100" s="19">
        <v>95</v>
      </c>
      <c r="G100" s="22">
        <v>45836</v>
      </c>
      <c r="H100" s="30">
        <f t="shared" si="1"/>
        <v>69.33</v>
      </c>
    </row>
    <row r="101" spans="6:8" x14ac:dyDescent="0.3">
      <c r="F101" s="19">
        <v>96</v>
      </c>
      <c r="G101" s="22">
        <v>45835</v>
      </c>
      <c r="H101" s="30">
        <f t="shared" si="1"/>
        <v>69.33</v>
      </c>
    </row>
    <row r="102" spans="6:8" x14ac:dyDescent="0.3">
      <c r="F102" s="19">
        <v>97</v>
      </c>
      <c r="G102" s="22">
        <v>45834</v>
      </c>
      <c r="H102" s="30">
        <f t="shared" si="1"/>
        <v>69.33</v>
      </c>
    </row>
    <row r="103" spans="6:8" x14ac:dyDescent="0.3">
      <c r="F103" s="19">
        <v>98</v>
      </c>
      <c r="G103" s="22">
        <v>45833</v>
      </c>
      <c r="H103" s="30">
        <f t="shared" si="1"/>
        <v>69.33</v>
      </c>
    </row>
    <row r="104" spans="6:8" x14ac:dyDescent="0.3">
      <c r="F104" s="19">
        <v>99</v>
      </c>
      <c r="G104" s="22">
        <v>45832</v>
      </c>
      <c r="H104" s="30">
        <f t="shared" si="1"/>
        <v>69.33</v>
      </c>
    </row>
    <row r="105" spans="6:8" x14ac:dyDescent="0.3">
      <c r="F105" s="19">
        <v>100</v>
      </c>
      <c r="G105" s="22">
        <v>45831</v>
      </c>
      <c r="H105" s="30">
        <f t="shared" si="1"/>
        <v>69.33</v>
      </c>
    </row>
    <row r="106" spans="6:8" x14ac:dyDescent="0.3">
      <c r="F106" s="19">
        <v>101</v>
      </c>
      <c r="G106" s="22">
        <v>45830</v>
      </c>
      <c r="H106" s="30">
        <f t="shared" si="1"/>
        <v>69.33</v>
      </c>
    </row>
    <row r="107" spans="6:8" x14ac:dyDescent="0.3">
      <c r="F107" s="19">
        <v>102</v>
      </c>
      <c r="G107" s="22">
        <v>45829</v>
      </c>
      <c r="H107" s="30">
        <f t="shared" si="1"/>
        <v>69.33</v>
      </c>
    </row>
    <row r="108" spans="6:8" x14ac:dyDescent="0.3">
      <c r="F108" s="19">
        <v>103</v>
      </c>
      <c r="G108" s="22">
        <v>45828</v>
      </c>
      <c r="H108" s="30">
        <f t="shared" si="1"/>
        <v>69.33</v>
      </c>
    </row>
    <row r="109" spans="6:8" x14ac:dyDescent="0.3">
      <c r="F109" s="19">
        <v>104</v>
      </c>
      <c r="G109" s="22">
        <v>45827</v>
      </c>
      <c r="H109" s="30">
        <f t="shared" si="1"/>
        <v>69.33</v>
      </c>
    </row>
    <row r="110" spans="6:8" x14ac:dyDescent="0.3">
      <c r="F110" s="19">
        <v>105</v>
      </c>
      <c r="G110" s="22">
        <v>45826</v>
      </c>
      <c r="H110" s="30">
        <f t="shared" si="1"/>
        <v>69.33</v>
      </c>
    </row>
    <row r="111" spans="6:8" x14ac:dyDescent="0.3">
      <c r="F111" s="19">
        <v>106</v>
      </c>
      <c r="G111" s="22">
        <v>45825</v>
      </c>
      <c r="H111" s="30">
        <f t="shared" si="1"/>
        <v>69.33</v>
      </c>
    </row>
    <row r="112" spans="6:8" x14ac:dyDescent="0.3">
      <c r="F112" s="19">
        <v>107</v>
      </c>
      <c r="G112" s="22">
        <v>45824</v>
      </c>
      <c r="H112" s="30">
        <f t="shared" si="1"/>
        <v>69.33</v>
      </c>
    </row>
    <row r="113" spans="6:8" x14ac:dyDescent="0.3">
      <c r="F113" s="19">
        <v>108</v>
      </c>
      <c r="G113" s="22">
        <v>45823</v>
      </c>
      <c r="H113" s="30">
        <f t="shared" si="1"/>
        <v>69.33</v>
      </c>
    </row>
    <row r="114" spans="6:8" x14ac:dyDescent="0.3">
      <c r="F114" s="19">
        <v>109</v>
      </c>
      <c r="G114" s="22">
        <v>45822</v>
      </c>
      <c r="H114" s="30">
        <f t="shared" si="1"/>
        <v>69.33</v>
      </c>
    </row>
    <row r="115" spans="6:8" x14ac:dyDescent="0.3">
      <c r="F115" s="19">
        <v>110</v>
      </c>
      <c r="G115" s="22">
        <v>45821</v>
      </c>
      <c r="H115" s="30">
        <f t="shared" si="1"/>
        <v>69.33</v>
      </c>
    </row>
    <row r="116" spans="6:8" x14ac:dyDescent="0.3">
      <c r="F116" s="19">
        <v>111</v>
      </c>
      <c r="G116" s="22">
        <v>45820</v>
      </c>
      <c r="H116" s="30">
        <f t="shared" si="1"/>
        <v>69.33</v>
      </c>
    </row>
    <row r="117" spans="6:8" x14ac:dyDescent="0.3">
      <c r="F117" s="19">
        <v>112</v>
      </c>
      <c r="G117" s="22">
        <v>45819</v>
      </c>
      <c r="H117" s="30">
        <f t="shared" si="1"/>
        <v>69.33</v>
      </c>
    </row>
    <row r="118" spans="6:8" x14ac:dyDescent="0.3">
      <c r="F118" s="19">
        <v>113</v>
      </c>
      <c r="G118" s="22">
        <v>45818</v>
      </c>
      <c r="H118" s="30">
        <f t="shared" si="1"/>
        <v>69.33</v>
      </c>
    </row>
    <row r="119" spans="6:8" x14ac:dyDescent="0.3">
      <c r="F119" s="19">
        <v>114</v>
      </c>
      <c r="G119" s="22">
        <v>45817</v>
      </c>
      <c r="H119" s="30">
        <f t="shared" si="1"/>
        <v>69.33</v>
      </c>
    </row>
    <row r="120" spans="6:8" x14ac:dyDescent="0.3">
      <c r="F120" s="19">
        <v>115</v>
      </c>
      <c r="G120" s="22">
        <v>45816</v>
      </c>
      <c r="H120" s="30">
        <f t="shared" si="1"/>
        <v>69.33</v>
      </c>
    </row>
    <row r="121" spans="6:8" x14ac:dyDescent="0.3">
      <c r="F121" s="19">
        <v>116</v>
      </c>
      <c r="G121" s="22">
        <v>45815</v>
      </c>
      <c r="H121" s="30">
        <f t="shared" si="1"/>
        <v>69.33</v>
      </c>
    </row>
    <row r="122" spans="6:8" x14ac:dyDescent="0.3">
      <c r="F122" s="19">
        <v>117</v>
      </c>
      <c r="G122" s="22">
        <v>45814</v>
      </c>
      <c r="H122" s="30">
        <f t="shared" si="1"/>
        <v>69.33</v>
      </c>
    </row>
    <row r="123" spans="6:8" x14ac:dyDescent="0.3">
      <c r="F123" s="19">
        <v>118</v>
      </c>
      <c r="G123" s="22">
        <v>45813</v>
      </c>
      <c r="H123" s="30">
        <f t="shared" si="1"/>
        <v>69.33</v>
      </c>
    </row>
    <row r="124" spans="6:8" x14ac:dyDescent="0.3">
      <c r="F124" s="19">
        <v>119</v>
      </c>
      <c r="G124" s="22">
        <v>45812</v>
      </c>
      <c r="H124" s="30">
        <f t="shared" si="1"/>
        <v>69.33</v>
      </c>
    </row>
    <row r="125" spans="6:8" x14ac:dyDescent="0.3">
      <c r="F125" s="19">
        <v>120</v>
      </c>
      <c r="G125" s="22">
        <v>45811</v>
      </c>
      <c r="H125" s="30">
        <f t="shared" si="1"/>
        <v>69.33</v>
      </c>
    </row>
    <row r="126" spans="6:8" x14ac:dyDescent="0.3">
      <c r="F126" s="19">
        <v>121</v>
      </c>
      <c r="G126" s="22">
        <v>45810</v>
      </c>
      <c r="H126" s="30">
        <f t="shared" si="1"/>
        <v>69.33</v>
      </c>
    </row>
    <row r="127" spans="6:8" x14ac:dyDescent="0.3">
      <c r="F127" s="19">
        <v>122</v>
      </c>
      <c r="G127" s="22">
        <v>45809</v>
      </c>
      <c r="H127" s="30">
        <f t="shared" si="1"/>
        <v>69.33</v>
      </c>
    </row>
    <row r="128" spans="6:8" x14ac:dyDescent="0.3">
      <c r="F128" s="19">
        <v>123</v>
      </c>
      <c r="G128" s="22">
        <v>45808</v>
      </c>
      <c r="H128" s="30">
        <f t="shared" si="1"/>
        <v>62.75</v>
      </c>
    </row>
    <row r="129" spans="6:8" x14ac:dyDescent="0.3">
      <c r="F129" s="19">
        <v>124</v>
      </c>
      <c r="G129" s="22">
        <v>45807</v>
      </c>
      <c r="H129" s="30">
        <f t="shared" si="1"/>
        <v>62.75</v>
      </c>
    </row>
    <row r="130" spans="6:8" x14ac:dyDescent="0.3">
      <c r="F130" s="19">
        <v>125</v>
      </c>
      <c r="G130" s="22">
        <v>45806</v>
      </c>
      <c r="H130" s="30">
        <f t="shared" si="1"/>
        <v>62.75</v>
      </c>
    </row>
    <row r="131" spans="6:8" x14ac:dyDescent="0.3">
      <c r="F131" s="19">
        <v>126</v>
      </c>
      <c r="G131" s="22">
        <v>45805</v>
      </c>
      <c r="H131" s="30">
        <f t="shared" si="1"/>
        <v>62.75</v>
      </c>
    </row>
    <row r="132" spans="6:8" x14ac:dyDescent="0.3">
      <c r="F132" s="19">
        <v>127</v>
      </c>
      <c r="G132" s="22">
        <v>45804</v>
      </c>
      <c r="H132" s="30">
        <f t="shared" si="1"/>
        <v>62.75</v>
      </c>
    </row>
    <row r="133" spans="6:8" x14ac:dyDescent="0.3">
      <c r="F133" s="19">
        <v>128</v>
      </c>
      <c r="G133" s="22">
        <v>45803</v>
      </c>
      <c r="H133" s="30">
        <f t="shared" si="1"/>
        <v>62.75</v>
      </c>
    </row>
    <row r="134" spans="6:8" x14ac:dyDescent="0.3">
      <c r="F134" s="19">
        <v>129</v>
      </c>
      <c r="G134" s="22">
        <v>45802</v>
      </c>
      <c r="H134" s="30">
        <f t="shared" si="1"/>
        <v>62.75</v>
      </c>
    </row>
    <row r="135" spans="6:8" x14ac:dyDescent="0.3">
      <c r="F135" s="19">
        <v>130</v>
      </c>
      <c r="G135" s="22">
        <v>45801</v>
      </c>
      <c r="H135" s="30">
        <f t="shared" ref="H135:H198" si="2">_xlfn.XLOOKUP(G135,$B$6:$B$38,$C$6:$C$38,,-1)</f>
        <v>62.75</v>
      </c>
    </row>
    <row r="136" spans="6:8" x14ac:dyDescent="0.3">
      <c r="F136" s="19">
        <v>131</v>
      </c>
      <c r="G136" s="22">
        <v>45800</v>
      </c>
      <c r="H136" s="30">
        <f t="shared" si="2"/>
        <v>62.75</v>
      </c>
    </row>
    <row r="137" spans="6:8" x14ac:dyDescent="0.3">
      <c r="F137" s="19">
        <v>132</v>
      </c>
      <c r="G137" s="22">
        <v>45799</v>
      </c>
      <c r="H137" s="30">
        <f t="shared" si="2"/>
        <v>62.75</v>
      </c>
    </row>
    <row r="138" spans="6:8" x14ac:dyDescent="0.3">
      <c r="F138" s="19">
        <v>133</v>
      </c>
      <c r="G138" s="22">
        <v>45798</v>
      </c>
      <c r="H138" s="30">
        <f t="shared" si="2"/>
        <v>62.75</v>
      </c>
    </row>
    <row r="139" spans="6:8" x14ac:dyDescent="0.3">
      <c r="F139" s="19">
        <v>134</v>
      </c>
      <c r="G139" s="22">
        <v>45797</v>
      </c>
      <c r="H139" s="30">
        <f t="shared" si="2"/>
        <v>62.75</v>
      </c>
    </row>
    <row r="140" spans="6:8" x14ac:dyDescent="0.3">
      <c r="F140" s="19">
        <v>135</v>
      </c>
      <c r="G140" s="22">
        <v>45796</v>
      </c>
      <c r="H140" s="30">
        <f t="shared" si="2"/>
        <v>62.75</v>
      </c>
    </row>
    <row r="141" spans="6:8" x14ac:dyDescent="0.3">
      <c r="F141" s="19">
        <v>136</v>
      </c>
      <c r="G141" s="22">
        <v>45795</v>
      </c>
      <c r="H141" s="30">
        <f t="shared" si="2"/>
        <v>62.75</v>
      </c>
    </row>
    <row r="142" spans="6:8" x14ac:dyDescent="0.3">
      <c r="F142" s="19">
        <v>137</v>
      </c>
      <c r="G142" s="22">
        <v>45794</v>
      </c>
      <c r="H142" s="30">
        <f t="shared" si="2"/>
        <v>62.75</v>
      </c>
    </row>
    <row r="143" spans="6:8" x14ac:dyDescent="0.3">
      <c r="F143" s="19">
        <v>138</v>
      </c>
      <c r="G143" s="22">
        <v>45793</v>
      </c>
      <c r="H143" s="30">
        <f t="shared" si="2"/>
        <v>62.75</v>
      </c>
    </row>
    <row r="144" spans="6:8" x14ac:dyDescent="0.3">
      <c r="F144" s="19">
        <v>139</v>
      </c>
      <c r="G144" s="22">
        <v>45792</v>
      </c>
      <c r="H144" s="30">
        <f t="shared" si="2"/>
        <v>62.75</v>
      </c>
    </row>
    <row r="145" spans="6:8" x14ac:dyDescent="0.3">
      <c r="F145" s="19">
        <v>140</v>
      </c>
      <c r="G145" s="22">
        <v>45791</v>
      </c>
      <c r="H145" s="30">
        <f t="shared" si="2"/>
        <v>62.75</v>
      </c>
    </row>
    <row r="146" spans="6:8" x14ac:dyDescent="0.3">
      <c r="F146" s="19">
        <v>141</v>
      </c>
      <c r="G146" s="22">
        <v>45790</v>
      </c>
      <c r="H146" s="30">
        <f t="shared" si="2"/>
        <v>62.75</v>
      </c>
    </row>
    <row r="147" spans="6:8" x14ac:dyDescent="0.3">
      <c r="F147" s="19">
        <v>142</v>
      </c>
      <c r="G147" s="22">
        <v>45789</v>
      </c>
      <c r="H147" s="30">
        <f t="shared" si="2"/>
        <v>62.75</v>
      </c>
    </row>
    <row r="148" spans="6:8" x14ac:dyDescent="0.3">
      <c r="F148" s="19">
        <v>143</v>
      </c>
      <c r="G148" s="22">
        <v>45788</v>
      </c>
      <c r="H148" s="30">
        <f t="shared" si="2"/>
        <v>62.75</v>
      </c>
    </row>
    <row r="149" spans="6:8" x14ac:dyDescent="0.3">
      <c r="F149" s="19">
        <v>144</v>
      </c>
      <c r="G149" s="22">
        <v>45787</v>
      </c>
      <c r="H149" s="30">
        <f t="shared" si="2"/>
        <v>62.75</v>
      </c>
    </row>
    <row r="150" spans="6:8" x14ac:dyDescent="0.3">
      <c r="F150" s="19">
        <v>145</v>
      </c>
      <c r="G150" s="22">
        <v>45786</v>
      </c>
      <c r="H150" s="30">
        <f t="shared" si="2"/>
        <v>62.75</v>
      </c>
    </row>
    <row r="151" spans="6:8" x14ac:dyDescent="0.3">
      <c r="F151" s="19">
        <v>146</v>
      </c>
      <c r="G151" s="22">
        <v>45785</v>
      </c>
      <c r="H151" s="30">
        <f t="shared" si="2"/>
        <v>62.75</v>
      </c>
    </row>
    <row r="152" spans="6:8" x14ac:dyDescent="0.3">
      <c r="F152" s="19">
        <v>147</v>
      </c>
      <c r="G152" s="22">
        <v>45784</v>
      </c>
      <c r="H152" s="30">
        <f t="shared" si="2"/>
        <v>62.75</v>
      </c>
    </row>
    <row r="153" spans="6:8" x14ac:dyDescent="0.3">
      <c r="F153" s="19">
        <v>148</v>
      </c>
      <c r="G153" s="22">
        <v>45783</v>
      </c>
      <c r="H153" s="30">
        <f t="shared" si="2"/>
        <v>62.75</v>
      </c>
    </row>
    <row r="154" spans="6:8" x14ac:dyDescent="0.3">
      <c r="F154" s="19">
        <v>149</v>
      </c>
      <c r="G154" s="22">
        <v>45782</v>
      </c>
      <c r="H154" s="30">
        <f t="shared" si="2"/>
        <v>62.75</v>
      </c>
    </row>
    <row r="155" spans="6:8" x14ac:dyDescent="0.3">
      <c r="F155" s="19">
        <v>150</v>
      </c>
      <c r="G155" s="22">
        <v>45781</v>
      </c>
      <c r="H155" s="30">
        <f t="shared" si="2"/>
        <v>62.75</v>
      </c>
    </row>
    <row r="156" spans="6:8" x14ac:dyDescent="0.3">
      <c r="F156" s="19">
        <v>151</v>
      </c>
      <c r="G156" s="22">
        <v>45780</v>
      </c>
      <c r="H156" s="30">
        <f t="shared" si="2"/>
        <v>62.75</v>
      </c>
    </row>
    <row r="157" spans="6:8" x14ac:dyDescent="0.3">
      <c r="F157" s="19">
        <v>152</v>
      </c>
      <c r="G157" s="22">
        <v>45779</v>
      </c>
      <c r="H157" s="30">
        <f t="shared" si="2"/>
        <v>62.75</v>
      </c>
    </row>
    <row r="158" spans="6:8" x14ac:dyDescent="0.3">
      <c r="F158" s="19">
        <v>153</v>
      </c>
      <c r="G158" s="22">
        <v>45778</v>
      </c>
      <c r="H158" s="30">
        <f t="shared" si="2"/>
        <v>62.75</v>
      </c>
    </row>
    <row r="159" spans="6:8" x14ac:dyDescent="0.3">
      <c r="F159" s="19">
        <v>154</v>
      </c>
      <c r="G159" s="22">
        <v>45777</v>
      </c>
      <c r="H159" s="30">
        <f t="shared" si="2"/>
        <v>65.290000000000006</v>
      </c>
    </row>
    <row r="160" spans="6:8" x14ac:dyDescent="0.3">
      <c r="F160" s="19">
        <v>155</v>
      </c>
      <c r="G160" s="22">
        <v>45776</v>
      </c>
      <c r="H160" s="30">
        <f t="shared" si="2"/>
        <v>65.290000000000006</v>
      </c>
    </row>
    <row r="161" spans="6:8" x14ac:dyDescent="0.3">
      <c r="F161" s="19">
        <v>156</v>
      </c>
      <c r="G161" s="22">
        <v>45775</v>
      </c>
      <c r="H161" s="30">
        <f t="shared" si="2"/>
        <v>65.290000000000006</v>
      </c>
    </row>
    <row r="162" spans="6:8" x14ac:dyDescent="0.3">
      <c r="F162" s="19">
        <v>157</v>
      </c>
      <c r="G162" s="22">
        <v>45774</v>
      </c>
      <c r="H162" s="30">
        <f t="shared" si="2"/>
        <v>65.290000000000006</v>
      </c>
    </row>
    <row r="163" spans="6:8" x14ac:dyDescent="0.3">
      <c r="F163" s="19">
        <v>158</v>
      </c>
      <c r="G163" s="22">
        <v>45773</v>
      </c>
      <c r="H163" s="30">
        <f t="shared" si="2"/>
        <v>65.290000000000006</v>
      </c>
    </row>
    <row r="164" spans="6:8" x14ac:dyDescent="0.3">
      <c r="F164" s="19">
        <v>159</v>
      </c>
      <c r="G164" s="22">
        <v>45772</v>
      </c>
      <c r="H164" s="30">
        <f t="shared" si="2"/>
        <v>65.290000000000006</v>
      </c>
    </row>
    <row r="165" spans="6:8" x14ac:dyDescent="0.3">
      <c r="F165" s="19">
        <v>160</v>
      </c>
      <c r="G165" s="22">
        <v>45771</v>
      </c>
      <c r="H165" s="30">
        <f t="shared" si="2"/>
        <v>65.290000000000006</v>
      </c>
    </row>
    <row r="166" spans="6:8" x14ac:dyDescent="0.3">
      <c r="F166" s="19">
        <v>161</v>
      </c>
      <c r="G166" s="22">
        <v>45770</v>
      </c>
      <c r="H166" s="30">
        <f t="shared" si="2"/>
        <v>65.290000000000006</v>
      </c>
    </row>
    <row r="167" spans="6:8" x14ac:dyDescent="0.3">
      <c r="F167" s="19">
        <v>162</v>
      </c>
      <c r="G167" s="22">
        <v>45769</v>
      </c>
      <c r="H167" s="30">
        <f t="shared" si="2"/>
        <v>65.290000000000006</v>
      </c>
    </row>
    <row r="168" spans="6:8" x14ac:dyDescent="0.3">
      <c r="F168" s="19">
        <v>163</v>
      </c>
      <c r="G168" s="22">
        <v>45768</v>
      </c>
      <c r="H168" s="30">
        <f t="shared" si="2"/>
        <v>65.290000000000006</v>
      </c>
    </row>
    <row r="169" spans="6:8" x14ac:dyDescent="0.3">
      <c r="F169" s="19">
        <v>164</v>
      </c>
      <c r="G169" s="22">
        <v>45767</v>
      </c>
      <c r="H169" s="30">
        <f t="shared" si="2"/>
        <v>65.290000000000006</v>
      </c>
    </row>
    <row r="170" spans="6:8" x14ac:dyDescent="0.3">
      <c r="F170" s="19">
        <v>165</v>
      </c>
      <c r="G170" s="22">
        <v>45766</v>
      </c>
      <c r="H170" s="30">
        <f t="shared" si="2"/>
        <v>65.290000000000006</v>
      </c>
    </row>
    <row r="171" spans="6:8" x14ac:dyDescent="0.3">
      <c r="F171" s="19">
        <v>166</v>
      </c>
      <c r="G171" s="22">
        <v>45765</v>
      </c>
      <c r="H171" s="30">
        <f t="shared" si="2"/>
        <v>65.290000000000006</v>
      </c>
    </row>
    <row r="172" spans="6:8" x14ac:dyDescent="0.3">
      <c r="F172" s="19">
        <v>167</v>
      </c>
      <c r="G172" s="22">
        <v>45764</v>
      </c>
      <c r="H172" s="30">
        <f t="shared" si="2"/>
        <v>65.290000000000006</v>
      </c>
    </row>
    <row r="173" spans="6:8" x14ac:dyDescent="0.3">
      <c r="F173" s="19">
        <v>168</v>
      </c>
      <c r="G173" s="22">
        <v>45763</v>
      </c>
      <c r="H173" s="30">
        <f t="shared" si="2"/>
        <v>65.290000000000006</v>
      </c>
    </row>
    <row r="174" spans="6:8" x14ac:dyDescent="0.3">
      <c r="F174" s="19">
        <v>169</v>
      </c>
      <c r="G174" s="22">
        <v>45762</v>
      </c>
      <c r="H174" s="30">
        <f t="shared" si="2"/>
        <v>65.290000000000006</v>
      </c>
    </row>
    <row r="175" spans="6:8" x14ac:dyDescent="0.3">
      <c r="F175" s="19">
        <v>170</v>
      </c>
      <c r="G175" s="22">
        <v>45761</v>
      </c>
      <c r="H175" s="30">
        <f t="shared" si="2"/>
        <v>65.290000000000006</v>
      </c>
    </row>
    <row r="176" spans="6:8" x14ac:dyDescent="0.3">
      <c r="F176" s="19">
        <v>171</v>
      </c>
      <c r="G176" s="22">
        <v>45760</v>
      </c>
      <c r="H176" s="30">
        <f t="shared" si="2"/>
        <v>65.290000000000006</v>
      </c>
    </row>
    <row r="177" spans="6:8" x14ac:dyDescent="0.3">
      <c r="F177" s="19">
        <v>172</v>
      </c>
      <c r="G177" s="22">
        <v>45759</v>
      </c>
      <c r="H177" s="30">
        <f t="shared" si="2"/>
        <v>65.290000000000006</v>
      </c>
    </row>
    <row r="178" spans="6:8" x14ac:dyDescent="0.3">
      <c r="F178" s="19">
        <v>173</v>
      </c>
      <c r="G178" s="22">
        <v>45758</v>
      </c>
      <c r="H178" s="30">
        <f t="shared" si="2"/>
        <v>65.290000000000006</v>
      </c>
    </row>
    <row r="179" spans="6:8" x14ac:dyDescent="0.3">
      <c r="F179" s="19">
        <v>174</v>
      </c>
      <c r="G179" s="22">
        <v>45757</v>
      </c>
      <c r="H179" s="30">
        <f t="shared" si="2"/>
        <v>65.290000000000006</v>
      </c>
    </row>
    <row r="180" spans="6:8" x14ac:dyDescent="0.3">
      <c r="F180" s="19">
        <v>175</v>
      </c>
      <c r="G180" s="22">
        <v>45756</v>
      </c>
      <c r="H180" s="30">
        <f t="shared" si="2"/>
        <v>65.290000000000006</v>
      </c>
    </row>
    <row r="181" spans="6:8" x14ac:dyDescent="0.3">
      <c r="F181" s="19">
        <v>176</v>
      </c>
      <c r="G181" s="22">
        <v>45755</v>
      </c>
      <c r="H181" s="30">
        <f t="shared" si="2"/>
        <v>65.290000000000006</v>
      </c>
    </row>
    <row r="182" spans="6:8" x14ac:dyDescent="0.3">
      <c r="F182" s="19">
        <v>177</v>
      </c>
      <c r="G182" s="22">
        <v>45754</v>
      </c>
      <c r="H182" s="30">
        <f t="shared" si="2"/>
        <v>65.290000000000006</v>
      </c>
    </row>
    <row r="183" spans="6:8" x14ac:dyDescent="0.3">
      <c r="F183" s="19">
        <v>178</v>
      </c>
      <c r="G183" s="22">
        <v>45753</v>
      </c>
      <c r="H183" s="30">
        <f t="shared" si="2"/>
        <v>65.290000000000006</v>
      </c>
    </row>
    <row r="184" spans="6:8" x14ac:dyDescent="0.3">
      <c r="F184" s="19">
        <v>179</v>
      </c>
      <c r="G184" s="22">
        <v>45752</v>
      </c>
      <c r="H184" s="30">
        <f t="shared" si="2"/>
        <v>65.290000000000006</v>
      </c>
    </row>
    <row r="185" spans="6:8" x14ac:dyDescent="0.3">
      <c r="F185" s="19">
        <v>180</v>
      </c>
      <c r="G185" s="22">
        <v>45751</v>
      </c>
      <c r="H185" s="30">
        <f t="shared" si="2"/>
        <v>65.290000000000006</v>
      </c>
    </row>
    <row r="186" spans="6:8" x14ac:dyDescent="0.3">
      <c r="F186" s="19">
        <v>181</v>
      </c>
      <c r="G186" s="22">
        <v>45750</v>
      </c>
      <c r="H186" s="30">
        <f t="shared" si="2"/>
        <v>65.290000000000006</v>
      </c>
    </row>
    <row r="187" spans="6:8" x14ac:dyDescent="0.3">
      <c r="F187" s="19">
        <v>182</v>
      </c>
      <c r="G187" s="22">
        <v>45749</v>
      </c>
      <c r="H187" s="30">
        <f t="shared" si="2"/>
        <v>65.290000000000006</v>
      </c>
    </row>
    <row r="188" spans="6:8" x14ac:dyDescent="0.3">
      <c r="F188" s="19">
        <v>183</v>
      </c>
      <c r="G188" s="22">
        <v>45748</v>
      </c>
      <c r="H188" s="30">
        <f t="shared" si="2"/>
        <v>65.290000000000006</v>
      </c>
    </row>
    <row r="189" spans="6:8" x14ac:dyDescent="0.3">
      <c r="F189" s="19">
        <v>184</v>
      </c>
      <c r="G189" s="22">
        <v>45747</v>
      </c>
      <c r="H189" s="30">
        <f t="shared" si="2"/>
        <v>71.11</v>
      </c>
    </row>
    <row r="190" spans="6:8" x14ac:dyDescent="0.3">
      <c r="F190" s="19">
        <v>185</v>
      </c>
      <c r="G190" s="22">
        <v>45746</v>
      </c>
      <c r="H190" s="30">
        <f t="shared" si="2"/>
        <v>71.11</v>
      </c>
    </row>
    <row r="191" spans="6:8" x14ac:dyDescent="0.3">
      <c r="F191" s="19">
        <v>186</v>
      </c>
      <c r="G191" s="22">
        <v>45745</v>
      </c>
      <c r="H191" s="30">
        <f t="shared" si="2"/>
        <v>71.11</v>
      </c>
    </row>
    <row r="192" spans="6:8" x14ac:dyDescent="0.3">
      <c r="F192" s="19">
        <v>187</v>
      </c>
      <c r="G192" s="22">
        <v>45744</v>
      </c>
      <c r="H192" s="30">
        <f t="shared" si="2"/>
        <v>71.11</v>
      </c>
    </row>
    <row r="193" spans="6:8" x14ac:dyDescent="0.3">
      <c r="F193" s="19">
        <v>188</v>
      </c>
      <c r="G193" s="22">
        <v>45743</v>
      </c>
      <c r="H193" s="30">
        <f t="shared" si="2"/>
        <v>71.11</v>
      </c>
    </row>
    <row r="194" spans="6:8" x14ac:dyDescent="0.3">
      <c r="F194" s="19">
        <v>189</v>
      </c>
      <c r="G194" s="22">
        <v>45742</v>
      </c>
      <c r="H194" s="30">
        <f t="shared" si="2"/>
        <v>71.11</v>
      </c>
    </row>
    <row r="195" spans="6:8" x14ac:dyDescent="0.3">
      <c r="F195" s="19">
        <v>190</v>
      </c>
      <c r="G195" s="22">
        <v>45741</v>
      </c>
      <c r="H195" s="30">
        <f t="shared" si="2"/>
        <v>71.11</v>
      </c>
    </row>
    <row r="196" spans="6:8" x14ac:dyDescent="0.3">
      <c r="F196" s="19">
        <v>191</v>
      </c>
      <c r="G196" s="22">
        <v>45740</v>
      </c>
      <c r="H196" s="30">
        <f t="shared" si="2"/>
        <v>71.11</v>
      </c>
    </row>
    <row r="197" spans="6:8" x14ac:dyDescent="0.3">
      <c r="F197" s="19">
        <v>192</v>
      </c>
      <c r="G197" s="22">
        <v>45739</v>
      </c>
      <c r="H197" s="30">
        <f t="shared" si="2"/>
        <v>71.11</v>
      </c>
    </row>
    <row r="198" spans="6:8" x14ac:dyDescent="0.3">
      <c r="F198" s="19">
        <v>193</v>
      </c>
      <c r="G198" s="22">
        <v>45738</v>
      </c>
      <c r="H198" s="30">
        <f t="shared" si="2"/>
        <v>71.11</v>
      </c>
    </row>
    <row r="199" spans="6:8" x14ac:dyDescent="0.3">
      <c r="F199" s="19">
        <v>194</v>
      </c>
      <c r="G199" s="22">
        <v>45737</v>
      </c>
      <c r="H199" s="30">
        <f t="shared" ref="H199:H262" si="3">_xlfn.XLOOKUP(G199,$B$6:$B$38,$C$6:$C$38,,-1)</f>
        <v>71.11</v>
      </c>
    </row>
    <row r="200" spans="6:8" x14ac:dyDescent="0.3">
      <c r="F200" s="19">
        <v>195</v>
      </c>
      <c r="G200" s="22">
        <v>45736</v>
      </c>
      <c r="H200" s="30">
        <f t="shared" si="3"/>
        <v>71.11</v>
      </c>
    </row>
    <row r="201" spans="6:8" x14ac:dyDescent="0.3">
      <c r="F201" s="19">
        <v>196</v>
      </c>
      <c r="G201" s="22">
        <v>45735</v>
      </c>
      <c r="H201" s="30">
        <f t="shared" si="3"/>
        <v>71.11</v>
      </c>
    </row>
    <row r="202" spans="6:8" x14ac:dyDescent="0.3">
      <c r="F202" s="19">
        <v>197</v>
      </c>
      <c r="G202" s="22">
        <v>45734</v>
      </c>
      <c r="H202" s="30">
        <f t="shared" si="3"/>
        <v>71.11</v>
      </c>
    </row>
    <row r="203" spans="6:8" x14ac:dyDescent="0.3">
      <c r="F203" s="19">
        <v>198</v>
      </c>
      <c r="G203" s="22">
        <v>45733</v>
      </c>
      <c r="H203" s="30">
        <f t="shared" si="3"/>
        <v>71.11</v>
      </c>
    </row>
    <row r="204" spans="6:8" x14ac:dyDescent="0.3">
      <c r="F204" s="19">
        <v>199</v>
      </c>
      <c r="G204" s="22">
        <v>45732</v>
      </c>
      <c r="H204" s="30">
        <f t="shared" si="3"/>
        <v>71.11</v>
      </c>
    </row>
    <row r="205" spans="6:8" x14ac:dyDescent="0.3">
      <c r="F205" s="19">
        <v>200</v>
      </c>
      <c r="G205" s="22">
        <v>45731</v>
      </c>
      <c r="H205" s="30">
        <f t="shared" si="3"/>
        <v>71.11</v>
      </c>
    </row>
    <row r="206" spans="6:8" x14ac:dyDescent="0.3">
      <c r="F206" s="19">
        <v>201</v>
      </c>
      <c r="G206" s="22">
        <v>45730</v>
      </c>
      <c r="H206" s="30">
        <f t="shared" si="3"/>
        <v>71.11</v>
      </c>
    </row>
    <row r="207" spans="6:8" x14ac:dyDescent="0.3">
      <c r="F207" s="19">
        <v>202</v>
      </c>
      <c r="G207" s="22">
        <v>45729</v>
      </c>
      <c r="H207" s="30">
        <f t="shared" si="3"/>
        <v>71.11</v>
      </c>
    </row>
    <row r="208" spans="6:8" x14ac:dyDescent="0.3">
      <c r="F208" s="19">
        <v>203</v>
      </c>
      <c r="G208" s="22">
        <v>45728</v>
      </c>
      <c r="H208" s="30">
        <f t="shared" si="3"/>
        <v>71.11</v>
      </c>
    </row>
    <row r="209" spans="6:8" x14ac:dyDescent="0.3">
      <c r="F209" s="19">
        <v>204</v>
      </c>
      <c r="G209" s="22">
        <v>45727</v>
      </c>
      <c r="H209" s="30">
        <f t="shared" si="3"/>
        <v>71.11</v>
      </c>
    </row>
    <row r="210" spans="6:8" x14ac:dyDescent="0.3">
      <c r="F210" s="19">
        <v>205</v>
      </c>
      <c r="G210" s="22">
        <v>45726</v>
      </c>
      <c r="H210" s="30">
        <f t="shared" si="3"/>
        <v>71.11</v>
      </c>
    </row>
    <row r="211" spans="6:8" x14ac:dyDescent="0.3">
      <c r="F211" s="19">
        <v>206</v>
      </c>
      <c r="G211" s="22">
        <v>45725</v>
      </c>
      <c r="H211" s="30">
        <f t="shared" si="3"/>
        <v>71.11</v>
      </c>
    </row>
    <row r="212" spans="6:8" x14ac:dyDescent="0.3">
      <c r="F212" s="19">
        <v>207</v>
      </c>
      <c r="G212" s="22">
        <v>45724</v>
      </c>
      <c r="H212" s="30">
        <f t="shared" si="3"/>
        <v>71.11</v>
      </c>
    </row>
    <row r="213" spans="6:8" x14ac:dyDescent="0.3">
      <c r="F213" s="19">
        <v>208</v>
      </c>
      <c r="G213" s="22">
        <v>45723</v>
      </c>
      <c r="H213" s="30">
        <f t="shared" si="3"/>
        <v>71.11</v>
      </c>
    </row>
    <row r="214" spans="6:8" x14ac:dyDescent="0.3">
      <c r="F214" s="19">
        <v>209</v>
      </c>
      <c r="G214" s="22">
        <v>45722</v>
      </c>
      <c r="H214" s="30">
        <f t="shared" si="3"/>
        <v>71.11</v>
      </c>
    </row>
    <row r="215" spans="6:8" x14ac:dyDescent="0.3">
      <c r="F215" s="19">
        <v>210</v>
      </c>
      <c r="G215" s="22">
        <v>45721</v>
      </c>
      <c r="H215" s="30">
        <f t="shared" si="3"/>
        <v>71.11</v>
      </c>
    </row>
    <row r="216" spans="6:8" x14ac:dyDescent="0.3">
      <c r="F216" s="19">
        <v>211</v>
      </c>
      <c r="G216" s="22">
        <v>45720</v>
      </c>
      <c r="H216" s="30">
        <f t="shared" si="3"/>
        <v>71.11</v>
      </c>
    </row>
    <row r="217" spans="6:8" x14ac:dyDescent="0.3">
      <c r="F217" s="19">
        <v>212</v>
      </c>
      <c r="G217" s="22">
        <v>45719</v>
      </c>
      <c r="H217" s="30">
        <f t="shared" si="3"/>
        <v>71.11</v>
      </c>
    </row>
    <row r="218" spans="6:8" x14ac:dyDescent="0.3">
      <c r="F218" s="19">
        <v>213</v>
      </c>
      <c r="G218" s="22">
        <v>45718</v>
      </c>
      <c r="H218" s="30">
        <f t="shared" si="3"/>
        <v>71.11</v>
      </c>
    </row>
    <row r="219" spans="6:8" x14ac:dyDescent="0.3">
      <c r="F219" s="19">
        <v>214</v>
      </c>
      <c r="G219" s="22">
        <v>45717</v>
      </c>
      <c r="H219" s="30">
        <f t="shared" si="3"/>
        <v>71.11</v>
      </c>
    </row>
    <row r="220" spans="6:8" x14ac:dyDescent="0.3">
      <c r="F220" s="19">
        <v>215</v>
      </c>
      <c r="G220" s="22">
        <v>45716</v>
      </c>
      <c r="H220" s="30">
        <f t="shared" si="3"/>
        <v>74.290000000000006</v>
      </c>
    </row>
    <row r="221" spans="6:8" x14ac:dyDescent="0.3">
      <c r="F221" s="19">
        <v>216</v>
      </c>
      <c r="G221" s="22">
        <v>45715</v>
      </c>
      <c r="H221" s="30">
        <f t="shared" si="3"/>
        <v>74.290000000000006</v>
      </c>
    </row>
    <row r="222" spans="6:8" x14ac:dyDescent="0.3">
      <c r="F222" s="19">
        <v>217</v>
      </c>
      <c r="G222" s="22">
        <v>45714</v>
      </c>
      <c r="H222" s="30">
        <f t="shared" si="3"/>
        <v>74.290000000000006</v>
      </c>
    </row>
    <row r="223" spans="6:8" x14ac:dyDescent="0.3">
      <c r="F223" s="19">
        <v>218</v>
      </c>
      <c r="G223" s="22">
        <v>45713</v>
      </c>
      <c r="H223" s="30">
        <f t="shared" si="3"/>
        <v>74.290000000000006</v>
      </c>
    </row>
    <row r="224" spans="6:8" x14ac:dyDescent="0.3">
      <c r="F224" s="19">
        <v>219</v>
      </c>
      <c r="G224" s="22">
        <v>45712</v>
      </c>
      <c r="H224" s="30">
        <f t="shared" si="3"/>
        <v>74.290000000000006</v>
      </c>
    </row>
    <row r="225" spans="6:8" x14ac:dyDescent="0.3">
      <c r="F225" s="19">
        <v>220</v>
      </c>
      <c r="G225" s="22">
        <v>45711</v>
      </c>
      <c r="H225" s="30">
        <f t="shared" si="3"/>
        <v>74.290000000000006</v>
      </c>
    </row>
    <row r="226" spans="6:8" x14ac:dyDescent="0.3">
      <c r="F226" s="19">
        <v>221</v>
      </c>
      <c r="G226" s="22">
        <v>45710</v>
      </c>
      <c r="H226" s="30">
        <f t="shared" si="3"/>
        <v>74.290000000000006</v>
      </c>
    </row>
    <row r="227" spans="6:8" x14ac:dyDescent="0.3">
      <c r="F227" s="19">
        <v>222</v>
      </c>
      <c r="G227" s="22">
        <v>45709</v>
      </c>
      <c r="H227" s="30">
        <f t="shared" si="3"/>
        <v>74.290000000000006</v>
      </c>
    </row>
    <row r="228" spans="6:8" x14ac:dyDescent="0.3">
      <c r="F228" s="19">
        <v>223</v>
      </c>
      <c r="G228" s="22">
        <v>45708</v>
      </c>
      <c r="H228" s="30">
        <f t="shared" si="3"/>
        <v>74.290000000000006</v>
      </c>
    </row>
    <row r="229" spans="6:8" x14ac:dyDescent="0.3">
      <c r="F229" s="19">
        <v>224</v>
      </c>
      <c r="G229" s="22">
        <v>45707</v>
      </c>
      <c r="H229" s="30">
        <f t="shared" si="3"/>
        <v>74.290000000000006</v>
      </c>
    </row>
    <row r="230" spans="6:8" x14ac:dyDescent="0.3">
      <c r="F230" s="19">
        <v>225</v>
      </c>
      <c r="G230" s="22">
        <v>45706</v>
      </c>
      <c r="H230" s="30">
        <f t="shared" si="3"/>
        <v>74.290000000000006</v>
      </c>
    </row>
    <row r="231" spans="6:8" x14ac:dyDescent="0.3">
      <c r="F231" s="19">
        <v>226</v>
      </c>
      <c r="G231" s="22">
        <v>45705</v>
      </c>
      <c r="H231" s="30">
        <f t="shared" si="3"/>
        <v>74.290000000000006</v>
      </c>
    </row>
    <row r="232" spans="6:8" x14ac:dyDescent="0.3">
      <c r="F232" s="19">
        <v>227</v>
      </c>
      <c r="G232" s="22">
        <v>45704</v>
      </c>
      <c r="H232" s="30">
        <f t="shared" si="3"/>
        <v>74.290000000000006</v>
      </c>
    </row>
    <row r="233" spans="6:8" x14ac:dyDescent="0.3">
      <c r="F233" s="19">
        <v>228</v>
      </c>
      <c r="G233" s="22">
        <v>45703</v>
      </c>
      <c r="H233" s="30">
        <f t="shared" si="3"/>
        <v>74.290000000000006</v>
      </c>
    </row>
    <row r="234" spans="6:8" x14ac:dyDescent="0.3">
      <c r="F234" s="19">
        <v>229</v>
      </c>
      <c r="G234" s="22">
        <v>45702</v>
      </c>
      <c r="H234" s="30">
        <f t="shared" si="3"/>
        <v>74.290000000000006</v>
      </c>
    </row>
    <row r="235" spans="6:8" x14ac:dyDescent="0.3">
      <c r="F235" s="19">
        <v>230</v>
      </c>
      <c r="G235" s="22">
        <v>45701</v>
      </c>
      <c r="H235" s="30">
        <f t="shared" si="3"/>
        <v>74.290000000000006</v>
      </c>
    </row>
    <row r="236" spans="6:8" x14ac:dyDescent="0.3">
      <c r="F236" s="19">
        <v>231</v>
      </c>
      <c r="G236" s="22">
        <v>45700</v>
      </c>
      <c r="H236" s="30">
        <f t="shared" si="3"/>
        <v>74.290000000000006</v>
      </c>
    </row>
    <row r="237" spans="6:8" x14ac:dyDescent="0.3">
      <c r="F237" s="19">
        <v>232</v>
      </c>
      <c r="G237" s="22">
        <v>45699</v>
      </c>
      <c r="H237" s="30">
        <f t="shared" si="3"/>
        <v>74.290000000000006</v>
      </c>
    </row>
    <row r="238" spans="6:8" x14ac:dyDescent="0.3">
      <c r="F238" s="19">
        <v>233</v>
      </c>
      <c r="G238" s="22">
        <v>45698</v>
      </c>
      <c r="H238" s="30">
        <f t="shared" si="3"/>
        <v>74.290000000000006</v>
      </c>
    </row>
    <row r="239" spans="6:8" x14ac:dyDescent="0.3">
      <c r="F239" s="19">
        <v>234</v>
      </c>
      <c r="G239" s="22">
        <v>45697</v>
      </c>
      <c r="H239" s="30">
        <f t="shared" si="3"/>
        <v>74.290000000000006</v>
      </c>
    </row>
    <row r="240" spans="6:8" x14ac:dyDescent="0.3">
      <c r="F240" s="19">
        <v>235</v>
      </c>
      <c r="G240" s="22">
        <v>45696</v>
      </c>
      <c r="H240" s="30">
        <f t="shared" si="3"/>
        <v>74.290000000000006</v>
      </c>
    </row>
    <row r="241" spans="6:8" x14ac:dyDescent="0.3">
      <c r="F241" s="19">
        <v>236</v>
      </c>
      <c r="G241" s="22">
        <v>45695</v>
      </c>
      <c r="H241" s="30">
        <f t="shared" si="3"/>
        <v>74.290000000000006</v>
      </c>
    </row>
    <row r="242" spans="6:8" x14ac:dyDescent="0.3">
      <c r="F242" s="19">
        <v>237</v>
      </c>
      <c r="G242" s="22">
        <v>45694</v>
      </c>
      <c r="H242" s="30">
        <f t="shared" si="3"/>
        <v>74.290000000000006</v>
      </c>
    </row>
    <row r="243" spans="6:8" x14ac:dyDescent="0.3">
      <c r="F243" s="19">
        <v>238</v>
      </c>
      <c r="G243" s="22">
        <v>45693</v>
      </c>
      <c r="H243" s="30">
        <f t="shared" si="3"/>
        <v>74.290000000000006</v>
      </c>
    </row>
    <row r="244" spans="6:8" x14ac:dyDescent="0.3">
      <c r="F244" s="19">
        <v>239</v>
      </c>
      <c r="G244" s="22">
        <v>45692</v>
      </c>
      <c r="H244" s="30">
        <f t="shared" si="3"/>
        <v>74.290000000000006</v>
      </c>
    </row>
    <row r="245" spans="6:8" x14ac:dyDescent="0.3">
      <c r="F245" s="19">
        <v>240</v>
      </c>
      <c r="G245" s="22">
        <v>45691</v>
      </c>
      <c r="H245" s="30">
        <f t="shared" si="3"/>
        <v>74.290000000000006</v>
      </c>
    </row>
    <row r="246" spans="6:8" x14ac:dyDescent="0.3">
      <c r="F246" s="19">
        <v>241</v>
      </c>
      <c r="G246" s="22">
        <v>45690</v>
      </c>
      <c r="H246" s="30">
        <f t="shared" si="3"/>
        <v>74.290000000000006</v>
      </c>
    </row>
    <row r="247" spans="6:8" x14ac:dyDescent="0.3">
      <c r="F247" s="19">
        <v>242</v>
      </c>
      <c r="G247" s="22">
        <v>45689</v>
      </c>
      <c r="H247" s="30">
        <f t="shared" si="3"/>
        <v>74.290000000000006</v>
      </c>
    </row>
    <row r="248" spans="6:8" x14ac:dyDescent="0.3">
      <c r="F248" s="19">
        <v>243</v>
      </c>
      <c r="G248" s="22">
        <v>45688</v>
      </c>
      <c r="H248" s="30">
        <f t="shared" si="3"/>
        <v>76.81</v>
      </c>
    </row>
    <row r="249" spans="6:8" x14ac:dyDescent="0.3">
      <c r="F249" s="19">
        <v>244</v>
      </c>
      <c r="G249" s="22">
        <v>45687</v>
      </c>
      <c r="H249" s="30">
        <f t="shared" si="3"/>
        <v>76.81</v>
      </c>
    </row>
    <row r="250" spans="6:8" x14ac:dyDescent="0.3">
      <c r="F250" s="19">
        <v>245</v>
      </c>
      <c r="G250" s="22">
        <v>45686</v>
      </c>
      <c r="H250" s="30">
        <f t="shared" si="3"/>
        <v>76.81</v>
      </c>
    </row>
    <row r="251" spans="6:8" x14ac:dyDescent="0.3">
      <c r="F251" s="19">
        <v>246</v>
      </c>
      <c r="G251" s="22">
        <v>45685</v>
      </c>
      <c r="H251" s="30">
        <f t="shared" si="3"/>
        <v>76.81</v>
      </c>
    </row>
    <row r="252" spans="6:8" x14ac:dyDescent="0.3">
      <c r="F252" s="19">
        <v>247</v>
      </c>
      <c r="G252" s="22">
        <v>45684</v>
      </c>
      <c r="H252" s="30">
        <f t="shared" si="3"/>
        <v>76.81</v>
      </c>
    </row>
    <row r="253" spans="6:8" x14ac:dyDescent="0.3">
      <c r="F253" s="19">
        <v>248</v>
      </c>
      <c r="G253" s="22">
        <v>45683</v>
      </c>
      <c r="H253" s="30">
        <f t="shared" si="3"/>
        <v>76.81</v>
      </c>
    </row>
    <row r="254" spans="6:8" x14ac:dyDescent="0.3">
      <c r="F254" s="19">
        <v>249</v>
      </c>
      <c r="G254" s="22">
        <v>45682</v>
      </c>
      <c r="H254" s="30">
        <f t="shared" si="3"/>
        <v>76.81</v>
      </c>
    </row>
    <row r="255" spans="6:8" x14ac:dyDescent="0.3">
      <c r="F255" s="19">
        <v>250</v>
      </c>
      <c r="G255" s="22">
        <v>45681</v>
      </c>
      <c r="H255" s="30">
        <f t="shared" si="3"/>
        <v>76.81</v>
      </c>
    </row>
    <row r="256" spans="6:8" x14ac:dyDescent="0.3">
      <c r="F256" s="19">
        <v>251</v>
      </c>
      <c r="G256" s="22">
        <v>45680</v>
      </c>
      <c r="H256" s="30">
        <f t="shared" si="3"/>
        <v>76.81</v>
      </c>
    </row>
    <row r="257" spans="6:8" x14ac:dyDescent="0.3">
      <c r="F257" s="19">
        <v>252</v>
      </c>
      <c r="G257" s="22">
        <v>45679</v>
      </c>
      <c r="H257" s="30">
        <f t="shared" si="3"/>
        <v>76.81</v>
      </c>
    </row>
    <row r="258" spans="6:8" x14ac:dyDescent="0.3">
      <c r="F258" s="19">
        <v>253</v>
      </c>
      <c r="G258" s="22">
        <v>45678</v>
      </c>
      <c r="H258" s="30">
        <f t="shared" si="3"/>
        <v>76.81</v>
      </c>
    </row>
    <row r="259" spans="6:8" x14ac:dyDescent="0.3">
      <c r="F259" s="19">
        <v>254</v>
      </c>
      <c r="G259" s="22">
        <v>45677</v>
      </c>
      <c r="H259" s="30">
        <f t="shared" si="3"/>
        <v>76.81</v>
      </c>
    </row>
    <row r="260" spans="6:8" x14ac:dyDescent="0.3">
      <c r="F260" s="19">
        <v>255</v>
      </c>
      <c r="G260" s="22">
        <v>45676</v>
      </c>
      <c r="H260" s="30">
        <f t="shared" si="3"/>
        <v>76.81</v>
      </c>
    </row>
    <row r="261" spans="6:8" x14ac:dyDescent="0.3">
      <c r="F261" s="19">
        <v>256</v>
      </c>
      <c r="G261" s="22">
        <v>45675</v>
      </c>
      <c r="H261" s="30">
        <f t="shared" si="3"/>
        <v>76.81</v>
      </c>
    </row>
    <row r="262" spans="6:8" x14ac:dyDescent="0.3">
      <c r="F262" s="19">
        <v>257</v>
      </c>
      <c r="G262" s="22">
        <v>45674</v>
      </c>
      <c r="H262" s="30">
        <f t="shared" si="3"/>
        <v>76.81</v>
      </c>
    </row>
    <row r="263" spans="6:8" x14ac:dyDescent="0.3">
      <c r="F263" s="19">
        <v>258</v>
      </c>
      <c r="G263" s="22">
        <v>45673</v>
      </c>
      <c r="H263" s="30">
        <f t="shared" ref="H263:H326" si="4">_xlfn.XLOOKUP(G263,$B$6:$B$38,$C$6:$C$38,,-1)</f>
        <v>76.81</v>
      </c>
    </row>
    <row r="264" spans="6:8" x14ac:dyDescent="0.3">
      <c r="F264" s="19">
        <v>259</v>
      </c>
      <c r="G264" s="22">
        <v>45672</v>
      </c>
      <c r="H264" s="30">
        <f t="shared" si="4"/>
        <v>76.81</v>
      </c>
    </row>
    <row r="265" spans="6:8" x14ac:dyDescent="0.3">
      <c r="F265" s="19">
        <v>260</v>
      </c>
      <c r="G265" s="22">
        <v>45671</v>
      </c>
      <c r="H265" s="30">
        <f t="shared" si="4"/>
        <v>76.81</v>
      </c>
    </row>
    <row r="266" spans="6:8" x14ac:dyDescent="0.3">
      <c r="F266" s="19">
        <v>261</v>
      </c>
      <c r="G266" s="22">
        <v>45670</v>
      </c>
      <c r="H266" s="30">
        <f t="shared" si="4"/>
        <v>76.81</v>
      </c>
    </row>
    <row r="267" spans="6:8" x14ac:dyDescent="0.3">
      <c r="F267" s="19">
        <v>262</v>
      </c>
      <c r="G267" s="22">
        <v>45669</v>
      </c>
      <c r="H267" s="30">
        <f t="shared" si="4"/>
        <v>76.81</v>
      </c>
    </row>
    <row r="268" spans="6:8" x14ac:dyDescent="0.3">
      <c r="F268" s="19">
        <v>263</v>
      </c>
      <c r="G268" s="22">
        <v>45668</v>
      </c>
      <c r="H268" s="30">
        <f t="shared" si="4"/>
        <v>76.81</v>
      </c>
    </row>
    <row r="269" spans="6:8" x14ac:dyDescent="0.3">
      <c r="F269" s="19">
        <v>264</v>
      </c>
      <c r="G269" s="22">
        <v>45667</v>
      </c>
      <c r="H269" s="30">
        <f t="shared" si="4"/>
        <v>76.81</v>
      </c>
    </row>
    <row r="270" spans="6:8" x14ac:dyDescent="0.3">
      <c r="F270" s="19">
        <v>265</v>
      </c>
      <c r="G270" s="22">
        <v>45666</v>
      </c>
      <c r="H270" s="30">
        <f t="shared" si="4"/>
        <v>76.81</v>
      </c>
    </row>
    <row r="271" spans="6:8" x14ac:dyDescent="0.3">
      <c r="F271" s="19">
        <v>266</v>
      </c>
      <c r="G271" s="22">
        <v>45665</v>
      </c>
      <c r="H271" s="30">
        <f t="shared" si="4"/>
        <v>76.81</v>
      </c>
    </row>
    <row r="272" spans="6:8" x14ac:dyDescent="0.3">
      <c r="F272" s="19">
        <v>267</v>
      </c>
      <c r="G272" s="22">
        <v>45664</v>
      </c>
      <c r="H272" s="30">
        <f t="shared" si="4"/>
        <v>76.81</v>
      </c>
    </row>
    <row r="273" spans="6:8" x14ac:dyDescent="0.3">
      <c r="F273" s="19">
        <v>268</v>
      </c>
      <c r="G273" s="22">
        <v>45663</v>
      </c>
      <c r="H273" s="30">
        <f t="shared" si="4"/>
        <v>76.81</v>
      </c>
    </row>
    <row r="274" spans="6:8" x14ac:dyDescent="0.3">
      <c r="F274" s="19">
        <v>269</v>
      </c>
      <c r="G274" s="22">
        <v>45662</v>
      </c>
      <c r="H274" s="30">
        <f t="shared" si="4"/>
        <v>76.81</v>
      </c>
    </row>
    <row r="275" spans="6:8" x14ac:dyDescent="0.3">
      <c r="F275" s="19">
        <v>270</v>
      </c>
      <c r="G275" s="22">
        <v>45661</v>
      </c>
      <c r="H275" s="30">
        <f t="shared" si="4"/>
        <v>76.81</v>
      </c>
    </row>
    <row r="276" spans="6:8" x14ac:dyDescent="0.3">
      <c r="F276" s="19">
        <v>271</v>
      </c>
      <c r="G276" s="22">
        <v>45660</v>
      </c>
      <c r="H276" s="30">
        <f t="shared" si="4"/>
        <v>76.81</v>
      </c>
    </row>
    <row r="277" spans="6:8" x14ac:dyDescent="0.3">
      <c r="F277" s="19">
        <v>272</v>
      </c>
      <c r="G277" s="22">
        <v>45659</v>
      </c>
      <c r="H277" s="30">
        <f t="shared" si="4"/>
        <v>76.81</v>
      </c>
    </row>
    <row r="278" spans="6:8" x14ac:dyDescent="0.3">
      <c r="F278" s="19">
        <v>273</v>
      </c>
      <c r="G278" s="22">
        <v>45658</v>
      </c>
      <c r="H278" s="30">
        <f t="shared" si="4"/>
        <v>76.81</v>
      </c>
    </row>
    <row r="279" spans="6:8" x14ac:dyDescent="0.3">
      <c r="F279" s="19">
        <v>274</v>
      </c>
      <c r="G279" s="22">
        <v>45657</v>
      </c>
      <c r="H279" s="30">
        <f t="shared" si="4"/>
        <v>71.61</v>
      </c>
    </row>
    <row r="280" spans="6:8" x14ac:dyDescent="0.3">
      <c r="F280" s="19">
        <v>275</v>
      </c>
      <c r="G280" s="22">
        <v>45656</v>
      </c>
      <c r="H280" s="30">
        <f t="shared" si="4"/>
        <v>71.61</v>
      </c>
    </row>
    <row r="281" spans="6:8" x14ac:dyDescent="0.3">
      <c r="F281" s="19">
        <v>276</v>
      </c>
      <c r="G281" s="22">
        <v>45655</v>
      </c>
      <c r="H281" s="30">
        <f t="shared" si="4"/>
        <v>71.61</v>
      </c>
    </row>
    <row r="282" spans="6:8" x14ac:dyDescent="0.3">
      <c r="F282" s="19">
        <v>277</v>
      </c>
      <c r="G282" s="22">
        <v>45654</v>
      </c>
      <c r="H282" s="30">
        <f t="shared" si="4"/>
        <v>71.61</v>
      </c>
    </row>
    <row r="283" spans="6:8" x14ac:dyDescent="0.3">
      <c r="F283" s="19">
        <v>278</v>
      </c>
      <c r="G283" s="22">
        <v>45653</v>
      </c>
      <c r="H283" s="30">
        <f t="shared" si="4"/>
        <v>71.61</v>
      </c>
    </row>
    <row r="284" spans="6:8" x14ac:dyDescent="0.3">
      <c r="F284" s="19">
        <v>279</v>
      </c>
      <c r="G284" s="22">
        <v>45652</v>
      </c>
      <c r="H284" s="30">
        <f t="shared" si="4"/>
        <v>71.61</v>
      </c>
    </row>
    <row r="285" spans="6:8" x14ac:dyDescent="0.3">
      <c r="F285" s="19">
        <v>280</v>
      </c>
      <c r="G285" s="22">
        <v>45651</v>
      </c>
      <c r="H285" s="30">
        <f t="shared" si="4"/>
        <v>71.61</v>
      </c>
    </row>
    <row r="286" spans="6:8" x14ac:dyDescent="0.3">
      <c r="F286" s="19">
        <v>281</v>
      </c>
      <c r="G286" s="22">
        <v>45650</v>
      </c>
      <c r="H286" s="30">
        <f t="shared" si="4"/>
        <v>71.61</v>
      </c>
    </row>
    <row r="287" spans="6:8" x14ac:dyDescent="0.3">
      <c r="F287" s="19">
        <v>282</v>
      </c>
      <c r="G287" s="22">
        <v>45649</v>
      </c>
      <c r="H287" s="30">
        <f t="shared" si="4"/>
        <v>71.61</v>
      </c>
    </row>
    <row r="288" spans="6:8" x14ac:dyDescent="0.3">
      <c r="F288" s="19">
        <v>283</v>
      </c>
      <c r="G288" s="22">
        <v>45648</v>
      </c>
      <c r="H288" s="30">
        <f t="shared" si="4"/>
        <v>71.61</v>
      </c>
    </row>
    <row r="289" spans="6:8" x14ac:dyDescent="0.3">
      <c r="F289" s="19">
        <v>284</v>
      </c>
      <c r="G289" s="22">
        <v>45647</v>
      </c>
      <c r="H289" s="30">
        <f t="shared" si="4"/>
        <v>71.61</v>
      </c>
    </row>
    <row r="290" spans="6:8" x14ac:dyDescent="0.3">
      <c r="F290" s="19">
        <v>285</v>
      </c>
      <c r="G290" s="22">
        <v>45646</v>
      </c>
      <c r="H290" s="30">
        <f t="shared" si="4"/>
        <v>71.61</v>
      </c>
    </row>
    <row r="291" spans="6:8" x14ac:dyDescent="0.3">
      <c r="F291" s="19">
        <v>286</v>
      </c>
      <c r="G291" s="22">
        <v>45645</v>
      </c>
      <c r="H291" s="30">
        <f t="shared" si="4"/>
        <v>71.61</v>
      </c>
    </row>
    <row r="292" spans="6:8" x14ac:dyDescent="0.3">
      <c r="F292" s="19">
        <v>287</v>
      </c>
      <c r="G292" s="22">
        <v>45644</v>
      </c>
      <c r="H292" s="30">
        <f t="shared" si="4"/>
        <v>71.61</v>
      </c>
    </row>
    <row r="293" spans="6:8" x14ac:dyDescent="0.3">
      <c r="F293" s="19">
        <v>288</v>
      </c>
      <c r="G293" s="22">
        <v>45643</v>
      </c>
      <c r="H293" s="30">
        <f t="shared" si="4"/>
        <v>71.61</v>
      </c>
    </row>
    <row r="294" spans="6:8" x14ac:dyDescent="0.3">
      <c r="F294" s="19">
        <v>289</v>
      </c>
      <c r="G294" s="22">
        <v>45642</v>
      </c>
      <c r="H294" s="30">
        <f t="shared" si="4"/>
        <v>71.61</v>
      </c>
    </row>
    <row r="295" spans="6:8" x14ac:dyDescent="0.3">
      <c r="F295" s="19">
        <v>290</v>
      </c>
      <c r="G295" s="22">
        <v>45641</v>
      </c>
      <c r="H295" s="30">
        <f t="shared" si="4"/>
        <v>71.61</v>
      </c>
    </row>
    <row r="296" spans="6:8" x14ac:dyDescent="0.3">
      <c r="F296" s="19">
        <v>291</v>
      </c>
      <c r="G296" s="22">
        <v>45640</v>
      </c>
      <c r="H296" s="30">
        <f t="shared" si="4"/>
        <v>71.61</v>
      </c>
    </row>
    <row r="297" spans="6:8" x14ac:dyDescent="0.3">
      <c r="F297" s="19">
        <v>292</v>
      </c>
      <c r="G297" s="22">
        <v>45639</v>
      </c>
      <c r="H297" s="30">
        <f t="shared" si="4"/>
        <v>71.61</v>
      </c>
    </row>
    <row r="298" spans="6:8" x14ac:dyDescent="0.3">
      <c r="F298" s="19">
        <v>293</v>
      </c>
      <c r="G298" s="22">
        <v>45638</v>
      </c>
      <c r="H298" s="30">
        <f t="shared" si="4"/>
        <v>71.61</v>
      </c>
    </row>
    <row r="299" spans="6:8" x14ac:dyDescent="0.3">
      <c r="F299" s="19">
        <v>294</v>
      </c>
      <c r="G299" s="22">
        <v>45637</v>
      </c>
      <c r="H299" s="30">
        <f t="shared" si="4"/>
        <v>71.61</v>
      </c>
    </row>
    <row r="300" spans="6:8" x14ac:dyDescent="0.3">
      <c r="F300" s="19">
        <v>295</v>
      </c>
      <c r="G300" s="22">
        <v>45636</v>
      </c>
      <c r="H300" s="30">
        <f t="shared" si="4"/>
        <v>71.61</v>
      </c>
    </row>
    <row r="301" spans="6:8" x14ac:dyDescent="0.3">
      <c r="F301" s="19">
        <v>296</v>
      </c>
      <c r="G301" s="22">
        <v>45635</v>
      </c>
      <c r="H301" s="30">
        <f t="shared" si="4"/>
        <v>71.61</v>
      </c>
    </row>
    <row r="302" spans="6:8" x14ac:dyDescent="0.3">
      <c r="F302" s="19">
        <v>297</v>
      </c>
      <c r="G302" s="22">
        <v>45634</v>
      </c>
      <c r="H302" s="30">
        <f t="shared" si="4"/>
        <v>71.61</v>
      </c>
    </row>
    <row r="303" spans="6:8" x14ac:dyDescent="0.3">
      <c r="F303" s="19">
        <v>298</v>
      </c>
      <c r="G303" s="22">
        <v>45633</v>
      </c>
      <c r="H303" s="30">
        <f t="shared" si="4"/>
        <v>71.61</v>
      </c>
    </row>
    <row r="304" spans="6:8" x14ac:dyDescent="0.3">
      <c r="F304" s="19">
        <v>299</v>
      </c>
      <c r="G304" s="22">
        <v>45632</v>
      </c>
      <c r="H304" s="30">
        <f t="shared" si="4"/>
        <v>71.61</v>
      </c>
    </row>
    <row r="305" spans="6:8" x14ac:dyDescent="0.3">
      <c r="F305" s="19">
        <v>300</v>
      </c>
      <c r="G305" s="22">
        <v>45631</v>
      </c>
      <c r="H305" s="30">
        <f t="shared" si="4"/>
        <v>71.61</v>
      </c>
    </row>
    <row r="306" spans="6:8" x14ac:dyDescent="0.3">
      <c r="F306" s="19">
        <v>301</v>
      </c>
      <c r="G306" s="22">
        <v>45630</v>
      </c>
      <c r="H306" s="30">
        <f t="shared" si="4"/>
        <v>71.61</v>
      </c>
    </row>
    <row r="307" spans="6:8" x14ac:dyDescent="0.3">
      <c r="F307" s="19">
        <v>302</v>
      </c>
      <c r="G307" s="22">
        <v>45629</v>
      </c>
      <c r="H307" s="30">
        <f t="shared" si="4"/>
        <v>71.61</v>
      </c>
    </row>
    <row r="308" spans="6:8" x14ac:dyDescent="0.3">
      <c r="F308" s="19">
        <v>303</v>
      </c>
      <c r="G308" s="22">
        <v>45628</v>
      </c>
      <c r="H308" s="30">
        <f t="shared" si="4"/>
        <v>71.61</v>
      </c>
    </row>
    <row r="309" spans="6:8" x14ac:dyDescent="0.3">
      <c r="F309" s="19">
        <v>304</v>
      </c>
      <c r="G309" s="22">
        <v>45627</v>
      </c>
      <c r="H309" s="30">
        <f t="shared" si="4"/>
        <v>71.61</v>
      </c>
    </row>
    <row r="310" spans="6:8" x14ac:dyDescent="0.3">
      <c r="F310" s="19">
        <v>305</v>
      </c>
      <c r="G310" s="22">
        <v>45626</v>
      </c>
      <c r="H310" s="30">
        <f t="shared" si="4"/>
        <v>71.83</v>
      </c>
    </row>
    <row r="311" spans="6:8" x14ac:dyDescent="0.3">
      <c r="F311" s="19">
        <v>306</v>
      </c>
      <c r="G311" s="22">
        <v>45625</v>
      </c>
      <c r="H311" s="30">
        <f t="shared" si="4"/>
        <v>71.83</v>
      </c>
    </row>
    <row r="312" spans="6:8" x14ac:dyDescent="0.3">
      <c r="F312" s="19">
        <v>307</v>
      </c>
      <c r="G312" s="22">
        <v>45624</v>
      </c>
      <c r="H312" s="30">
        <f t="shared" si="4"/>
        <v>71.83</v>
      </c>
    </row>
    <row r="313" spans="6:8" x14ac:dyDescent="0.3">
      <c r="F313" s="19">
        <v>308</v>
      </c>
      <c r="G313" s="22">
        <v>45623</v>
      </c>
      <c r="H313" s="30">
        <f t="shared" si="4"/>
        <v>71.83</v>
      </c>
    </row>
    <row r="314" spans="6:8" x14ac:dyDescent="0.3">
      <c r="F314" s="19">
        <v>309</v>
      </c>
      <c r="G314" s="22">
        <v>45622</v>
      </c>
      <c r="H314" s="30">
        <f t="shared" si="4"/>
        <v>71.83</v>
      </c>
    </row>
    <row r="315" spans="6:8" x14ac:dyDescent="0.3">
      <c r="F315" s="19">
        <v>310</v>
      </c>
      <c r="G315" s="22">
        <v>45621</v>
      </c>
      <c r="H315" s="30">
        <f t="shared" si="4"/>
        <v>71.83</v>
      </c>
    </row>
    <row r="316" spans="6:8" x14ac:dyDescent="0.3">
      <c r="F316" s="19">
        <v>311</v>
      </c>
      <c r="G316" s="22">
        <v>45620</v>
      </c>
      <c r="H316" s="30">
        <f t="shared" si="4"/>
        <v>71.83</v>
      </c>
    </row>
    <row r="317" spans="6:8" x14ac:dyDescent="0.3">
      <c r="F317" s="19">
        <v>312</v>
      </c>
      <c r="G317" s="22">
        <v>45619</v>
      </c>
      <c r="H317" s="30">
        <f t="shared" si="4"/>
        <v>71.83</v>
      </c>
    </row>
    <row r="318" spans="6:8" x14ac:dyDescent="0.3">
      <c r="F318" s="19">
        <v>313</v>
      </c>
      <c r="G318" s="22">
        <v>45618</v>
      </c>
      <c r="H318" s="30">
        <f t="shared" si="4"/>
        <v>71.83</v>
      </c>
    </row>
    <row r="319" spans="6:8" x14ac:dyDescent="0.3">
      <c r="F319" s="19">
        <v>314</v>
      </c>
      <c r="G319" s="22">
        <v>45617</v>
      </c>
      <c r="H319" s="30">
        <f t="shared" si="4"/>
        <v>71.83</v>
      </c>
    </row>
    <row r="320" spans="6:8" x14ac:dyDescent="0.3">
      <c r="F320" s="19">
        <v>315</v>
      </c>
      <c r="G320" s="22">
        <v>45616</v>
      </c>
      <c r="H320" s="30">
        <f t="shared" si="4"/>
        <v>71.83</v>
      </c>
    </row>
    <row r="321" spans="6:8" x14ac:dyDescent="0.3">
      <c r="F321" s="19">
        <v>316</v>
      </c>
      <c r="G321" s="22">
        <v>45615</v>
      </c>
      <c r="H321" s="30">
        <f t="shared" si="4"/>
        <v>71.83</v>
      </c>
    </row>
    <row r="322" spans="6:8" x14ac:dyDescent="0.3">
      <c r="F322" s="19">
        <v>317</v>
      </c>
      <c r="G322" s="22">
        <v>45614</v>
      </c>
      <c r="H322" s="30">
        <f t="shared" si="4"/>
        <v>71.83</v>
      </c>
    </row>
    <row r="323" spans="6:8" x14ac:dyDescent="0.3">
      <c r="F323" s="19">
        <v>318</v>
      </c>
      <c r="G323" s="22">
        <v>45613</v>
      </c>
      <c r="H323" s="30">
        <f t="shared" si="4"/>
        <v>71.83</v>
      </c>
    </row>
    <row r="324" spans="6:8" x14ac:dyDescent="0.3">
      <c r="F324" s="19">
        <v>319</v>
      </c>
      <c r="G324" s="22">
        <v>45612</v>
      </c>
      <c r="H324" s="30">
        <f t="shared" si="4"/>
        <v>71.83</v>
      </c>
    </row>
    <row r="325" spans="6:8" x14ac:dyDescent="0.3">
      <c r="F325" s="19">
        <v>320</v>
      </c>
      <c r="G325" s="22">
        <v>45611</v>
      </c>
      <c r="H325" s="30">
        <f t="shared" si="4"/>
        <v>71.83</v>
      </c>
    </row>
    <row r="326" spans="6:8" x14ac:dyDescent="0.3">
      <c r="F326" s="19">
        <v>321</v>
      </c>
      <c r="G326" s="22">
        <v>45610</v>
      </c>
      <c r="H326" s="30">
        <f t="shared" si="4"/>
        <v>71.83</v>
      </c>
    </row>
    <row r="327" spans="6:8" x14ac:dyDescent="0.3">
      <c r="F327" s="19">
        <v>322</v>
      </c>
      <c r="G327" s="22">
        <v>45609</v>
      </c>
      <c r="H327" s="30">
        <f t="shared" ref="H327:H390" si="5">_xlfn.XLOOKUP(G327,$B$6:$B$38,$C$6:$C$38,,-1)</f>
        <v>71.83</v>
      </c>
    </row>
    <row r="328" spans="6:8" x14ac:dyDescent="0.3">
      <c r="F328" s="19">
        <v>323</v>
      </c>
      <c r="G328" s="22">
        <v>45608</v>
      </c>
      <c r="H328" s="30">
        <f t="shared" si="5"/>
        <v>71.83</v>
      </c>
    </row>
    <row r="329" spans="6:8" x14ac:dyDescent="0.3">
      <c r="F329" s="19">
        <v>324</v>
      </c>
      <c r="G329" s="22">
        <v>45607</v>
      </c>
      <c r="H329" s="30">
        <f t="shared" si="5"/>
        <v>71.83</v>
      </c>
    </row>
    <row r="330" spans="6:8" x14ac:dyDescent="0.3">
      <c r="F330" s="19">
        <v>325</v>
      </c>
      <c r="G330" s="22">
        <v>45606</v>
      </c>
      <c r="H330" s="30">
        <f t="shared" si="5"/>
        <v>71.83</v>
      </c>
    </row>
    <row r="331" spans="6:8" x14ac:dyDescent="0.3">
      <c r="F331" s="19">
        <v>326</v>
      </c>
      <c r="G331" s="22">
        <v>45605</v>
      </c>
      <c r="H331" s="30">
        <f t="shared" si="5"/>
        <v>71.83</v>
      </c>
    </row>
    <row r="332" spans="6:8" x14ac:dyDescent="0.3">
      <c r="F332" s="19">
        <v>327</v>
      </c>
      <c r="G332" s="22">
        <v>45604</v>
      </c>
      <c r="H332" s="30">
        <f t="shared" si="5"/>
        <v>71.83</v>
      </c>
    </row>
    <row r="333" spans="6:8" x14ac:dyDescent="0.3">
      <c r="F333" s="19">
        <v>328</v>
      </c>
      <c r="G333" s="22">
        <v>45603</v>
      </c>
      <c r="H333" s="30">
        <f t="shared" si="5"/>
        <v>71.83</v>
      </c>
    </row>
    <row r="334" spans="6:8" x14ac:dyDescent="0.3">
      <c r="F334" s="19">
        <v>329</v>
      </c>
      <c r="G334" s="22">
        <v>45602</v>
      </c>
      <c r="H334" s="30">
        <f t="shared" si="5"/>
        <v>71.83</v>
      </c>
    </row>
    <row r="335" spans="6:8" x14ac:dyDescent="0.3">
      <c r="F335" s="19">
        <v>330</v>
      </c>
      <c r="G335" s="22">
        <v>45601</v>
      </c>
      <c r="H335" s="30">
        <f t="shared" si="5"/>
        <v>71.83</v>
      </c>
    </row>
    <row r="336" spans="6:8" x14ac:dyDescent="0.3">
      <c r="F336" s="19">
        <v>331</v>
      </c>
      <c r="G336" s="22">
        <v>45600</v>
      </c>
      <c r="H336" s="30">
        <f t="shared" si="5"/>
        <v>71.83</v>
      </c>
    </row>
    <row r="337" spans="6:8" x14ac:dyDescent="0.3">
      <c r="F337" s="19">
        <v>332</v>
      </c>
      <c r="G337" s="22">
        <v>45599</v>
      </c>
      <c r="H337" s="30">
        <f t="shared" si="5"/>
        <v>71.83</v>
      </c>
    </row>
    <row r="338" spans="6:8" x14ac:dyDescent="0.3">
      <c r="F338" s="19">
        <v>333</v>
      </c>
      <c r="G338" s="22">
        <v>45598</v>
      </c>
      <c r="H338" s="30">
        <f t="shared" si="5"/>
        <v>71.83</v>
      </c>
    </row>
    <row r="339" spans="6:8" x14ac:dyDescent="0.3">
      <c r="F339" s="19">
        <v>334</v>
      </c>
      <c r="G339" s="22">
        <v>45597</v>
      </c>
      <c r="H339" s="30">
        <f t="shared" si="5"/>
        <v>71.83</v>
      </c>
    </row>
    <row r="340" spans="6:8" x14ac:dyDescent="0.3">
      <c r="F340" s="19">
        <v>335</v>
      </c>
      <c r="G340" s="22">
        <v>45596</v>
      </c>
      <c r="H340" s="30">
        <f t="shared" si="5"/>
        <v>73.53</v>
      </c>
    </row>
    <row r="341" spans="6:8" x14ac:dyDescent="0.3">
      <c r="F341" s="19">
        <v>336</v>
      </c>
      <c r="G341" s="22">
        <v>45595</v>
      </c>
      <c r="H341" s="30">
        <f t="shared" si="5"/>
        <v>73.53</v>
      </c>
    </row>
    <row r="342" spans="6:8" x14ac:dyDescent="0.3">
      <c r="F342" s="19">
        <v>337</v>
      </c>
      <c r="G342" s="22">
        <v>45594</v>
      </c>
      <c r="H342" s="30">
        <f t="shared" si="5"/>
        <v>73.53</v>
      </c>
    </row>
    <row r="343" spans="6:8" x14ac:dyDescent="0.3">
      <c r="F343" s="19">
        <v>338</v>
      </c>
      <c r="G343" s="22">
        <v>45593</v>
      </c>
      <c r="H343" s="30">
        <f t="shared" si="5"/>
        <v>73.53</v>
      </c>
    </row>
    <row r="344" spans="6:8" x14ac:dyDescent="0.3">
      <c r="F344" s="19">
        <v>339</v>
      </c>
      <c r="G344" s="22">
        <v>45592</v>
      </c>
      <c r="H344" s="30">
        <f t="shared" si="5"/>
        <v>73.53</v>
      </c>
    </row>
    <row r="345" spans="6:8" x14ac:dyDescent="0.3">
      <c r="F345" s="19">
        <v>340</v>
      </c>
      <c r="G345" s="22">
        <v>45591</v>
      </c>
      <c r="H345" s="30">
        <f t="shared" si="5"/>
        <v>73.53</v>
      </c>
    </row>
    <row r="346" spans="6:8" x14ac:dyDescent="0.3">
      <c r="F346" s="19">
        <v>341</v>
      </c>
      <c r="G346" s="22">
        <v>45590</v>
      </c>
      <c r="H346" s="30">
        <f t="shared" si="5"/>
        <v>73.53</v>
      </c>
    </row>
    <row r="347" spans="6:8" x14ac:dyDescent="0.3">
      <c r="F347" s="19">
        <v>342</v>
      </c>
      <c r="G347" s="22">
        <v>45589</v>
      </c>
      <c r="H347" s="30">
        <f t="shared" si="5"/>
        <v>73.53</v>
      </c>
    </row>
    <row r="348" spans="6:8" x14ac:dyDescent="0.3">
      <c r="F348" s="19">
        <v>343</v>
      </c>
      <c r="G348" s="22">
        <v>45588</v>
      </c>
      <c r="H348" s="30">
        <f t="shared" si="5"/>
        <v>73.53</v>
      </c>
    </row>
    <row r="349" spans="6:8" x14ac:dyDescent="0.3">
      <c r="F349" s="19">
        <v>344</v>
      </c>
      <c r="G349" s="22">
        <v>45587</v>
      </c>
      <c r="H349" s="30">
        <f t="shared" si="5"/>
        <v>73.53</v>
      </c>
    </row>
    <row r="350" spans="6:8" x14ac:dyDescent="0.3">
      <c r="F350" s="19">
        <v>345</v>
      </c>
      <c r="G350" s="22">
        <v>45586</v>
      </c>
      <c r="H350" s="30">
        <f t="shared" si="5"/>
        <v>73.53</v>
      </c>
    </row>
    <row r="351" spans="6:8" x14ac:dyDescent="0.3">
      <c r="F351" s="19">
        <v>346</v>
      </c>
      <c r="G351" s="22">
        <v>45585</v>
      </c>
      <c r="H351" s="30">
        <f t="shared" si="5"/>
        <v>73.53</v>
      </c>
    </row>
    <row r="352" spans="6:8" x14ac:dyDescent="0.3">
      <c r="F352" s="19">
        <v>347</v>
      </c>
      <c r="G352" s="22">
        <v>45584</v>
      </c>
      <c r="H352" s="30">
        <f t="shared" si="5"/>
        <v>73.53</v>
      </c>
    </row>
    <row r="353" spans="6:8" x14ac:dyDescent="0.3">
      <c r="F353" s="19">
        <v>348</v>
      </c>
      <c r="G353" s="22">
        <v>45583</v>
      </c>
      <c r="H353" s="30">
        <f t="shared" si="5"/>
        <v>73.53</v>
      </c>
    </row>
    <row r="354" spans="6:8" x14ac:dyDescent="0.3">
      <c r="F354" s="19">
        <v>349</v>
      </c>
      <c r="G354" s="22">
        <v>45582</v>
      </c>
      <c r="H354" s="30">
        <f t="shared" si="5"/>
        <v>73.53</v>
      </c>
    </row>
    <row r="355" spans="6:8" x14ac:dyDescent="0.3">
      <c r="F355" s="19">
        <v>350</v>
      </c>
      <c r="G355" s="22">
        <v>45581</v>
      </c>
      <c r="H355" s="30">
        <f t="shared" si="5"/>
        <v>73.53</v>
      </c>
    </row>
    <row r="356" spans="6:8" x14ac:dyDescent="0.3">
      <c r="F356" s="19">
        <v>351</v>
      </c>
      <c r="G356" s="22">
        <v>45580</v>
      </c>
      <c r="H356" s="30">
        <f t="shared" si="5"/>
        <v>73.53</v>
      </c>
    </row>
    <row r="357" spans="6:8" x14ac:dyDescent="0.3">
      <c r="F357" s="19">
        <v>352</v>
      </c>
      <c r="G357" s="22">
        <v>45579</v>
      </c>
      <c r="H357" s="30">
        <f t="shared" si="5"/>
        <v>73.53</v>
      </c>
    </row>
    <row r="358" spans="6:8" x14ac:dyDescent="0.3">
      <c r="F358" s="19">
        <v>353</v>
      </c>
      <c r="G358" s="22">
        <v>45578</v>
      </c>
      <c r="H358" s="30">
        <f t="shared" si="5"/>
        <v>73.53</v>
      </c>
    </row>
    <row r="359" spans="6:8" x14ac:dyDescent="0.3">
      <c r="F359" s="19">
        <v>354</v>
      </c>
      <c r="G359" s="22">
        <v>45577</v>
      </c>
      <c r="H359" s="30">
        <f t="shared" si="5"/>
        <v>73.53</v>
      </c>
    </row>
    <row r="360" spans="6:8" x14ac:dyDescent="0.3">
      <c r="F360" s="19">
        <v>355</v>
      </c>
      <c r="G360" s="22">
        <v>45576</v>
      </c>
      <c r="H360" s="30">
        <f t="shared" si="5"/>
        <v>73.53</v>
      </c>
    </row>
    <row r="361" spans="6:8" x14ac:dyDescent="0.3">
      <c r="F361" s="19">
        <v>356</v>
      </c>
      <c r="G361" s="22">
        <v>45575</v>
      </c>
      <c r="H361" s="30">
        <f t="shared" si="5"/>
        <v>73.53</v>
      </c>
    </row>
    <row r="362" spans="6:8" x14ac:dyDescent="0.3">
      <c r="F362" s="19">
        <v>357</v>
      </c>
      <c r="G362" s="22">
        <v>45574</v>
      </c>
      <c r="H362" s="30">
        <f t="shared" si="5"/>
        <v>73.53</v>
      </c>
    </row>
    <row r="363" spans="6:8" x14ac:dyDescent="0.3">
      <c r="F363" s="19">
        <v>358</v>
      </c>
      <c r="G363" s="22">
        <v>45573</v>
      </c>
      <c r="H363" s="30">
        <f t="shared" si="5"/>
        <v>73.53</v>
      </c>
    </row>
    <row r="364" spans="6:8" x14ac:dyDescent="0.3">
      <c r="F364" s="19">
        <v>359</v>
      </c>
      <c r="G364" s="22">
        <v>45572</v>
      </c>
      <c r="H364" s="30">
        <f t="shared" si="5"/>
        <v>73.53</v>
      </c>
    </row>
    <row r="365" spans="6:8" x14ac:dyDescent="0.3">
      <c r="F365" s="19">
        <v>360</v>
      </c>
      <c r="G365" s="22">
        <v>45571</v>
      </c>
      <c r="H365" s="30">
        <f t="shared" si="5"/>
        <v>73.53</v>
      </c>
    </row>
    <row r="366" spans="6:8" x14ac:dyDescent="0.3">
      <c r="F366" s="19">
        <v>361</v>
      </c>
      <c r="G366" s="22">
        <v>45570</v>
      </c>
      <c r="H366" s="30">
        <f t="shared" si="5"/>
        <v>73.53</v>
      </c>
    </row>
    <row r="367" spans="6:8" x14ac:dyDescent="0.3">
      <c r="F367" s="19">
        <v>362</v>
      </c>
      <c r="G367" s="22">
        <v>45569</v>
      </c>
      <c r="H367" s="30">
        <f t="shared" si="5"/>
        <v>73.53</v>
      </c>
    </row>
    <row r="368" spans="6:8" x14ac:dyDescent="0.3">
      <c r="F368" s="19">
        <v>363</v>
      </c>
      <c r="G368" s="22">
        <v>45568</v>
      </c>
      <c r="H368" s="30">
        <f t="shared" si="5"/>
        <v>73.53</v>
      </c>
    </row>
    <row r="369" spans="6:8" x14ac:dyDescent="0.3">
      <c r="F369" s="19">
        <v>364</v>
      </c>
      <c r="G369" s="22">
        <v>45567</v>
      </c>
      <c r="H369" s="30">
        <f t="shared" si="5"/>
        <v>73.53</v>
      </c>
    </row>
    <row r="370" spans="6:8" x14ac:dyDescent="0.3">
      <c r="F370" s="19">
        <v>365</v>
      </c>
      <c r="G370" s="22">
        <v>45566</v>
      </c>
      <c r="H370" s="30">
        <f t="shared" si="5"/>
        <v>73.53</v>
      </c>
    </row>
    <row r="371" spans="6:8" x14ac:dyDescent="0.3">
      <c r="F371" s="19">
        <v>366</v>
      </c>
      <c r="G371" s="22">
        <v>45565</v>
      </c>
      <c r="H371" s="30">
        <f t="shared" si="5"/>
        <v>72.540000000000006</v>
      </c>
    </row>
    <row r="372" spans="6:8" x14ac:dyDescent="0.3">
      <c r="F372" s="19">
        <v>367</v>
      </c>
      <c r="G372" s="22">
        <v>45564</v>
      </c>
      <c r="H372" s="30">
        <f t="shared" si="5"/>
        <v>72.540000000000006</v>
      </c>
    </row>
    <row r="373" spans="6:8" x14ac:dyDescent="0.3">
      <c r="F373" s="19">
        <v>368</v>
      </c>
      <c r="G373" s="22">
        <v>45563</v>
      </c>
      <c r="H373" s="30">
        <f t="shared" si="5"/>
        <v>72.540000000000006</v>
      </c>
    </row>
    <row r="374" spans="6:8" x14ac:dyDescent="0.3">
      <c r="F374" s="19">
        <v>369</v>
      </c>
      <c r="G374" s="22">
        <v>45562</v>
      </c>
      <c r="H374" s="30">
        <f t="shared" si="5"/>
        <v>72.540000000000006</v>
      </c>
    </row>
    <row r="375" spans="6:8" x14ac:dyDescent="0.3">
      <c r="F375" s="19">
        <v>370</v>
      </c>
      <c r="G375" s="22">
        <v>45561</v>
      </c>
      <c r="H375" s="30">
        <f t="shared" si="5"/>
        <v>72.540000000000006</v>
      </c>
    </row>
    <row r="376" spans="6:8" x14ac:dyDescent="0.3">
      <c r="F376" s="19">
        <v>371</v>
      </c>
      <c r="G376" s="22">
        <v>45560</v>
      </c>
      <c r="H376" s="30">
        <f t="shared" si="5"/>
        <v>72.540000000000006</v>
      </c>
    </row>
    <row r="377" spans="6:8" x14ac:dyDescent="0.3">
      <c r="F377" s="19">
        <v>372</v>
      </c>
      <c r="G377" s="22">
        <v>45559</v>
      </c>
      <c r="H377" s="30">
        <f t="shared" si="5"/>
        <v>72.540000000000006</v>
      </c>
    </row>
    <row r="378" spans="6:8" x14ac:dyDescent="0.3">
      <c r="F378" s="19">
        <v>373</v>
      </c>
      <c r="G378" s="22">
        <v>45558</v>
      </c>
      <c r="H378" s="30">
        <f t="shared" si="5"/>
        <v>72.540000000000006</v>
      </c>
    </row>
    <row r="379" spans="6:8" x14ac:dyDescent="0.3">
      <c r="F379" s="19">
        <v>374</v>
      </c>
      <c r="G379" s="22">
        <v>45557</v>
      </c>
      <c r="H379" s="30">
        <f t="shared" si="5"/>
        <v>72.540000000000006</v>
      </c>
    </row>
    <row r="380" spans="6:8" x14ac:dyDescent="0.3">
      <c r="F380" s="19">
        <v>375</v>
      </c>
      <c r="G380" s="22">
        <v>45556</v>
      </c>
      <c r="H380" s="30">
        <f t="shared" si="5"/>
        <v>72.540000000000006</v>
      </c>
    </row>
    <row r="381" spans="6:8" x14ac:dyDescent="0.3">
      <c r="F381" s="19">
        <v>376</v>
      </c>
      <c r="G381" s="22">
        <v>45555</v>
      </c>
      <c r="H381" s="30">
        <f t="shared" si="5"/>
        <v>72.540000000000006</v>
      </c>
    </row>
    <row r="382" spans="6:8" x14ac:dyDescent="0.3">
      <c r="F382" s="19">
        <v>377</v>
      </c>
      <c r="G382" s="22">
        <v>45554</v>
      </c>
      <c r="H382" s="30">
        <f t="shared" si="5"/>
        <v>72.540000000000006</v>
      </c>
    </row>
    <row r="383" spans="6:8" x14ac:dyDescent="0.3">
      <c r="F383" s="19">
        <v>378</v>
      </c>
      <c r="G383" s="22">
        <v>45553</v>
      </c>
      <c r="H383" s="30">
        <f t="shared" si="5"/>
        <v>72.540000000000006</v>
      </c>
    </row>
    <row r="384" spans="6:8" x14ac:dyDescent="0.3">
      <c r="F384" s="19">
        <v>379</v>
      </c>
      <c r="G384" s="22">
        <v>45552</v>
      </c>
      <c r="H384" s="30">
        <f t="shared" si="5"/>
        <v>72.540000000000006</v>
      </c>
    </row>
    <row r="385" spans="6:8" x14ac:dyDescent="0.3">
      <c r="F385" s="19">
        <v>380</v>
      </c>
      <c r="G385" s="22">
        <v>45551</v>
      </c>
      <c r="H385" s="30">
        <f t="shared" si="5"/>
        <v>72.540000000000006</v>
      </c>
    </row>
    <row r="386" spans="6:8" x14ac:dyDescent="0.3">
      <c r="F386" s="19">
        <v>381</v>
      </c>
      <c r="G386" s="22">
        <v>45550</v>
      </c>
      <c r="H386" s="30">
        <f t="shared" si="5"/>
        <v>72.540000000000006</v>
      </c>
    </row>
    <row r="387" spans="6:8" x14ac:dyDescent="0.3">
      <c r="F387" s="19">
        <v>382</v>
      </c>
      <c r="G387" s="22">
        <v>45549</v>
      </c>
      <c r="H387" s="30">
        <f t="shared" si="5"/>
        <v>72.540000000000006</v>
      </c>
    </row>
    <row r="388" spans="6:8" x14ac:dyDescent="0.3">
      <c r="F388" s="19">
        <v>383</v>
      </c>
      <c r="G388" s="22">
        <v>45548</v>
      </c>
      <c r="H388" s="30">
        <f t="shared" si="5"/>
        <v>72.540000000000006</v>
      </c>
    </row>
    <row r="389" spans="6:8" x14ac:dyDescent="0.3">
      <c r="F389" s="19">
        <v>384</v>
      </c>
      <c r="G389" s="22">
        <v>45547</v>
      </c>
      <c r="H389" s="30">
        <f t="shared" si="5"/>
        <v>72.540000000000006</v>
      </c>
    </row>
    <row r="390" spans="6:8" x14ac:dyDescent="0.3">
      <c r="F390" s="19">
        <v>385</v>
      </c>
      <c r="G390" s="22">
        <v>45546</v>
      </c>
      <c r="H390" s="30">
        <f t="shared" si="5"/>
        <v>72.540000000000006</v>
      </c>
    </row>
    <row r="391" spans="6:8" x14ac:dyDescent="0.3">
      <c r="F391" s="19">
        <v>386</v>
      </c>
      <c r="G391" s="22">
        <v>45545</v>
      </c>
      <c r="H391" s="30">
        <f t="shared" ref="H391:H454" si="6">_xlfn.XLOOKUP(G391,$B$6:$B$38,$C$6:$C$38,,-1)</f>
        <v>72.540000000000006</v>
      </c>
    </row>
    <row r="392" spans="6:8" x14ac:dyDescent="0.3">
      <c r="F392" s="19">
        <v>387</v>
      </c>
      <c r="G392" s="22">
        <v>45544</v>
      </c>
      <c r="H392" s="30">
        <f t="shared" si="6"/>
        <v>72.540000000000006</v>
      </c>
    </row>
    <row r="393" spans="6:8" x14ac:dyDescent="0.3">
      <c r="F393" s="19">
        <v>388</v>
      </c>
      <c r="G393" s="22">
        <v>45543</v>
      </c>
      <c r="H393" s="30">
        <f t="shared" si="6"/>
        <v>72.540000000000006</v>
      </c>
    </row>
    <row r="394" spans="6:8" x14ac:dyDescent="0.3">
      <c r="F394" s="19">
        <v>389</v>
      </c>
      <c r="G394" s="22">
        <v>45542</v>
      </c>
      <c r="H394" s="30">
        <f t="shared" si="6"/>
        <v>72.540000000000006</v>
      </c>
    </row>
    <row r="395" spans="6:8" x14ac:dyDescent="0.3">
      <c r="F395" s="19">
        <v>390</v>
      </c>
      <c r="G395" s="22">
        <v>45541</v>
      </c>
      <c r="H395" s="30">
        <f t="shared" si="6"/>
        <v>72.540000000000006</v>
      </c>
    </row>
    <row r="396" spans="6:8" x14ac:dyDescent="0.3">
      <c r="F396" s="19">
        <v>391</v>
      </c>
      <c r="G396" s="22">
        <v>45540</v>
      </c>
      <c r="H396" s="30">
        <f t="shared" si="6"/>
        <v>72.540000000000006</v>
      </c>
    </row>
    <row r="397" spans="6:8" x14ac:dyDescent="0.3">
      <c r="F397" s="19">
        <v>392</v>
      </c>
      <c r="G397" s="22">
        <v>45539</v>
      </c>
      <c r="H397" s="30">
        <f t="shared" si="6"/>
        <v>72.540000000000006</v>
      </c>
    </row>
    <row r="398" spans="6:8" x14ac:dyDescent="0.3">
      <c r="F398" s="19">
        <v>393</v>
      </c>
      <c r="G398" s="22">
        <v>45538</v>
      </c>
      <c r="H398" s="30">
        <f t="shared" si="6"/>
        <v>72.540000000000006</v>
      </c>
    </row>
    <row r="399" spans="6:8" x14ac:dyDescent="0.3">
      <c r="F399" s="19">
        <v>394</v>
      </c>
      <c r="G399" s="22">
        <v>45537</v>
      </c>
      <c r="H399" s="30">
        <f t="shared" si="6"/>
        <v>72.540000000000006</v>
      </c>
    </row>
    <row r="400" spans="6:8" x14ac:dyDescent="0.3">
      <c r="F400" s="19">
        <v>395</v>
      </c>
      <c r="G400" s="22">
        <v>45536</v>
      </c>
      <c r="H400" s="30">
        <f t="shared" si="6"/>
        <v>72.540000000000006</v>
      </c>
    </row>
    <row r="401" spans="6:8" x14ac:dyDescent="0.3">
      <c r="F401" s="19">
        <v>396</v>
      </c>
      <c r="G401" s="22">
        <v>45535</v>
      </c>
      <c r="H401" s="30">
        <f t="shared" si="6"/>
        <v>78.510000000000005</v>
      </c>
    </row>
    <row r="402" spans="6:8" x14ac:dyDescent="0.3">
      <c r="F402" s="19">
        <v>397</v>
      </c>
      <c r="G402" s="22">
        <v>45534</v>
      </c>
      <c r="H402" s="30">
        <f t="shared" si="6"/>
        <v>78.510000000000005</v>
      </c>
    </row>
    <row r="403" spans="6:8" x14ac:dyDescent="0.3">
      <c r="F403" s="19">
        <v>398</v>
      </c>
      <c r="G403" s="22">
        <v>45533</v>
      </c>
      <c r="H403" s="30">
        <f t="shared" si="6"/>
        <v>78.510000000000005</v>
      </c>
    </row>
    <row r="404" spans="6:8" x14ac:dyDescent="0.3">
      <c r="F404" s="19">
        <v>399</v>
      </c>
      <c r="G404" s="22">
        <v>45532</v>
      </c>
      <c r="H404" s="30">
        <f t="shared" si="6"/>
        <v>78.510000000000005</v>
      </c>
    </row>
    <row r="405" spans="6:8" x14ac:dyDescent="0.3">
      <c r="F405" s="19">
        <v>400</v>
      </c>
      <c r="G405" s="22">
        <v>45531</v>
      </c>
      <c r="H405" s="30">
        <f t="shared" si="6"/>
        <v>78.510000000000005</v>
      </c>
    </row>
    <row r="406" spans="6:8" x14ac:dyDescent="0.3">
      <c r="F406" s="19">
        <v>401</v>
      </c>
      <c r="G406" s="22">
        <v>45530</v>
      </c>
      <c r="H406" s="30">
        <f t="shared" si="6"/>
        <v>78.510000000000005</v>
      </c>
    </row>
    <row r="407" spans="6:8" x14ac:dyDescent="0.3">
      <c r="F407" s="19">
        <v>402</v>
      </c>
      <c r="G407" s="22">
        <v>45529</v>
      </c>
      <c r="H407" s="30">
        <f t="shared" si="6"/>
        <v>78.510000000000005</v>
      </c>
    </row>
    <row r="408" spans="6:8" x14ac:dyDescent="0.3">
      <c r="F408" s="19">
        <v>403</v>
      </c>
      <c r="G408" s="22">
        <v>45528</v>
      </c>
      <c r="H408" s="30">
        <f t="shared" si="6"/>
        <v>78.510000000000005</v>
      </c>
    </row>
    <row r="409" spans="6:8" x14ac:dyDescent="0.3">
      <c r="F409" s="19">
        <v>404</v>
      </c>
      <c r="G409" s="22">
        <v>45527</v>
      </c>
      <c r="H409" s="30">
        <f t="shared" si="6"/>
        <v>78.510000000000005</v>
      </c>
    </row>
    <row r="410" spans="6:8" x14ac:dyDescent="0.3">
      <c r="F410" s="19">
        <v>405</v>
      </c>
      <c r="G410" s="22">
        <v>45526</v>
      </c>
      <c r="H410" s="30">
        <f t="shared" si="6"/>
        <v>78.510000000000005</v>
      </c>
    </row>
    <row r="411" spans="6:8" x14ac:dyDescent="0.3">
      <c r="F411" s="19">
        <v>406</v>
      </c>
      <c r="G411" s="22">
        <v>45525</v>
      </c>
      <c r="H411" s="30">
        <f t="shared" si="6"/>
        <v>78.510000000000005</v>
      </c>
    </row>
    <row r="412" spans="6:8" x14ac:dyDescent="0.3">
      <c r="F412" s="19">
        <v>407</v>
      </c>
      <c r="G412" s="22">
        <v>45524</v>
      </c>
      <c r="H412" s="30">
        <f t="shared" si="6"/>
        <v>78.510000000000005</v>
      </c>
    </row>
    <row r="413" spans="6:8" x14ac:dyDescent="0.3">
      <c r="F413" s="19">
        <v>408</v>
      </c>
      <c r="G413" s="22">
        <v>45523</v>
      </c>
      <c r="H413" s="30">
        <f t="shared" si="6"/>
        <v>78.510000000000005</v>
      </c>
    </row>
    <row r="414" spans="6:8" x14ac:dyDescent="0.3">
      <c r="F414" s="19">
        <v>409</v>
      </c>
      <c r="G414" s="22">
        <v>45522</v>
      </c>
      <c r="H414" s="30">
        <f t="shared" si="6"/>
        <v>78.510000000000005</v>
      </c>
    </row>
    <row r="415" spans="6:8" x14ac:dyDescent="0.3">
      <c r="F415" s="19">
        <v>410</v>
      </c>
      <c r="G415" s="22">
        <v>45521</v>
      </c>
      <c r="H415" s="30">
        <f t="shared" si="6"/>
        <v>78.510000000000005</v>
      </c>
    </row>
    <row r="416" spans="6:8" x14ac:dyDescent="0.3">
      <c r="F416" s="19">
        <v>411</v>
      </c>
      <c r="G416" s="22">
        <v>45520</v>
      </c>
      <c r="H416" s="30">
        <f t="shared" si="6"/>
        <v>78.510000000000005</v>
      </c>
    </row>
    <row r="417" spans="6:8" x14ac:dyDescent="0.3">
      <c r="F417" s="19">
        <v>412</v>
      </c>
      <c r="G417" s="22">
        <v>45519</v>
      </c>
      <c r="H417" s="30">
        <f t="shared" si="6"/>
        <v>78.510000000000005</v>
      </c>
    </row>
    <row r="418" spans="6:8" x14ac:dyDescent="0.3">
      <c r="F418" s="19">
        <v>413</v>
      </c>
      <c r="G418" s="22">
        <v>45518</v>
      </c>
      <c r="H418" s="30">
        <f t="shared" si="6"/>
        <v>78.510000000000005</v>
      </c>
    </row>
    <row r="419" spans="6:8" x14ac:dyDescent="0.3">
      <c r="F419" s="19">
        <v>414</v>
      </c>
      <c r="G419" s="22">
        <v>45517</v>
      </c>
      <c r="H419" s="30">
        <f t="shared" si="6"/>
        <v>78.510000000000005</v>
      </c>
    </row>
    <row r="420" spans="6:8" x14ac:dyDescent="0.3">
      <c r="F420" s="19">
        <v>415</v>
      </c>
      <c r="G420" s="22">
        <v>45516</v>
      </c>
      <c r="H420" s="30">
        <f t="shared" si="6"/>
        <v>78.510000000000005</v>
      </c>
    </row>
    <row r="421" spans="6:8" x14ac:dyDescent="0.3">
      <c r="F421" s="19">
        <v>416</v>
      </c>
      <c r="G421" s="22">
        <v>45515</v>
      </c>
      <c r="H421" s="30">
        <f t="shared" si="6"/>
        <v>78.510000000000005</v>
      </c>
    </row>
    <row r="422" spans="6:8" x14ac:dyDescent="0.3">
      <c r="F422" s="19">
        <v>417</v>
      </c>
      <c r="G422" s="22">
        <v>45514</v>
      </c>
      <c r="H422" s="30">
        <f t="shared" si="6"/>
        <v>78.510000000000005</v>
      </c>
    </row>
    <row r="423" spans="6:8" x14ac:dyDescent="0.3">
      <c r="F423" s="19">
        <v>418</v>
      </c>
      <c r="G423" s="22">
        <v>45513</v>
      </c>
      <c r="H423" s="30">
        <f t="shared" si="6"/>
        <v>78.510000000000005</v>
      </c>
    </row>
    <row r="424" spans="6:8" x14ac:dyDescent="0.3">
      <c r="F424" s="19">
        <v>419</v>
      </c>
      <c r="G424" s="22">
        <v>45512</v>
      </c>
      <c r="H424" s="30">
        <f t="shared" si="6"/>
        <v>78.510000000000005</v>
      </c>
    </row>
    <row r="425" spans="6:8" x14ac:dyDescent="0.3">
      <c r="F425" s="19">
        <v>420</v>
      </c>
      <c r="G425" s="22">
        <v>45511</v>
      </c>
      <c r="H425" s="30">
        <f t="shared" si="6"/>
        <v>78.510000000000005</v>
      </c>
    </row>
    <row r="426" spans="6:8" x14ac:dyDescent="0.3">
      <c r="F426" s="19">
        <v>421</v>
      </c>
      <c r="G426" s="22">
        <v>45510</v>
      </c>
      <c r="H426" s="30">
        <f t="shared" si="6"/>
        <v>78.510000000000005</v>
      </c>
    </row>
    <row r="427" spans="6:8" x14ac:dyDescent="0.3">
      <c r="F427" s="19">
        <v>422</v>
      </c>
      <c r="G427" s="22">
        <v>45509</v>
      </c>
      <c r="H427" s="30">
        <f t="shared" si="6"/>
        <v>78.510000000000005</v>
      </c>
    </row>
    <row r="428" spans="6:8" x14ac:dyDescent="0.3">
      <c r="F428" s="19">
        <v>423</v>
      </c>
      <c r="G428" s="22">
        <v>45508</v>
      </c>
      <c r="H428" s="30">
        <f t="shared" si="6"/>
        <v>78.510000000000005</v>
      </c>
    </row>
    <row r="429" spans="6:8" x14ac:dyDescent="0.3">
      <c r="F429" s="19">
        <v>424</v>
      </c>
      <c r="G429" s="22">
        <v>45507</v>
      </c>
      <c r="H429" s="30">
        <f t="shared" si="6"/>
        <v>78.510000000000005</v>
      </c>
    </row>
    <row r="430" spans="6:8" x14ac:dyDescent="0.3">
      <c r="F430" s="19">
        <v>425</v>
      </c>
      <c r="G430" s="22">
        <v>45506</v>
      </c>
      <c r="H430" s="30">
        <f t="shared" si="6"/>
        <v>78.510000000000005</v>
      </c>
    </row>
    <row r="431" spans="6:8" x14ac:dyDescent="0.3">
      <c r="F431" s="19">
        <v>426</v>
      </c>
      <c r="G431" s="22">
        <v>45505</v>
      </c>
      <c r="H431" s="30">
        <f t="shared" si="6"/>
        <v>78.510000000000005</v>
      </c>
    </row>
    <row r="432" spans="6:8" x14ac:dyDescent="0.3">
      <c r="F432" s="19">
        <v>427</v>
      </c>
      <c r="G432" s="22">
        <v>45504</v>
      </c>
      <c r="H432" s="30">
        <f t="shared" si="6"/>
        <v>82</v>
      </c>
    </row>
    <row r="433" spans="6:8" x14ac:dyDescent="0.3">
      <c r="F433" s="19">
        <v>428</v>
      </c>
      <c r="G433" s="22">
        <v>45503</v>
      </c>
      <c r="H433" s="30">
        <f t="shared" si="6"/>
        <v>82</v>
      </c>
    </row>
    <row r="434" spans="6:8" x14ac:dyDescent="0.3">
      <c r="F434" s="19">
        <v>429</v>
      </c>
      <c r="G434" s="22">
        <v>45502</v>
      </c>
      <c r="H434" s="30">
        <f t="shared" si="6"/>
        <v>82</v>
      </c>
    </row>
    <row r="435" spans="6:8" x14ac:dyDescent="0.3">
      <c r="F435" s="19">
        <v>430</v>
      </c>
      <c r="G435" s="22">
        <v>45501</v>
      </c>
      <c r="H435" s="30">
        <f t="shared" si="6"/>
        <v>82</v>
      </c>
    </row>
    <row r="436" spans="6:8" x14ac:dyDescent="0.3">
      <c r="F436" s="19">
        <v>431</v>
      </c>
      <c r="G436" s="22">
        <v>45500</v>
      </c>
      <c r="H436" s="30">
        <f t="shared" si="6"/>
        <v>82</v>
      </c>
    </row>
    <row r="437" spans="6:8" x14ac:dyDescent="0.3">
      <c r="F437" s="19">
        <v>432</v>
      </c>
      <c r="G437" s="22">
        <v>45499</v>
      </c>
      <c r="H437" s="30">
        <f t="shared" si="6"/>
        <v>82</v>
      </c>
    </row>
    <row r="438" spans="6:8" x14ac:dyDescent="0.3">
      <c r="F438" s="19">
        <v>433</v>
      </c>
      <c r="G438" s="22">
        <v>45498</v>
      </c>
      <c r="H438" s="30">
        <f t="shared" si="6"/>
        <v>82</v>
      </c>
    </row>
    <row r="439" spans="6:8" x14ac:dyDescent="0.3">
      <c r="F439" s="19">
        <v>434</v>
      </c>
      <c r="G439" s="22">
        <v>45497</v>
      </c>
      <c r="H439" s="30">
        <f t="shared" si="6"/>
        <v>82</v>
      </c>
    </row>
    <row r="440" spans="6:8" x14ac:dyDescent="0.3">
      <c r="F440" s="19">
        <v>435</v>
      </c>
      <c r="G440" s="22">
        <v>45496</v>
      </c>
      <c r="H440" s="30">
        <f t="shared" si="6"/>
        <v>82</v>
      </c>
    </row>
    <row r="441" spans="6:8" x14ac:dyDescent="0.3">
      <c r="F441" s="19">
        <v>436</v>
      </c>
      <c r="G441" s="22">
        <v>45495</v>
      </c>
      <c r="H441" s="30">
        <f t="shared" si="6"/>
        <v>82</v>
      </c>
    </row>
    <row r="442" spans="6:8" x14ac:dyDescent="0.3">
      <c r="F442" s="19">
        <v>437</v>
      </c>
      <c r="G442" s="22">
        <v>45494</v>
      </c>
      <c r="H442" s="30">
        <f t="shared" si="6"/>
        <v>82</v>
      </c>
    </row>
    <row r="443" spans="6:8" x14ac:dyDescent="0.3">
      <c r="F443" s="19">
        <v>438</v>
      </c>
      <c r="G443" s="22">
        <v>45493</v>
      </c>
      <c r="H443" s="30">
        <f t="shared" si="6"/>
        <v>82</v>
      </c>
    </row>
    <row r="444" spans="6:8" x14ac:dyDescent="0.3">
      <c r="F444" s="19">
        <v>439</v>
      </c>
      <c r="G444" s="22">
        <v>45492</v>
      </c>
      <c r="H444" s="30">
        <f t="shared" si="6"/>
        <v>82</v>
      </c>
    </row>
    <row r="445" spans="6:8" x14ac:dyDescent="0.3">
      <c r="F445" s="19">
        <v>440</v>
      </c>
      <c r="G445" s="22">
        <v>45491</v>
      </c>
      <c r="H445" s="30">
        <f t="shared" si="6"/>
        <v>82</v>
      </c>
    </row>
    <row r="446" spans="6:8" x14ac:dyDescent="0.3">
      <c r="F446" s="19">
        <v>441</v>
      </c>
      <c r="G446" s="22">
        <v>45490</v>
      </c>
      <c r="H446" s="30">
        <f t="shared" si="6"/>
        <v>82</v>
      </c>
    </row>
    <row r="447" spans="6:8" x14ac:dyDescent="0.3">
      <c r="F447" s="19">
        <v>442</v>
      </c>
      <c r="G447" s="22">
        <v>45489</v>
      </c>
      <c r="H447" s="30">
        <f t="shared" si="6"/>
        <v>82</v>
      </c>
    </row>
    <row r="448" spans="6:8" x14ac:dyDescent="0.3">
      <c r="F448" s="19">
        <v>443</v>
      </c>
      <c r="G448" s="22">
        <v>45488</v>
      </c>
      <c r="H448" s="30">
        <f t="shared" si="6"/>
        <v>82</v>
      </c>
    </row>
    <row r="449" spans="6:8" x14ac:dyDescent="0.3">
      <c r="F449" s="19">
        <v>444</v>
      </c>
      <c r="G449" s="22">
        <v>45487</v>
      </c>
      <c r="H449" s="30">
        <f t="shared" si="6"/>
        <v>82</v>
      </c>
    </row>
    <row r="450" spans="6:8" x14ac:dyDescent="0.3">
      <c r="F450" s="19">
        <v>445</v>
      </c>
      <c r="G450" s="22">
        <v>45486</v>
      </c>
      <c r="H450" s="30">
        <f t="shared" si="6"/>
        <v>82</v>
      </c>
    </row>
    <row r="451" spans="6:8" x14ac:dyDescent="0.3">
      <c r="F451" s="19">
        <v>446</v>
      </c>
      <c r="G451" s="22">
        <v>45485</v>
      </c>
      <c r="H451" s="30">
        <f t="shared" si="6"/>
        <v>82</v>
      </c>
    </row>
    <row r="452" spans="6:8" x14ac:dyDescent="0.3">
      <c r="F452" s="19">
        <v>447</v>
      </c>
      <c r="G452" s="22">
        <v>45484</v>
      </c>
      <c r="H452" s="30">
        <f t="shared" si="6"/>
        <v>82</v>
      </c>
    </row>
    <row r="453" spans="6:8" x14ac:dyDescent="0.3">
      <c r="F453" s="19">
        <v>448</v>
      </c>
      <c r="G453" s="22">
        <v>45483</v>
      </c>
      <c r="H453" s="30">
        <f t="shared" si="6"/>
        <v>82</v>
      </c>
    </row>
    <row r="454" spans="6:8" x14ac:dyDescent="0.3">
      <c r="F454" s="19">
        <v>449</v>
      </c>
      <c r="G454" s="22">
        <v>45482</v>
      </c>
      <c r="H454" s="30">
        <f t="shared" si="6"/>
        <v>82</v>
      </c>
    </row>
    <row r="455" spans="6:8" x14ac:dyDescent="0.3">
      <c r="F455" s="19">
        <v>450</v>
      </c>
      <c r="G455" s="22">
        <v>45481</v>
      </c>
      <c r="H455" s="30">
        <f t="shared" ref="H455:H518" si="7">_xlfn.XLOOKUP(G455,$B$6:$B$38,$C$6:$C$38,,-1)</f>
        <v>82</v>
      </c>
    </row>
    <row r="456" spans="6:8" x14ac:dyDescent="0.3">
      <c r="F456" s="19">
        <v>451</v>
      </c>
      <c r="G456" s="22">
        <v>45480</v>
      </c>
      <c r="H456" s="30">
        <f t="shared" si="7"/>
        <v>82</v>
      </c>
    </row>
    <row r="457" spans="6:8" x14ac:dyDescent="0.3">
      <c r="F457" s="19">
        <v>452</v>
      </c>
      <c r="G457" s="22">
        <v>45479</v>
      </c>
      <c r="H457" s="30">
        <f t="shared" si="7"/>
        <v>82</v>
      </c>
    </row>
    <row r="458" spans="6:8" x14ac:dyDescent="0.3">
      <c r="F458" s="19">
        <v>453</v>
      </c>
      <c r="G458" s="22">
        <v>45478</v>
      </c>
      <c r="H458" s="30">
        <f t="shared" si="7"/>
        <v>82</v>
      </c>
    </row>
    <row r="459" spans="6:8" x14ac:dyDescent="0.3">
      <c r="F459" s="19">
        <v>454</v>
      </c>
      <c r="G459" s="22">
        <v>45477</v>
      </c>
      <c r="H459" s="30">
        <f t="shared" si="7"/>
        <v>82</v>
      </c>
    </row>
    <row r="460" spans="6:8" x14ac:dyDescent="0.3">
      <c r="F460" s="19">
        <v>455</v>
      </c>
      <c r="G460" s="22">
        <v>45476</v>
      </c>
      <c r="H460" s="30">
        <f t="shared" si="7"/>
        <v>82</v>
      </c>
    </row>
    <row r="461" spans="6:8" x14ac:dyDescent="0.3">
      <c r="F461" s="19">
        <v>456</v>
      </c>
      <c r="G461" s="22">
        <v>45475</v>
      </c>
      <c r="H461" s="30">
        <f t="shared" si="7"/>
        <v>82</v>
      </c>
    </row>
    <row r="462" spans="6:8" x14ac:dyDescent="0.3">
      <c r="F462" s="19">
        <v>457</v>
      </c>
      <c r="G462" s="22">
        <v>45474</v>
      </c>
      <c r="H462" s="30">
        <f t="shared" si="7"/>
        <v>82</v>
      </c>
    </row>
    <row r="463" spans="6:8" x14ac:dyDescent="0.3">
      <c r="F463" s="19">
        <v>458</v>
      </c>
      <c r="G463" s="22">
        <v>45473</v>
      </c>
      <c r="H463" s="30">
        <f t="shared" si="7"/>
        <v>79.31</v>
      </c>
    </row>
    <row r="464" spans="6:8" x14ac:dyDescent="0.3">
      <c r="F464" s="19">
        <v>459</v>
      </c>
      <c r="G464" s="22">
        <v>45472</v>
      </c>
      <c r="H464" s="30">
        <f t="shared" si="7"/>
        <v>79.31</v>
      </c>
    </row>
    <row r="465" spans="6:8" x14ac:dyDescent="0.3">
      <c r="F465" s="19">
        <v>460</v>
      </c>
      <c r="G465" s="22">
        <v>45471</v>
      </c>
      <c r="H465" s="30">
        <f t="shared" si="7"/>
        <v>79.31</v>
      </c>
    </row>
    <row r="466" spans="6:8" x14ac:dyDescent="0.3">
      <c r="F466" s="19">
        <v>461</v>
      </c>
      <c r="G466" s="22">
        <v>45470</v>
      </c>
      <c r="H466" s="30">
        <f t="shared" si="7"/>
        <v>79.31</v>
      </c>
    </row>
    <row r="467" spans="6:8" x14ac:dyDescent="0.3">
      <c r="F467" s="19">
        <v>462</v>
      </c>
      <c r="G467" s="22">
        <v>45469</v>
      </c>
      <c r="H467" s="30">
        <f t="shared" si="7"/>
        <v>79.31</v>
      </c>
    </row>
    <row r="468" spans="6:8" x14ac:dyDescent="0.3">
      <c r="F468" s="19">
        <v>463</v>
      </c>
      <c r="G468" s="22">
        <v>45468</v>
      </c>
      <c r="H468" s="30">
        <f t="shared" si="7"/>
        <v>79.31</v>
      </c>
    </row>
    <row r="469" spans="6:8" x14ac:dyDescent="0.3">
      <c r="F469" s="19">
        <v>464</v>
      </c>
      <c r="G469" s="22">
        <v>45467</v>
      </c>
      <c r="H469" s="30">
        <f t="shared" si="7"/>
        <v>79.31</v>
      </c>
    </row>
    <row r="470" spans="6:8" x14ac:dyDescent="0.3">
      <c r="F470" s="19">
        <v>465</v>
      </c>
      <c r="G470" s="22">
        <v>45466</v>
      </c>
      <c r="H470" s="30">
        <f t="shared" si="7"/>
        <v>79.31</v>
      </c>
    </row>
    <row r="471" spans="6:8" x14ac:dyDescent="0.3">
      <c r="F471" s="19">
        <v>466</v>
      </c>
      <c r="G471" s="22">
        <v>45465</v>
      </c>
      <c r="H471" s="30">
        <f t="shared" si="7"/>
        <v>79.31</v>
      </c>
    </row>
    <row r="472" spans="6:8" x14ac:dyDescent="0.3">
      <c r="F472" s="19">
        <v>467</v>
      </c>
      <c r="G472" s="22">
        <v>45464</v>
      </c>
      <c r="H472" s="30">
        <f t="shared" si="7"/>
        <v>79.31</v>
      </c>
    </row>
    <row r="473" spans="6:8" x14ac:dyDescent="0.3">
      <c r="F473" s="19">
        <v>468</v>
      </c>
      <c r="G473" s="22">
        <v>45463</v>
      </c>
      <c r="H473" s="30">
        <f t="shared" si="7"/>
        <v>79.31</v>
      </c>
    </row>
    <row r="474" spans="6:8" x14ac:dyDescent="0.3">
      <c r="F474" s="19">
        <v>469</v>
      </c>
      <c r="G474" s="22">
        <v>45462</v>
      </c>
      <c r="H474" s="30">
        <f t="shared" si="7"/>
        <v>79.31</v>
      </c>
    </row>
    <row r="475" spans="6:8" x14ac:dyDescent="0.3">
      <c r="F475" s="19">
        <v>470</v>
      </c>
      <c r="G475" s="22">
        <v>45461</v>
      </c>
      <c r="H475" s="30">
        <f t="shared" si="7"/>
        <v>79.31</v>
      </c>
    </row>
    <row r="476" spans="6:8" x14ac:dyDescent="0.3">
      <c r="F476" s="19">
        <v>471</v>
      </c>
      <c r="G476" s="22">
        <v>45460</v>
      </c>
      <c r="H476" s="30">
        <f t="shared" si="7"/>
        <v>79.31</v>
      </c>
    </row>
    <row r="477" spans="6:8" x14ac:dyDescent="0.3">
      <c r="F477" s="19">
        <v>472</v>
      </c>
      <c r="G477" s="22">
        <v>45459</v>
      </c>
      <c r="H477" s="30">
        <f t="shared" si="7"/>
        <v>79.31</v>
      </c>
    </row>
    <row r="478" spans="6:8" x14ac:dyDescent="0.3">
      <c r="F478" s="19">
        <v>473</v>
      </c>
      <c r="G478" s="22">
        <v>45458</v>
      </c>
      <c r="H478" s="30">
        <f t="shared" si="7"/>
        <v>79.31</v>
      </c>
    </row>
    <row r="479" spans="6:8" x14ac:dyDescent="0.3">
      <c r="F479" s="19">
        <v>474</v>
      </c>
      <c r="G479" s="22">
        <v>45457</v>
      </c>
      <c r="H479" s="30">
        <f t="shared" si="7"/>
        <v>79.31</v>
      </c>
    </row>
    <row r="480" spans="6:8" x14ac:dyDescent="0.3">
      <c r="F480" s="19">
        <v>475</v>
      </c>
      <c r="G480" s="22">
        <v>45456</v>
      </c>
      <c r="H480" s="30">
        <f t="shared" si="7"/>
        <v>79.31</v>
      </c>
    </row>
    <row r="481" spans="6:8" x14ac:dyDescent="0.3">
      <c r="F481" s="19">
        <v>476</v>
      </c>
      <c r="G481" s="22">
        <v>45455</v>
      </c>
      <c r="H481" s="30">
        <f t="shared" si="7"/>
        <v>79.31</v>
      </c>
    </row>
    <row r="482" spans="6:8" x14ac:dyDescent="0.3">
      <c r="F482" s="19">
        <v>477</v>
      </c>
      <c r="G482" s="22">
        <v>45454</v>
      </c>
      <c r="H482" s="30">
        <f t="shared" si="7"/>
        <v>79.31</v>
      </c>
    </row>
    <row r="483" spans="6:8" x14ac:dyDescent="0.3">
      <c r="F483" s="19">
        <v>478</v>
      </c>
      <c r="G483" s="22">
        <v>45453</v>
      </c>
      <c r="H483" s="30">
        <f t="shared" si="7"/>
        <v>79.31</v>
      </c>
    </row>
    <row r="484" spans="6:8" x14ac:dyDescent="0.3">
      <c r="F484" s="19">
        <v>479</v>
      </c>
      <c r="G484" s="22">
        <v>45452</v>
      </c>
      <c r="H484" s="30">
        <f t="shared" si="7"/>
        <v>79.31</v>
      </c>
    </row>
    <row r="485" spans="6:8" x14ac:dyDescent="0.3">
      <c r="F485" s="19">
        <v>480</v>
      </c>
      <c r="G485" s="22">
        <v>45451</v>
      </c>
      <c r="H485" s="30">
        <f t="shared" si="7"/>
        <v>79.31</v>
      </c>
    </row>
    <row r="486" spans="6:8" x14ac:dyDescent="0.3">
      <c r="F486" s="19">
        <v>481</v>
      </c>
      <c r="G486" s="22">
        <v>45450</v>
      </c>
      <c r="H486" s="30">
        <f t="shared" si="7"/>
        <v>79.31</v>
      </c>
    </row>
    <row r="487" spans="6:8" x14ac:dyDescent="0.3">
      <c r="F487" s="19">
        <v>482</v>
      </c>
      <c r="G487" s="22">
        <v>45449</v>
      </c>
      <c r="H487" s="30">
        <f t="shared" si="7"/>
        <v>79.31</v>
      </c>
    </row>
    <row r="488" spans="6:8" x14ac:dyDescent="0.3">
      <c r="F488" s="19">
        <v>483</v>
      </c>
      <c r="G488" s="22">
        <v>45448</v>
      </c>
      <c r="H488" s="30">
        <f t="shared" si="7"/>
        <v>79.31</v>
      </c>
    </row>
    <row r="489" spans="6:8" x14ac:dyDescent="0.3">
      <c r="F489" s="19">
        <v>484</v>
      </c>
      <c r="G489" s="22">
        <v>45447</v>
      </c>
      <c r="H489" s="30">
        <f t="shared" si="7"/>
        <v>79.31</v>
      </c>
    </row>
    <row r="490" spans="6:8" x14ac:dyDescent="0.3">
      <c r="F490" s="19">
        <v>485</v>
      </c>
      <c r="G490" s="22">
        <v>45446</v>
      </c>
      <c r="H490" s="30">
        <f t="shared" si="7"/>
        <v>79.31</v>
      </c>
    </row>
    <row r="491" spans="6:8" x14ac:dyDescent="0.3">
      <c r="F491" s="19">
        <v>486</v>
      </c>
      <c r="G491" s="22">
        <v>45445</v>
      </c>
      <c r="H491" s="30">
        <f t="shared" si="7"/>
        <v>79.31</v>
      </c>
    </row>
    <row r="492" spans="6:8" x14ac:dyDescent="0.3">
      <c r="F492" s="19">
        <v>487</v>
      </c>
      <c r="G492" s="22">
        <v>45444</v>
      </c>
      <c r="H492" s="30">
        <f t="shared" si="7"/>
        <v>79.31</v>
      </c>
    </row>
    <row r="493" spans="6:8" x14ac:dyDescent="0.3">
      <c r="F493" s="19">
        <v>488</v>
      </c>
      <c r="G493" s="22">
        <v>45443</v>
      </c>
      <c r="H493" s="30">
        <f t="shared" si="7"/>
        <v>79.78</v>
      </c>
    </row>
    <row r="494" spans="6:8" x14ac:dyDescent="0.3">
      <c r="F494" s="19">
        <v>489</v>
      </c>
      <c r="G494" s="22">
        <v>45442</v>
      </c>
      <c r="H494" s="30">
        <f t="shared" si="7"/>
        <v>79.78</v>
      </c>
    </row>
    <row r="495" spans="6:8" x14ac:dyDescent="0.3">
      <c r="F495" s="19">
        <v>490</v>
      </c>
      <c r="G495" s="22">
        <v>45441</v>
      </c>
      <c r="H495" s="30">
        <f t="shared" si="7"/>
        <v>79.78</v>
      </c>
    </row>
    <row r="496" spans="6:8" x14ac:dyDescent="0.3">
      <c r="F496" s="19">
        <v>491</v>
      </c>
      <c r="G496" s="22">
        <v>45440</v>
      </c>
      <c r="H496" s="30">
        <f t="shared" si="7"/>
        <v>79.78</v>
      </c>
    </row>
    <row r="497" spans="6:8" x14ac:dyDescent="0.3">
      <c r="F497" s="19">
        <v>492</v>
      </c>
      <c r="G497" s="22">
        <v>45439</v>
      </c>
      <c r="H497" s="30">
        <f t="shared" si="7"/>
        <v>79.78</v>
      </c>
    </row>
    <row r="498" spans="6:8" x14ac:dyDescent="0.3">
      <c r="F498" s="19">
        <v>493</v>
      </c>
      <c r="G498" s="22">
        <v>45438</v>
      </c>
      <c r="H498" s="30">
        <f t="shared" si="7"/>
        <v>79.78</v>
      </c>
    </row>
    <row r="499" spans="6:8" x14ac:dyDescent="0.3">
      <c r="F499" s="19">
        <v>494</v>
      </c>
      <c r="G499" s="22">
        <v>45437</v>
      </c>
      <c r="H499" s="30">
        <f t="shared" si="7"/>
        <v>79.78</v>
      </c>
    </row>
    <row r="500" spans="6:8" x14ac:dyDescent="0.3">
      <c r="F500" s="19">
        <v>495</v>
      </c>
      <c r="G500" s="22">
        <v>45436</v>
      </c>
      <c r="H500" s="30">
        <f t="shared" si="7"/>
        <v>79.78</v>
      </c>
    </row>
    <row r="501" spans="6:8" x14ac:dyDescent="0.3">
      <c r="F501" s="19">
        <v>496</v>
      </c>
      <c r="G501" s="22">
        <v>45435</v>
      </c>
      <c r="H501" s="30">
        <f t="shared" si="7"/>
        <v>79.78</v>
      </c>
    </row>
    <row r="502" spans="6:8" x14ac:dyDescent="0.3">
      <c r="F502" s="19">
        <v>497</v>
      </c>
      <c r="G502" s="22">
        <v>45434</v>
      </c>
      <c r="H502" s="30">
        <f t="shared" si="7"/>
        <v>79.78</v>
      </c>
    </row>
    <row r="503" spans="6:8" x14ac:dyDescent="0.3">
      <c r="F503" s="19">
        <v>498</v>
      </c>
      <c r="G503" s="22">
        <v>45433</v>
      </c>
      <c r="H503" s="30">
        <f t="shared" si="7"/>
        <v>79.78</v>
      </c>
    </row>
    <row r="504" spans="6:8" x14ac:dyDescent="0.3">
      <c r="F504" s="19">
        <v>499</v>
      </c>
      <c r="G504" s="22">
        <v>45432</v>
      </c>
      <c r="H504" s="30">
        <f t="shared" si="7"/>
        <v>79.78</v>
      </c>
    </row>
    <row r="505" spans="6:8" x14ac:dyDescent="0.3">
      <c r="F505" s="19">
        <v>500</v>
      </c>
      <c r="G505" s="22">
        <v>45431</v>
      </c>
      <c r="H505" s="30">
        <f t="shared" si="7"/>
        <v>79.78</v>
      </c>
    </row>
    <row r="506" spans="6:8" x14ac:dyDescent="0.3">
      <c r="F506" s="19">
        <v>501</v>
      </c>
      <c r="G506" s="22">
        <v>45430</v>
      </c>
      <c r="H506" s="30">
        <f t="shared" si="7"/>
        <v>79.78</v>
      </c>
    </row>
    <row r="507" spans="6:8" x14ac:dyDescent="0.3">
      <c r="F507" s="19">
        <v>502</v>
      </c>
      <c r="G507" s="22">
        <v>45429</v>
      </c>
      <c r="H507" s="30">
        <f t="shared" si="7"/>
        <v>79.78</v>
      </c>
    </row>
    <row r="508" spans="6:8" x14ac:dyDescent="0.3">
      <c r="F508" s="19">
        <v>503</v>
      </c>
      <c r="G508" s="22">
        <v>45428</v>
      </c>
      <c r="H508" s="30">
        <f t="shared" si="7"/>
        <v>79.78</v>
      </c>
    </row>
    <row r="509" spans="6:8" x14ac:dyDescent="0.3">
      <c r="F509" s="19">
        <v>504</v>
      </c>
      <c r="G509" s="22">
        <v>45427</v>
      </c>
      <c r="H509" s="30">
        <f t="shared" si="7"/>
        <v>79.78</v>
      </c>
    </row>
    <row r="510" spans="6:8" x14ac:dyDescent="0.3">
      <c r="F510" s="19">
        <v>505</v>
      </c>
      <c r="G510" s="22">
        <v>45426</v>
      </c>
      <c r="H510" s="30">
        <f t="shared" si="7"/>
        <v>79.78</v>
      </c>
    </row>
    <row r="511" spans="6:8" x14ac:dyDescent="0.3">
      <c r="F511" s="19">
        <v>506</v>
      </c>
      <c r="G511" s="22">
        <v>45425</v>
      </c>
      <c r="H511" s="30">
        <f t="shared" si="7"/>
        <v>79.78</v>
      </c>
    </row>
    <row r="512" spans="6:8" x14ac:dyDescent="0.3">
      <c r="F512" s="19">
        <v>507</v>
      </c>
      <c r="G512" s="22">
        <v>45424</v>
      </c>
      <c r="H512" s="30">
        <f t="shared" si="7"/>
        <v>79.78</v>
      </c>
    </row>
    <row r="513" spans="6:8" x14ac:dyDescent="0.3">
      <c r="F513" s="19">
        <v>508</v>
      </c>
      <c r="G513" s="22">
        <v>45423</v>
      </c>
      <c r="H513" s="30">
        <f t="shared" si="7"/>
        <v>79.78</v>
      </c>
    </row>
    <row r="514" spans="6:8" x14ac:dyDescent="0.3">
      <c r="F514" s="19">
        <v>509</v>
      </c>
      <c r="G514" s="22">
        <v>45422</v>
      </c>
      <c r="H514" s="30">
        <f t="shared" si="7"/>
        <v>79.78</v>
      </c>
    </row>
    <row r="515" spans="6:8" x14ac:dyDescent="0.3">
      <c r="F515" s="19">
        <v>510</v>
      </c>
      <c r="G515" s="22">
        <v>45421</v>
      </c>
      <c r="H515" s="30">
        <f t="shared" si="7"/>
        <v>79.78</v>
      </c>
    </row>
    <row r="516" spans="6:8" x14ac:dyDescent="0.3">
      <c r="F516" s="19">
        <v>511</v>
      </c>
      <c r="G516" s="22">
        <v>45420</v>
      </c>
      <c r="H516" s="30">
        <f t="shared" si="7"/>
        <v>79.78</v>
      </c>
    </row>
    <row r="517" spans="6:8" x14ac:dyDescent="0.3">
      <c r="F517" s="19">
        <v>512</v>
      </c>
      <c r="G517" s="22">
        <v>45419</v>
      </c>
      <c r="H517" s="30">
        <f t="shared" si="7"/>
        <v>79.78</v>
      </c>
    </row>
    <row r="518" spans="6:8" x14ac:dyDescent="0.3">
      <c r="F518" s="19">
        <v>513</v>
      </c>
      <c r="G518" s="22">
        <v>45418</v>
      </c>
      <c r="H518" s="30">
        <f t="shared" si="7"/>
        <v>79.78</v>
      </c>
    </row>
    <row r="519" spans="6:8" x14ac:dyDescent="0.3">
      <c r="F519" s="19">
        <v>514</v>
      </c>
      <c r="G519" s="22">
        <v>45417</v>
      </c>
      <c r="H519" s="30">
        <f t="shared" ref="H519:H582" si="8">_xlfn.XLOOKUP(G519,$B$6:$B$38,$C$6:$C$38,,-1)</f>
        <v>79.78</v>
      </c>
    </row>
    <row r="520" spans="6:8" x14ac:dyDescent="0.3">
      <c r="F520" s="19">
        <v>515</v>
      </c>
      <c r="G520" s="22">
        <v>45416</v>
      </c>
      <c r="H520" s="30">
        <f t="shared" si="8"/>
        <v>79.78</v>
      </c>
    </row>
    <row r="521" spans="6:8" x14ac:dyDescent="0.3">
      <c r="F521" s="19">
        <v>516</v>
      </c>
      <c r="G521" s="22">
        <v>45415</v>
      </c>
      <c r="H521" s="30">
        <f t="shared" si="8"/>
        <v>79.78</v>
      </c>
    </row>
    <row r="522" spans="6:8" x14ac:dyDescent="0.3">
      <c r="F522" s="19">
        <v>517</v>
      </c>
      <c r="G522" s="22">
        <v>45414</v>
      </c>
      <c r="H522" s="30">
        <f t="shared" si="8"/>
        <v>79.78</v>
      </c>
    </row>
    <row r="523" spans="6:8" x14ac:dyDescent="0.3">
      <c r="F523" s="19">
        <v>518</v>
      </c>
      <c r="G523" s="22">
        <v>45413</v>
      </c>
      <c r="H523" s="30">
        <f t="shared" si="8"/>
        <v>79.78</v>
      </c>
    </row>
    <row r="524" spans="6:8" x14ac:dyDescent="0.3">
      <c r="F524" s="19">
        <v>519</v>
      </c>
      <c r="G524" s="22">
        <v>45412</v>
      </c>
      <c r="H524" s="30">
        <f t="shared" si="8"/>
        <v>87.61</v>
      </c>
    </row>
    <row r="525" spans="6:8" x14ac:dyDescent="0.3">
      <c r="F525" s="19">
        <v>520</v>
      </c>
      <c r="G525" s="22">
        <v>45411</v>
      </c>
      <c r="H525" s="30">
        <f t="shared" si="8"/>
        <v>87.61</v>
      </c>
    </row>
    <row r="526" spans="6:8" x14ac:dyDescent="0.3">
      <c r="F526" s="19">
        <v>521</v>
      </c>
      <c r="G526" s="22">
        <v>45410</v>
      </c>
      <c r="H526" s="30">
        <f t="shared" si="8"/>
        <v>87.61</v>
      </c>
    </row>
    <row r="527" spans="6:8" x14ac:dyDescent="0.3">
      <c r="F527" s="19">
        <v>522</v>
      </c>
      <c r="G527" s="22">
        <v>45409</v>
      </c>
      <c r="H527" s="30">
        <f t="shared" si="8"/>
        <v>87.61</v>
      </c>
    </row>
    <row r="528" spans="6:8" x14ac:dyDescent="0.3">
      <c r="F528" s="19">
        <v>523</v>
      </c>
      <c r="G528" s="22">
        <v>45408</v>
      </c>
      <c r="H528" s="30">
        <f t="shared" si="8"/>
        <v>87.61</v>
      </c>
    </row>
    <row r="529" spans="6:8" x14ac:dyDescent="0.3">
      <c r="F529" s="19">
        <v>524</v>
      </c>
      <c r="G529" s="22">
        <v>45407</v>
      </c>
      <c r="H529" s="30">
        <f t="shared" si="8"/>
        <v>87.61</v>
      </c>
    </row>
    <row r="530" spans="6:8" x14ac:dyDescent="0.3">
      <c r="F530" s="19">
        <v>525</v>
      </c>
      <c r="G530" s="22">
        <v>45406</v>
      </c>
      <c r="H530" s="30">
        <f t="shared" si="8"/>
        <v>87.61</v>
      </c>
    </row>
    <row r="531" spans="6:8" x14ac:dyDescent="0.3">
      <c r="F531" s="19">
        <v>526</v>
      </c>
      <c r="G531" s="22">
        <v>45405</v>
      </c>
      <c r="H531" s="30">
        <f t="shared" si="8"/>
        <v>87.61</v>
      </c>
    </row>
    <row r="532" spans="6:8" x14ac:dyDescent="0.3">
      <c r="F532" s="19">
        <v>527</v>
      </c>
      <c r="G532" s="22">
        <v>45404</v>
      </c>
      <c r="H532" s="30">
        <f t="shared" si="8"/>
        <v>87.61</v>
      </c>
    </row>
    <row r="533" spans="6:8" x14ac:dyDescent="0.3">
      <c r="F533" s="19">
        <v>528</v>
      </c>
      <c r="G533" s="22">
        <v>45403</v>
      </c>
      <c r="H533" s="30">
        <f t="shared" si="8"/>
        <v>87.61</v>
      </c>
    </row>
    <row r="534" spans="6:8" x14ac:dyDescent="0.3">
      <c r="F534" s="19">
        <v>529</v>
      </c>
      <c r="G534" s="22">
        <v>45402</v>
      </c>
      <c r="H534" s="30">
        <f t="shared" si="8"/>
        <v>87.61</v>
      </c>
    </row>
    <row r="535" spans="6:8" x14ac:dyDescent="0.3">
      <c r="F535" s="19">
        <v>530</v>
      </c>
      <c r="G535" s="22">
        <v>45401</v>
      </c>
      <c r="H535" s="30">
        <f t="shared" si="8"/>
        <v>87.61</v>
      </c>
    </row>
    <row r="536" spans="6:8" x14ac:dyDescent="0.3">
      <c r="F536" s="19">
        <v>531</v>
      </c>
      <c r="G536" s="22">
        <v>45400</v>
      </c>
      <c r="H536" s="30">
        <f t="shared" si="8"/>
        <v>87.61</v>
      </c>
    </row>
    <row r="537" spans="6:8" x14ac:dyDescent="0.3">
      <c r="F537" s="19">
        <v>532</v>
      </c>
      <c r="G537" s="22">
        <v>45399</v>
      </c>
      <c r="H537" s="30">
        <f t="shared" si="8"/>
        <v>87.61</v>
      </c>
    </row>
    <row r="538" spans="6:8" x14ac:dyDescent="0.3">
      <c r="F538" s="19">
        <v>533</v>
      </c>
      <c r="G538" s="22">
        <v>45398</v>
      </c>
      <c r="H538" s="30">
        <f t="shared" si="8"/>
        <v>87.61</v>
      </c>
    </row>
    <row r="539" spans="6:8" x14ac:dyDescent="0.3">
      <c r="F539" s="19">
        <v>534</v>
      </c>
      <c r="G539" s="22">
        <v>45397</v>
      </c>
      <c r="H539" s="30">
        <f t="shared" si="8"/>
        <v>87.61</v>
      </c>
    </row>
    <row r="540" spans="6:8" x14ac:dyDescent="0.3">
      <c r="F540" s="19">
        <v>535</v>
      </c>
      <c r="G540" s="22">
        <v>45396</v>
      </c>
      <c r="H540" s="30">
        <f t="shared" si="8"/>
        <v>87.61</v>
      </c>
    </row>
    <row r="541" spans="6:8" x14ac:dyDescent="0.3">
      <c r="F541" s="19">
        <v>536</v>
      </c>
      <c r="G541" s="22">
        <v>45395</v>
      </c>
      <c r="H541" s="30">
        <f t="shared" si="8"/>
        <v>87.61</v>
      </c>
    </row>
    <row r="542" spans="6:8" x14ac:dyDescent="0.3">
      <c r="F542" s="19">
        <v>537</v>
      </c>
      <c r="G542" s="22">
        <v>45394</v>
      </c>
      <c r="H542" s="30">
        <f t="shared" si="8"/>
        <v>87.61</v>
      </c>
    </row>
    <row r="543" spans="6:8" x14ac:dyDescent="0.3">
      <c r="F543" s="19">
        <v>538</v>
      </c>
      <c r="G543" s="22">
        <v>45393</v>
      </c>
      <c r="H543" s="30">
        <f t="shared" si="8"/>
        <v>87.61</v>
      </c>
    </row>
    <row r="544" spans="6:8" x14ac:dyDescent="0.3">
      <c r="F544" s="19">
        <v>539</v>
      </c>
      <c r="G544" s="22">
        <v>45392</v>
      </c>
      <c r="H544" s="30">
        <f t="shared" si="8"/>
        <v>87.61</v>
      </c>
    </row>
    <row r="545" spans="6:8" x14ac:dyDescent="0.3">
      <c r="F545" s="19">
        <v>540</v>
      </c>
      <c r="G545" s="22">
        <v>45391</v>
      </c>
      <c r="H545" s="30">
        <f t="shared" si="8"/>
        <v>87.61</v>
      </c>
    </row>
    <row r="546" spans="6:8" x14ac:dyDescent="0.3">
      <c r="F546" s="19">
        <v>541</v>
      </c>
      <c r="G546" s="22">
        <v>45390</v>
      </c>
      <c r="H546" s="30">
        <f t="shared" si="8"/>
        <v>87.61</v>
      </c>
    </row>
    <row r="547" spans="6:8" x14ac:dyDescent="0.3">
      <c r="F547" s="19">
        <v>542</v>
      </c>
      <c r="G547" s="22">
        <v>45389</v>
      </c>
      <c r="H547" s="30">
        <f t="shared" si="8"/>
        <v>87.61</v>
      </c>
    </row>
    <row r="548" spans="6:8" x14ac:dyDescent="0.3">
      <c r="F548" s="19">
        <v>543</v>
      </c>
      <c r="G548" s="22">
        <v>45388</v>
      </c>
      <c r="H548" s="30">
        <f t="shared" si="8"/>
        <v>87.61</v>
      </c>
    </row>
    <row r="549" spans="6:8" x14ac:dyDescent="0.3">
      <c r="F549" s="19">
        <v>544</v>
      </c>
      <c r="G549" s="22">
        <v>45387</v>
      </c>
      <c r="H549" s="30">
        <f t="shared" si="8"/>
        <v>87.61</v>
      </c>
    </row>
    <row r="550" spans="6:8" x14ac:dyDescent="0.3">
      <c r="F550" s="19">
        <v>545</v>
      </c>
      <c r="G550" s="22">
        <v>45386</v>
      </c>
      <c r="H550" s="30">
        <f t="shared" si="8"/>
        <v>87.61</v>
      </c>
    </row>
    <row r="551" spans="6:8" x14ac:dyDescent="0.3">
      <c r="F551" s="19">
        <v>546</v>
      </c>
      <c r="G551" s="22">
        <v>45385</v>
      </c>
      <c r="H551" s="30">
        <f t="shared" si="8"/>
        <v>87.61</v>
      </c>
    </row>
    <row r="552" spans="6:8" x14ac:dyDescent="0.3">
      <c r="F552" s="19">
        <v>547</v>
      </c>
      <c r="G552" s="22">
        <v>45384</v>
      </c>
      <c r="H552" s="30">
        <f t="shared" si="8"/>
        <v>87.61</v>
      </c>
    </row>
    <row r="553" spans="6:8" x14ac:dyDescent="0.3">
      <c r="F553" s="19">
        <v>548</v>
      </c>
      <c r="G553" s="22">
        <v>45383</v>
      </c>
      <c r="H553" s="30">
        <f t="shared" si="8"/>
        <v>87.61</v>
      </c>
    </row>
    <row r="554" spans="6:8" x14ac:dyDescent="0.3">
      <c r="F554" s="19">
        <v>549</v>
      </c>
      <c r="G554" s="22">
        <v>45382</v>
      </c>
      <c r="H554" s="30">
        <f t="shared" si="8"/>
        <v>83.78</v>
      </c>
    </row>
    <row r="555" spans="6:8" x14ac:dyDescent="0.3">
      <c r="F555" s="19">
        <v>550</v>
      </c>
      <c r="G555" s="22">
        <v>45381</v>
      </c>
      <c r="H555" s="30">
        <f t="shared" si="8"/>
        <v>83.78</v>
      </c>
    </row>
    <row r="556" spans="6:8" x14ac:dyDescent="0.3">
      <c r="F556" s="19">
        <v>551</v>
      </c>
      <c r="G556" s="22">
        <v>45380</v>
      </c>
      <c r="H556" s="30">
        <f t="shared" si="8"/>
        <v>83.78</v>
      </c>
    </row>
    <row r="557" spans="6:8" x14ac:dyDescent="0.3">
      <c r="F557" s="19">
        <v>552</v>
      </c>
      <c r="G557" s="22">
        <v>45379</v>
      </c>
      <c r="H557" s="30">
        <f t="shared" si="8"/>
        <v>83.78</v>
      </c>
    </row>
    <row r="558" spans="6:8" x14ac:dyDescent="0.3">
      <c r="F558" s="19">
        <v>553</v>
      </c>
      <c r="G558" s="22">
        <v>45378</v>
      </c>
      <c r="H558" s="30">
        <f t="shared" si="8"/>
        <v>83.78</v>
      </c>
    </row>
    <row r="559" spans="6:8" x14ac:dyDescent="0.3">
      <c r="F559" s="19">
        <v>554</v>
      </c>
      <c r="G559" s="22">
        <v>45377</v>
      </c>
      <c r="H559" s="30">
        <f t="shared" si="8"/>
        <v>83.78</v>
      </c>
    </row>
    <row r="560" spans="6:8" x14ac:dyDescent="0.3">
      <c r="F560" s="19">
        <v>555</v>
      </c>
      <c r="G560" s="22">
        <v>45376</v>
      </c>
      <c r="H560" s="30">
        <f t="shared" si="8"/>
        <v>83.78</v>
      </c>
    </row>
    <row r="561" spans="6:8" x14ac:dyDescent="0.3">
      <c r="F561" s="19">
        <v>556</v>
      </c>
      <c r="G561" s="22">
        <v>45375</v>
      </c>
      <c r="H561" s="30">
        <f t="shared" si="8"/>
        <v>83.78</v>
      </c>
    </row>
    <row r="562" spans="6:8" x14ac:dyDescent="0.3">
      <c r="F562" s="19">
        <v>557</v>
      </c>
      <c r="G562" s="22">
        <v>45374</v>
      </c>
      <c r="H562" s="30">
        <f t="shared" si="8"/>
        <v>83.78</v>
      </c>
    </row>
    <row r="563" spans="6:8" x14ac:dyDescent="0.3">
      <c r="F563" s="19">
        <v>558</v>
      </c>
      <c r="G563" s="22">
        <v>45373</v>
      </c>
      <c r="H563" s="30">
        <f t="shared" si="8"/>
        <v>83.78</v>
      </c>
    </row>
    <row r="564" spans="6:8" x14ac:dyDescent="0.3">
      <c r="F564" s="19">
        <v>559</v>
      </c>
      <c r="G564" s="22">
        <v>45372</v>
      </c>
      <c r="H564" s="30">
        <f t="shared" si="8"/>
        <v>83.78</v>
      </c>
    </row>
    <row r="565" spans="6:8" x14ac:dyDescent="0.3">
      <c r="F565" s="19">
        <v>560</v>
      </c>
      <c r="G565" s="22">
        <v>45371</v>
      </c>
      <c r="H565" s="30">
        <f t="shared" si="8"/>
        <v>83.78</v>
      </c>
    </row>
    <row r="566" spans="6:8" x14ac:dyDescent="0.3">
      <c r="F566" s="19">
        <v>561</v>
      </c>
      <c r="G566" s="22">
        <v>45370</v>
      </c>
      <c r="H566" s="30">
        <f t="shared" si="8"/>
        <v>83.78</v>
      </c>
    </row>
    <row r="567" spans="6:8" x14ac:dyDescent="0.3">
      <c r="F567" s="19">
        <v>562</v>
      </c>
      <c r="G567" s="22">
        <v>45369</v>
      </c>
      <c r="H567" s="30">
        <f t="shared" si="8"/>
        <v>83.78</v>
      </c>
    </row>
    <row r="568" spans="6:8" x14ac:dyDescent="0.3">
      <c r="F568" s="19">
        <v>563</v>
      </c>
      <c r="G568" s="22">
        <v>45368</v>
      </c>
      <c r="H568" s="30">
        <f t="shared" si="8"/>
        <v>83.78</v>
      </c>
    </row>
    <row r="569" spans="6:8" x14ac:dyDescent="0.3">
      <c r="F569" s="19">
        <v>564</v>
      </c>
      <c r="G569" s="22">
        <v>45367</v>
      </c>
      <c r="H569" s="30">
        <f t="shared" si="8"/>
        <v>83.78</v>
      </c>
    </row>
    <row r="570" spans="6:8" x14ac:dyDescent="0.3">
      <c r="F570" s="19">
        <v>565</v>
      </c>
      <c r="G570" s="22">
        <v>45366</v>
      </c>
      <c r="H570" s="30">
        <f t="shared" si="8"/>
        <v>83.78</v>
      </c>
    </row>
    <row r="571" spans="6:8" x14ac:dyDescent="0.3">
      <c r="F571" s="19">
        <v>566</v>
      </c>
      <c r="G571" s="22">
        <v>45365</v>
      </c>
      <c r="H571" s="30">
        <f t="shared" si="8"/>
        <v>83.78</v>
      </c>
    </row>
    <row r="572" spans="6:8" x14ac:dyDescent="0.3">
      <c r="F572" s="19">
        <v>567</v>
      </c>
      <c r="G572" s="22">
        <v>45364</v>
      </c>
      <c r="H572" s="30">
        <f t="shared" si="8"/>
        <v>83.78</v>
      </c>
    </row>
    <row r="573" spans="6:8" x14ac:dyDescent="0.3">
      <c r="F573" s="19">
        <v>568</v>
      </c>
      <c r="G573" s="22">
        <v>45363</v>
      </c>
      <c r="H573" s="30">
        <f t="shared" si="8"/>
        <v>83.78</v>
      </c>
    </row>
    <row r="574" spans="6:8" x14ac:dyDescent="0.3">
      <c r="F574" s="19">
        <v>569</v>
      </c>
      <c r="G574" s="22">
        <v>45362</v>
      </c>
      <c r="H574" s="30">
        <f t="shared" si="8"/>
        <v>83.78</v>
      </c>
    </row>
    <row r="575" spans="6:8" x14ac:dyDescent="0.3">
      <c r="F575" s="19">
        <v>570</v>
      </c>
      <c r="G575" s="22">
        <v>45361</v>
      </c>
      <c r="H575" s="30">
        <f t="shared" si="8"/>
        <v>83.78</v>
      </c>
    </row>
    <row r="576" spans="6:8" x14ac:dyDescent="0.3">
      <c r="F576" s="19">
        <v>571</v>
      </c>
      <c r="G576" s="22">
        <v>45360</v>
      </c>
      <c r="H576" s="30">
        <f t="shared" si="8"/>
        <v>83.78</v>
      </c>
    </row>
    <row r="577" spans="6:8" x14ac:dyDescent="0.3">
      <c r="F577" s="19">
        <v>572</v>
      </c>
      <c r="G577" s="22">
        <v>45359</v>
      </c>
      <c r="H577" s="30">
        <f t="shared" si="8"/>
        <v>83.78</v>
      </c>
    </row>
    <row r="578" spans="6:8" x14ac:dyDescent="0.3">
      <c r="F578" s="19">
        <v>573</v>
      </c>
      <c r="G578" s="22">
        <v>45358</v>
      </c>
      <c r="H578" s="30">
        <f t="shared" si="8"/>
        <v>83.78</v>
      </c>
    </row>
    <row r="579" spans="6:8" x14ac:dyDescent="0.3">
      <c r="F579" s="19">
        <v>574</v>
      </c>
      <c r="G579" s="22">
        <v>45357</v>
      </c>
      <c r="H579" s="30">
        <f t="shared" si="8"/>
        <v>83.78</v>
      </c>
    </row>
    <row r="580" spans="6:8" x14ac:dyDescent="0.3">
      <c r="F580" s="19">
        <v>575</v>
      </c>
      <c r="G580" s="22">
        <v>45356</v>
      </c>
      <c r="H580" s="30">
        <f t="shared" si="8"/>
        <v>83.78</v>
      </c>
    </row>
    <row r="581" spans="6:8" x14ac:dyDescent="0.3">
      <c r="F581" s="19">
        <v>576</v>
      </c>
      <c r="G581" s="22">
        <v>45355</v>
      </c>
      <c r="H581" s="30">
        <f t="shared" si="8"/>
        <v>83.78</v>
      </c>
    </row>
    <row r="582" spans="6:8" x14ac:dyDescent="0.3">
      <c r="F582" s="19">
        <v>577</v>
      </c>
      <c r="G582" s="22">
        <v>45354</v>
      </c>
      <c r="H582" s="30">
        <f t="shared" si="8"/>
        <v>83.78</v>
      </c>
    </row>
    <row r="583" spans="6:8" x14ac:dyDescent="0.3">
      <c r="F583" s="19">
        <v>578</v>
      </c>
      <c r="G583" s="22">
        <v>45353</v>
      </c>
      <c r="H583" s="30">
        <f t="shared" ref="H583:H646" si="9">_xlfn.XLOOKUP(G583,$B$6:$B$38,$C$6:$C$38,,-1)</f>
        <v>83.78</v>
      </c>
    </row>
    <row r="584" spans="6:8" x14ac:dyDescent="0.3">
      <c r="F584" s="19">
        <v>579</v>
      </c>
      <c r="G584" s="22">
        <v>45352</v>
      </c>
      <c r="H584" s="30">
        <f t="shared" si="9"/>
        <v>83.78</v>
      </c>
    </row>
    <row r="585" spans="6:8" x14ac:dyDescent="0.3">
      <c r="F585" s="19">
        <v>580</v>
      </c>
      <c r="G585" s="22">
        <v>45351</v>
      </c>
      <c r="H585" s="30">
        <f t="shared" si="9"/>
        <v>80.09</v>
      </c>
    </row>
    <row r="586" spans="6:8" x14ac:dyDescent="0.3">
      <c r="F586" s="19">
        <v>581</v>
      </c>
      <c r="G586" s="22">
        <v>45350</v>
      </c>
      <c r="H586" s="30">
        <f t="shared" si="9"/>
        <v>80.09</v>
      </c>
    </row>
    <row r="587" spans="6:8" x14ac:dyDescent="0.3">
      <c r="F587" s="19">
        <v>582</v>
      </c>
      <c r="G587" s="22">
        <v>45349</v>
      </c>
      <c r="H587" s="30">
        <f t="shared" si="9"/>
        <v>80.09</v>
      </c>
    </row>
    <row r="588" spans="6:8" x14ac:dyDescent="0.3">
      <c r="F588" s="19">
        <v>583</v>
      </c>
      <c r="G588" s="22">
        <v>45348</v>
      </c>
      <c r="H588" s="30">
        <f t="shared" si="9"/>
        <v>80.09</v>
      </c>
    </row>
    <row r="589" spans="6:8" x14ac:dyDescent="0.3">
      <c r="F589" s="19">
        <v>584</v>
      </c>
      <c r="G589" s="22">
        <v>45347</v>
      </c>
      <c r="H589" s="30">
        <f t="shared" si="9"/>
        <v>80.09</v>
      </c>
    </row>
    <row r="590" spans="6:8" x14ac:dyDescent="0.3">
      <c r="F590" s="19">
        <v>585</v>
      </c>
      <c r="G590" s="22">
        <v>45346</v>
      </c>
      <c r="H590" s="30">
        <f t="shared" si="9"/>
        <v>80.09</v>
      </c>
    </row>
    <row r="591" spans="6:8" x14ac:dyDescent="0.3">
      <c r="F591" s="19">
        <v>586</v>
      </c>
      <c r="G591" s="22">
        <v>45345</v>
      </c>
      <c r="H591" s="30">
        <f t="shared" si="9"/>
        <v>80.09</v>
      </c>
    </row>
    <row r="592" spans="6:8" x14ac:dyDescent="0.3">
      <c r="F592" s="19">
        <v>587</v>
      </c>
      <c r="G592" s="22">
        <v>45344</v>
      </c>
      <c r="H592" s="30">
        <f t="shared" si="9"/>
        <v>80.09</v>
      </c>
    </row>
    <row r="593" spans="6:8" x14ac:dyDescent="0.3">
      <c r="F593" s="19">
        <v>588</v>
      </c>
      <c r="G593" s="22">
        <v>45343</v>
      </c>
      <c r="H593" s="30">
        <f t="shared" si="9"/>
        <v>80.09</v>
      </c>
    </row>
    <row r="594" spans="6:8" x14ac:dyDescent="0.3">
      <c r="F594" s="19">
        <v>589</v>
      </c>
      <c r="G594" s="22">
        <v>45342</v>
      </c>
      <c r="H594" s="30">
        <f t="shared" si="9"/>
        <v>80.09</v>
      </c>
    </row>
    <row r="595" spans="6:8" x14ac:dyDescent="0.3">
      <c r="F595" s="19">
        <v>590</v>
      </c>
      <c r="G595" s="22">
        <v>45341</v>
      </c>
      <c r="H595" s="30">
        <f t="shared" si="9"/>
        <v>80.09</v>
      </c>
    </row>
    <row r="596" spans="6:8" x14ac:dyDescent="0.3">
      <c r="F596" s="19">
        <v>591</v>
      </c>
      <c r="G596" s="22">
        <v>45340</v>
      </c>
      <c r="H596" s="30">
        <f t="shared" si="9"/>
        <v>80.09</v>
      </c>
    </row>
    <row r="597" spans="6:8" x14ac:dyDescent="0.3">
      <c r="F597" s="19">
        <v>592</v>
      </c>
      <c r="G597" s="22">
        <v>45339</v>
      </c>
      <c r="H597" s="30">
        <f t="shared" si="9"/>
        <v>80.09</v>
      </c>
    </row>
    <row r="598" spans="6:8" x14ac:dyDescent="0.3">
      <c r="F598" s="19">
        <v>593</v>
      </c>
      <c r="G598" s="22">
        <v>45338</v>
      </c>
      <c r="H598" s="30">
        <f t="shared" si="9"/>
        <v>80.09</v>
      </c>
    </row>
    <row r="599" spans="6:8" x14ac:dyDescent="0.3">
      <c r="F599" s="19">
        <v>594</v>
      </c>
      <c r="G599" s="22">
        <v>45337</v>
      </c>
      <c r="H599" s="30">
        <f t="shared" si="9"/>
        <v>80.09</v>
      </c>
    </row>
    <row r="600" spans="6:8" x14ac:dyDescent="0.3">
      <c r="F600" s="19">
        <v>595</v>
      </c>
      <c r="G600" s="22">
        <v>45336</v>
      </c>
      <c r="H600" s="30">
        <f t="shared" si="9"/>
        <v>80.09</v>
      </c>
    </row>
    <row r="601" spans="6:8" x14ac:dyDescent="0.3">
      <c r="F601" s="19">
        <v>596</v>
      </c>
      <c r="G601" s="22">
        <v>45335</v>
      </c>
      <c r="H601" s="30">
        <f t="shared" si="9"/>
        <v>80.09</v>
      </c>
    </row>
    <row r="602" spans="6:8" x14ac:dyDescent="0.3">
      <c r="F602" s="19">
        <v>597</v>
      </c>
      <c r="G602" s="22">
        <v>45334</v>
      </c>
      <c r="H602" s="30">
        <f t="shared" si="9"/>
        <v>80.09</v>
      </c>
    </row>
    <row r="603" spans="6:8" x14ac:dyDescent="0.3">
      <c r="F603" s="19">
        <v>598</v>
      </c>
      <c r="G603" s="22">
        <v>45333</v>
      </c>
      <c r="H603" s="30">
        <f t="shared" si="9"/>
        <v>80.09</v>
      </c>
    </row>
    <row r="604" spans="6:8" x14ac:dyDescent="0.3">
      <c r="F604" s="19">
        <v>599</v>
      </c>
      <c r="G604" s="22">
        <v>45332</v>
      </c>
      <c r="H604" s="30">
        <f t="shared" si="9"/>
        <v>80.09</v>
      </c>
    </row>
    <row r="605" spans="6:8" x14ac:dyDescent="0.3">
      <c r="F605" s="19">
        <v>600</v>
      </c>
      <c r="G605" s="22">
        <v>45331</v>
      </c>
      <c r="H605" s="30">
        <f t="shared" si="9"/>
        <v>80.09</v>
      </c>
    </row>
    <row r="606" spans="6:8" x14ac:dyDescent="0.3">
      <c r="F606" s="19">
        <v>601</v>
      </c>
      <c r="G606" s="22">
        <v>45330</v>
      </c>
      <c r="H606" s="30">
        <f t="shared" si="9"/>
        <v>80.09</v>
      </c>
    </row>
    <row r="607" spans="6:8" x14ac:dyDescent="0.3">
      <c r="F607" s="19">
        <v>602</v>
      </c>
      <c r="G607" s="22">
        <v>45329</v>
      </c>
      <c r="H607" s="30">
        <f t="shared" si="9"/>
        <v>80.09</v>
      </c>
    </row>
    <row r="608" spans="6:8" x14ac:dyDescent="0.3">
      <c r="F608" s="19">
        <v>603</v>
      </c>
      <c r="G608" s="22">
        <v>45328</v>
      </c>
      <c r="H608" s="30">
        <f t="shared" si="9"/>
        <v>80.09</v>
      </c>
    </row>
    <row r="609" spans="6:8" x14ac:dyDescent="0.3">
      <c r="F609" s="19">
        <v>604</v>
      </c>
      <c r="G609" s="22">
        <v>45327</v>
      </c>
      <c r="H609" s="30">
        <f t="shared" si="9"/>
        <v>80.09</v>
      </c>
    </row>
    <row r="610" spans="6:8" x14ac:dyDescent="0.3">
      <c r="F610" s="19">
        <v>605</v>
      </c>
      <c r="G610" s="22">
        <v>45326</v>
      </c>
      <c r="H610" s="30">
        <f t="shared" si="9"/>
        <v>80.09</v>
      </c>
    </row>
    <row r="611" spans="6:8" x14ac:dyDescent="0.3">
      <c r="F611" s="19">
        <v>606</v>
      </c>
      <c r="G611" s="22">
        <v>45325</v>
      </c>
      <c r="H611" s="30">
        <f t="shared" si="9"/>
        <v>80.09</v>
      </c>
    </row>
    <row r="612" spans="6:8" x14ac:dyDescent="0.3">
      <c r="F612" s="19">
        <v>607</v>
      </c>
      <c r="G612" s="22">
        <v>45324</v>
      </c>
      <c r="H612" s="30">
        <f t="shared" si="9"/>
        <v>80.09</v>
      </c>
    </row>
    <row r="613" spans="6:8" x14ac:dyDescent="0.3">
      <c r="F613" s="19">
        <v>608</v>
      </c>
      <c r="G613" s="22">
        <v>45323</v>
      </c>
      <c r="H613" s="30">
        <f t="shared" si="9"/>
        <v>80.09</v>
      </c>
    </row>
    <row r="614" spans="6:8" x14ac:dyDescent="0.3">
      <c r="F614" s="19">
        <v>609</v>
      </c>
      <c r="G614" s="22">
        <v>45322</v>
      </c>
      <c r="H614" s="30">
        <f t="shared" si="9"/>
        <v>71.11</v>
      </c>
    </row>
    <row r="615" spans="6:8" x14ac:dyDescent="0.3">
      <c r="F615" s="19">
        <v>610</v>
      </c>
      <c r="G615" s="22">
        <v>45321</v>
      </c>
      <c r="H615" s="30">
        <f t="shared" si="9"/>
        <v>71.11</v>
      </c>
    </row>
    <row r="616" spans="6:8" x14ac:dyDescent="0.3">
      <c r="F616" s="19">
        <v>611</v>
      </c>
      <c r="G616" s="22">
        <v>45320</v>
      </c>
      <c r="H616" s="30">
        <f t="shared" si="9"/>
        <v>71.11</v>
      </c>
    </row>
    <row r="617" spans="6:8" x14ac:dyDescent="0.3">
      <c r="F617" s="19">
        <v>612</v>
      </c>
      <c r="G617" s="22">
        <v>45319</v>
      </c>
      <c r="H617" s="30">
        <f t="shared" si="9"/>
        <v>71.11</v>
      </c>
    </row>
    <row r="618" spans="6:8" x14ac:dyDescent="0.3">
      <c r="F618" s="19">
        <v>613</v>
      </c>
      <c r="G618" s="22">
        <v>45318</v>
      </c>
      <c r="H618" s="30">
        <f t="shared" si="9"/>
        <v>71.11</v>
      </c>
    </row>
    <row r="619" spans="6:8" x14ac:dyDescent="0.3">
      <c r="F619" s="19">
        <v>614</v>
      </c>
      <c r="G619" s="22">
        <v>45317</v>
      </c>
      <c r="H619" s="30">
        <f t="shared" si="9"/>
        <v>71.11</v>
      </c>
    </row>
    <row r="620" spans="6:8" x14ac:dyDescent="0.3">
      <c r="F620" s="19">
        <v>615</v>
      </c>
      <c r="G620" s="22">
        <v>45316</v>
      </c>
      <c r="H620" s="30">
        <f t="shared" si="9"/>
        <v>71.11</v>
      </c>
    </row>
    <row r="621" spans="6:8" x14ac:dyDescent="0.3">
      <c r="F621" s="19">
        <v>616</v>
      </c>
      <c r="G621" s="22">
        <v>45315</v>
      </c>
      <c r="H621" s="30">
        <f t="shared" si="9"/>
        <v>71.11</v>
      </c>
    </row>
    <row r="622" spans="6:8" x14ac:dyDescent="0.3">
      <c r="F622" s="19">
        <v>617</v>
      </c>
      <c r="G622" s="22">
        <v>45314</v>
      </c>
      <c r="H622" s="30">
        <f t="shared" si="9"/>
        <v>71.11</v>
      </c>
    </row>
    <row r="623" spans="6:8" x14ac:dyDescent="0.3">
      <c r="F623" s="19">
        <v>618</v>
      </c>
      <c r="G623" s="22">
        <v>45313</v>
      </c>
      <c r="H623" s="30">
        <f t="shared" si="9"/>
        <v>71.11</v>
      </c>
    </row>
    <row r="624" spans="6:8" x14ac:dyDescent="0.3">
      <c r="F624" s="19">
        <v>619</v>
      </c>
      <c r="G624" s="22">
        <v>45312</v>
      </c>
      <c r="H624" s="30">
        <f t="shared" si="9"/>
        <v>71.11</v>
      </c>
    </row>
    <row r="625" spans="6:8" x14ac:dyDescent="0.3">
      <c r="F625" s="19">
        <v>620</v>
      </c>
      <c r="G625" s="22">
        <v>45311</v>
      </c>
      <c r="H625" s="30">
        <f t="shared" si="9"/>
        <v>71.11</v>
      </c>
    </row>
    <row r="626" spans="6:8" x14ac:dyDescent="0.3">
      <c r="F626" s="19">
        <v>621</v>
      </c>
      <c r="G626" s="22">
        <v>45310</v>
      </c>
      <c r="H626" s="30">
        <f t="shared" si="9"/>
        <v>71.11</v>
      </c>
    </row>
    <row r="627" spans="6:8" x14ac:dyDescent="0.3">
      <c r="F627" s="19">
        <v>622</v>
      </c>
      <c r="G627" s="22">
        <v>45309</v>
      </c>
      <c r="H627" s="30">
        <f t="shared" si="9"/>
        <v>71.11</v>
      </c>
    </row>
    <row r="628" spans="6:8" x14ac:dyDescent="0.3">
      <c r="F628" s="19">
        <v>623</v>
      </c>
      <c r="G628" s="22">
        <v>45308</v>
      </c>
      <c r="H628" s="30">
        <f t="shared" si="9"/>
        <v>71.11</v>
      </c>
    </row>
    <row r="629" spans="6:8" x14ac:dyDescent="0.3">
      <c r="F629" s="19">
        <v>624</v>
      </c>
      <c r="G629" s="22">
        <v>45307</v>
      </c>
      <c r="H629" s="30">
        <f t="shared" si="9"/>
        <v>71.11</v>
      </c>
    </row>
    <row r="630" spans="6:8" x14ac:dyDescent="0.3">
      <c r="F630" s="19">
        <v>625</v>
      </c>
      <c r="G630" s="22">
        <v>45306</v>
      </c>
      <c r="H630" s="30">
        <f t="shared" si="9"/>
        <v>71.11</v>
      </c>
    </row>
    <row r="631" spans="6:8" x14ac:dyDescent="0.3">
      <c r="F631" s="19">
        <v>626</v>
      </c>
      <c r="G631" s="22">
        <v>45305</v>
      </c>
      <c r="H631" s="30">
        <f t="shared" si="9"/>
        <v>71.11</v>
      </c>
    </row>
    <row r="632" spans="6:8" x14ac:dyDescent="0.3">
      <c r="F632" s="19">
        <v>627</v>
      </c>
      <c r="G632" s="22">
        <v>45304</v>
      </c>
      <c r="H632" s="30">
        <f t="shared" si="9"/>
        <v>71.11</v>
      </c>
    </row>
    <row r="633" spans="6:8" x14ac:dyDescent="0.3">
      <c r="F633" s="19">
        <v>628</v>
      </c>
      <c r="G633" s="22">
        <v>45303</v>
      </c>
      <c r="H633" s="30">
        <f t="shared" si="9"/>
        <v>71.11</v>
      </c>
    </row>
    <row r="634" spans="6:8" x14ac:dyDescent="0.3">
      <c r="F634" s="19">
        <v>629</v>
      </c>
      <c r="G634" s="22">
        <v>45302</v>
      </c>
      <c r="H634" s="30">
        <f t="shared" si="9"/>
        <v>71.11</v>
      </c>
    </row>
    <row r="635" spans="6:8" x14ac:dyDescent="0.3">
      <c r="F635" s="19">
        <v>630</v>
      </c>
      <c r="G635" s="22">
        <v>45301</v>
      </c>
      <c r="H635" s="30">
        <f t="shared" si="9"/>
        <v>71.11</v>
      </c>
    </row>
    <row r="636" spans="6:8" x14ac:dyDescent="0.3">
      <c r="F636" s="19">
        <v>631</v>
      </c>
      <c r="G636" s="22">
        <v>45300</v>
      </c>
      <c r="H636" s="30">
        <f t="shared" si="9"/>
        <v>71.11</v>
      </c>
    </row>
    <row r="637" spans="6:8" x14ac:dyDescent="0.3">
      <c r="F637" s="19">
        <v>632</v>
      </c>
      <c r="G637" s="22">
        <v>45299</v>
      </c>
      <c r="H637" s="30">
        <f t="shared" si="9"/>
        <v>71.11</v>
      </c>
    </row>
    <row r="638" spans="6:8" x14ac:dyDescent="0.3">
      <c r="F638" s="19">
        <v>633</v>
      </c>
      <c r="G638" s="22">
        <v>45298</v>
      </c>
      <c r="H638" s="30">
        <f t="shared" si="9"/>
        <v>71.11</v>
      </c>
    </row>
    <row r="639" spans="6:8" x14ac:dyDescent="0.3">
      <c r="F639" s="19">
        <v>634</v>
      </c>
      <c r="G639" s="22">
        <v>45297</v>
      </c>
      <c r="H639" s="30">
        <f t="shared" si="9"/>
        <v>71.11</v>
      </c>
    </row>
    <row r="640" spans="6:8" x14ac:dyDescent="0.3">
      <c r="F640" s="19">
        <v>635</v>
      </c>
      <c r="G640" s="22">
        <v>45296</v>
      </c>
      <c r="H640" s="30">
        <f t="shared" si="9"/>
        <v>71.11</v>
      </c>
    </row>
    <row r="641" spans="6:8" x14ac:dyDescent="0.3">
      <c r="F641" s="19">
        <v>636</v>
      </c>
      <c r="G641" s="22">
        <v>45295</v>
      </c>
      <c r="H641" s="30">
        <f t="shared" si="9"/>
        <v>71.11</v>
      </c>
    </row>
    <row r="642" spans="6:8" x14ac:dyDescent="0.3">
      <c r="F642" s="19">
        <v>637</v>
      </c>
      <c r="G642" s="22">
        <v>45294</v>
      </c>
      <c r="H642" s="30">
        <f t="shared" si="9"/>
        <v>71.11</v>
      </c>
    </row>
    <row r="643" spans="6:8" x14ac:dyDescent="0.3">
      <c r="F643" s="19">
        <v>638</v>
      </c>
      <c r="G643" s="22">
        <v>45293</v>
      </c>
      <c r="H643" s="30">
        <f t="shared" si="9"/>
        <v>71.11</v>
      </c>
    </row>
    <row r="644" spans="6:8" x14ac:dyDescent="0.3">
      <c r="F644" s="19">
        <v>639</v>
      </c>
      <c r="G644" s="22">
        <v>45292</v>
      </c>
      <c r="H644" s="30">
        <f t="shared" si="9"/>
        <v>71.11</v>
      </c>
    </row>
    <row r="645" spans="6:8" x14ac:dyDescent="0.3">
      <c r="F645" s="19">
        <v>640</v>
      </c>
      <c r="G645" s="22">
        <v>45291</v>
      </c>
      <c r="H645" s="30">
        <f t="shared" si="9"/>
        <v>75.510000000000005</v>
      </c>
    </row>
    <row r="646" spans="6:8" x14ac:dyDescent="0.3">
      <c r="F646" s="19">
        <v>641</v>
      </c>
      <c r="G646" s="22">
        <v>45290</v>
      </c>
      <c r="H646" s="30">
        <f t="shared" si="9"/>
        <v>75.510000000000005</v>
      </c>
    </row>
    <row r="647" spans="6:8" x14ac:dyDescent="0.3">
      <c r="F647" s="19">
        <v>642</v>
      </c>
      <c r="G647" s="22">
        <v>45289</v>
      </c>
      <c r="H647" s="30">
        <f t="shared" ref="H647:H710" si="10">_xlfn.XLOOKUP(G647,$B$6:$B$38,$C$6:$C$38,,-1)</f>
        <v>75.510000000000005</v>
      </c>
    </row>
    <row r="648" spans="6:8" x14ac:dyDescent="0.3">
      <c r="F648" s="19">
        <v>643</v>
      </c>
      <c r="G648" s="22">
        <v>45288</v>
      </c>
      <c r="H648" s="30">
        <f t="shared" si="10"/>
        <v>75.510000000000005</v>
      </c>
    </row>
    <row r="649" spans="6:8" x14ac:dyDescent="0.3">
      <c r="F649" s="19">
        <v>644</v>
      </c>
      <c r="G649" s="22">
        <v>45287</v>
      </c>
      <c r="H649" s="30">
        <f t="shared" si="10"/>
        <v>75.510000000000005</v>
      </c>
    </row>
    <row r="650" spans="6:8" x14ac:dyDescent="0.3">
      <c r="F650" s="19">
        <v>645</v>
      </c>
      <c r="G650" s="22">
        <v>45286</v>
      </c>
      <c r="H650" s="30">
        <f t="shared" si="10"/>
        <v>75.510000000000005</v>
      </c>
    </row>
    <row r="651" spans="6:8" x14ac:dyDescent="0.3">
      <c r="F651" s="19">
        <v>646</v>
      </c>
      <c r="G651" s="22">
        <v>45285</v>
      </c>
      <c r="H651" s="30">
        <f t="shared" si="10"/>
        <v>75.510000000000005</v>
      </c>
    </row>
    <row r="652" spans="6:8" x14ac:dyDescent="0.3">
      <c r="F652" s="19">
        <v>647</v>
      </c>
      <c r="G652" s="22">
        <v>45284</v>
      </c>
      <c r="H652" s="30">
        <f t="shared" si="10"/>
        <v>75.510000000000005</v>
      </c>
    </row>
    <row r="653" spans="6:8" x14ac:dyDescent="0.3">
      <c r="F653" s="19">
        <v>648</v>
      </c>
      <c r="G653" s="22">
        <v>45283</v>
      </c>
      <c r="H653" s="30">
        <f t="shared" si="10"/>
        <v>75.510000000000005</v>
      </c>
    </row>
    <row r="654" spans="6:8" x14ac:dyDescent="0.3">
      <c r="F654" s="19">
        <v>649</v>
      </c>
      <c r="G654" s="22">
        <v>45282</v>
      </c>
      <c r="H654" s="30">
        <f t="shared" si="10"/>
        <v>75.510000000000005</v>
      </c>
    </row>
    <row r="655" spans="6:8" x14ac:dyDescent="0.3">
      <c r="F655" s="19">
        <v>650</v>
      </c>
      <c r="G655" s="22">
        <v>45281</v>
      </c>
      <c r="H655" s="30">
        <f t="shared" si="10"/>
        <v>75.510000000000005</v>
      </c>
    </row>
    <row r="656" spans="6:8" x14ac:dyDescent="0.3">
      <c r="F656" s="19">
        <v>651</v>
      </c>
      <c r="G656" s="22">
        <v>45280</v>
      </c>
      <c r="H656" s="30">
        <f t="shared" si="10"/>
        <v>75.510000000000005</v>
      </c>
    </row>
    <row r="657" spans="6:8" x14ac:dyDescent="0.3">
      <c r="F657" s="19">
        <v>652</v>
      </c>
      <c r="G657" s="22">
        <v>45279</v>
      </c>
      <c r="H657" s="30">
        <f t="shared" si="10"/>
        <v>75.510000000000005</v>
      </c>
    </row>
    <row r="658" spans="6:8" x14ac:dyDescent="0.3">
      <c r="F658" s="19">
        <v>653</v>
      </c>
      <c r="G658" s="22">
        <v>45278</v>
      </c>
      <c r="H658" s="30">
        <f t="shared" si="10"/>
        <v>75.510000000000005</v>
      </c>
    </row>
    <row r="659" spans="6:8" x14ac:dyDescent="0.3">
      <c r="F659" s="19">
        <v>654</v>
      </c>
      <c r="G659" s="22">
        <v>45277</v>
      </c>
      <c r="H659" s="30">
        <f t="shared" si="10"/>
        <v>75.510000000000005</v>
      </c>
    </row>
    <row r="660" spans="6:8" x14ac:dyDescent="0.3">
      <c r="F660" s="19">
        <v>655</v>
      </c>
      <c r="G660" s="22">
        <v>45276</v>
      </c>
      <c r="H660" s="30">
        <f t="shared" si="10"/>
        <v>75.510000000000005</v>
      </c>
    </row>
    <row r="661" spans="6:8" x14ac:dyDescent="0.3">
      <c r="F661" s="19">
        <v>656</v>
      </c>
      <c r="G661" s="22">
        <v>45275</v>
      </c>
      <c r="H661" s="30">
        <f t="shared" si="10"/>
        <v>75.510000000000005</v>
      </c>
    </row>
    <row r="662" spans="6:8" x14ac:dyDescent="0.3">
      <c r="F662" s="19">
        <v>657</v>
      </c>
      <c r="G662" s="22">
        <v>45274</v>
      </c>
      <c r="H662" s="30">
        <f t="shared" si="10"/>
        <v>75.510000000000005</v>
      </c>
    </row>
    <row r="663" spans="6:8" x14ac:dyDescent="0.3">
      <c r="F663" s="19">
        <v>658</v>
      </c>
      <c r="G663" s="22">
        <v>45273</v>
      </c>
      <c r="H663" s="30">
        <f t="shared" si="10"/>
        <v>75.510000000000005</v>
      </c>
    </row>
    <row r="664" spans="6:8" x14ac:dyDescent="0.3">
      <c r="F664" s="19">
        <v>659</v>
      </c>
      <c r="G664" s="22">
        <v>45272</v>
      </c>
      <c r="H664" s="30">
        <f t="shared" si="10"/>
        <v>75.510000000000005</v>
      </c>
    </row>
    <row r="665" spans="6:8" x14ac:dyDescent="0.3">
      <c r="F665" s="19">
        <v>660</v>
      </c>
      <c r="G665" s="22">
        <v>45271</v>
      </c>
      <c r="H665" s="30">
        <f t="shared" si="10"/>
        <v>75.510000000000005</v>
      </c>
    </row>
    <row r="666" spans="6:8" x14ac:dyDescent="0.3">
      <c r="F666" s="19">
        <v>661</v>
      </c>
      <c r="G666" s="22">
        <v>45270</v>
      </c>
      <c r="H666" s="30">
        <f t="shared" si="10"/>
        <v>75.510000000000005</v>
      </c>
    </row>
    <row r="667" spans="6:8" x14ac:dyDescent="0.3">
      <c r="F667" s="19">
        <v>662</v>
      </c>
      <c r="G667" s="22">
        <v>45269</v>
      </c>
      <c r="H667" s="30">
        <f t="shared" si="10"/>
        <v>75.510000000000005</v>
      </c>
    </row>
    <row r="668" spans="6:8" x14ac:dyDescent="0.3">
      <c r="F668" s="19">
        <v>663</v>
      </c>
      <c r="G668" s="22">
        <v>45268</v>
      </c>
      <c r="H668" s="30">
        <f t="shared" si="10"/>
        <v>75.510000000000005</v>
      </c>
    </row>
    <row r="669" spans="6:8" x14ac:dyDescent="0.3">
      <c r="F669" s="19">
        <v>664</v>
      </c>
      <c r="G669" s="22">
        <v>45267</v>
      </c>
      <c r="H669" s="30">
        <f t="shared" si="10"/>
        <v>75.510000000000005</v>
      </c>
    </row>
    <row r="670" spans="6:8" x14ac:dyDescent="0.3">
      <c r="F670" s="19">
        <v>665</v>
      </c>
      <c r="G670" s="22">
        <v>45266</v>
      </c>
      <c r="H670" s="30">
        <f t="shared" si="10"/>
        <v>75.510000000000005</v>
      </c>
    </row>
    <row r="671" spans="6:8" x14ac:dyDescent="0.3">
      <c r="F671" s="19">
        <v>666</v>
      </c>
      <c r="G671" s="22">
        <v>45265</v>
      </c>
      <c r="H671" s="30">
        <f t="shared" si="10"/>
        <v>75.510000000000005</v>
      </c>
    </row>
    <row r="672" spans="6:8" x14ac:dyDescent="0.3">
      <c r="F672" s="19">
        <v>667</v>
      </c>
      <c r="G672" s="22">
        <v>45264</v>
      </c>
      <c r="H672" s="30">
        <f t="shared" si="10"/>
        <v>75.510000000000005</v>
      </c>
    </row>
    <row r="673" spans="6:8" x14ac:dyDescent="0.3">
      <c r="F673" s="19">
        <v>668</v>
      </c>
      <c r="G673" s="22">
        <v>45263</v>
      </c>
      <c r="H673" s="30">
        <f t="shared" si="10"/>
        <v>75.510000000000005</v>
      </c>
    </row>
    <row r="674" spans="6:8" x14ac:dyDescent="0.3">
      <c r="F674" s="19">
        <v>669</v>
      </c>
      <c r="G674" s="22">
        <v>45262</v>
      </c>
      <c r="H674" s="30">
        <f t="shared" si="10"/>
        <v>75.510000000000005</v>
      </c>
    </row>
    <row r="675" spans="6:8" x14ac:dyDescent="0.3">
      <c r="F675" s="19">
        <v>670</v>
      </c>
      <c r="G675" s="22">
        <v>45261</v>
      </c>
      <c r="H675" s="30">
        <f t="shared" si="10"/>
        <v>75.510000000000005</v>
      </c>
    </row>
    <row r="676" spans="6:8" x14ac:dyDescent="0.3">
      <c r="F676" s="19">
        <v>671</v>
      </c>
      <c r="G676" s="22">
        <v>45260</v>
      </c>
      <c r="H676" s="30">
        <f t="shared" si="10"/>
        <v>79.63</v>
      </c>
    </row>
    <row r="677" spans="6:8" x14ac:dyDescent="0.3">
      <c r="F677" s="19">
        <v>672</v>
      </c>
      <c r="G677" s="22">
        <v>45259</v>
      </c>
      <c r="H677" s="30">
        <f t="shared" si="10"/>
        <v>79.63</v>
      </c>
    </row>
    <row r="678" spans="6:8" x14ac:dyDescent="0.3">
      <c r="F678" s="19">
        <v>673</v>
      </c>
      <c r="G678" s="22">
        <v>45258</v>
      </c>
      <c r="H678" s="30">
        <f t="shared" si="10"/>
        <v>79.63</v>
      </c>
    </row>
    <row r="679" spans="6:8" x14ac:dyDescent="0.3">
      <c r="F679" s="19">
        <v>674</v>
      </c>
      <c r="G679" s="22">
        <v>45257</v>
      </c>
      <c r="H679" s="30">
        <f t="shared" si="10"/>
        <v>79.63</v>
      </c>
    </row>
    <row r="680" spans="6:8" x14ac:dyDescent="0.3">
      <c r="F680" s="19">
        <v>675</v>
      </c>
      <c r="G680" s="22">
        <v>45256</v>
      </c>
      <c r="H680" s="30">
        <f t="shared" si="10"/>
        <v>79.63</v>
      </c>
    </row>
    <row r="681" spans="6:8" x14ac:dyDescent="0.3">
      <c r="F681" s="19">
        <v>676</v>
      </c>
      <c r="G681" s="22">
        <v>45255</v>
      </c>
      <c r="H681" s="30">
        <f t="shared" si="10"/>
        <v>79.63</v>
      </c>
    </row>
    <row r="682" spans="6:8" x14ac:dyDescent="0.3">
      <c r="F682" s="19">
        <v>677</v>
      </c>
      <c r="G682" s="22">
        <v>45254</v>
      </c>
      <c r="H682" s="30">
        <f t="shared" si="10"/>
        <v>79.63</v>
      </c>
    </row>
    <row r="683" spans="6:8" x14ac:dyDescent="0.3">
      <c r="F683" s="19">
        <v>678</v>
      </c>
      <c r="G683" s="22">
        <v>45253</v>
      </c>
      <c r="H683" s="30">
        <f t="shared" si="10"/>
        <v>79.63</v>
      </c>
    </row>
    <row r="684" spans="6:8" x14ac:dyDescent="0.3">
      <c r="F684" s="19">
        <v>679</v>
      </c>
      <c r="G684" s="22">
        <v>45252</v>
      </c>
      <c r="H684" s="30">
        <f t="shared" si="10"/>
        <v>79.63</v>
      </c>
    </row>
    <row r="685" spans="6:8" x14ac:dyDescent="0.3">
      <c r="F685" s="19">
        <v>680</v>
      </c>
      <c r="G685" s="22">
        <v>45251</v>
      </c>
      <c r="H685" s="30">
        <f t="shared" si="10"/>
        <v>79.63</v>
      </c>
    </row>
    <row r="686" spans="6:8" x14ac:dyDescent="0.3">
      <c r="F686" s="19">
        <v>681</v>
      </c>
      <c r="G686" s="22">
        <v>45250</v>
      </c>
      <c r="H686" s="30">
        <f t="shared" si="10"/>
        <v>79.63</v>
      </c>
    </row>
    <row r="687" spans="6:8" x14ac:dyDescent="0.3">
      <c r="F687" s="19">
        <v>682</v>
      </c>
      <c r="G687" s="22">
        <v>45249</v>
      </c>
      <c r="H687" s="30">
        <f t="shared" si="10"/>
        <v>79.63</v>
      </c>
    </row>
    <row r="688" spans="6:8" x14ac:dyDescent="0.3">
      <c r="F688" s="19">
        <v>683</v>
      </c>
      <c r="G688" s="22">
        <v>45248</v>
      </c>
      <c r="H688" s="30">
        <f t="shared" si="10"/>
        <v>79.63</v>
      </c>
    </row>
    <row r="689" spans="6:8" x14ac:dyDescent="0.3">
      <c r="F689" s="19">
        <v>684</v>
      </c>
      <c r="G689" s="22">
        <v>45247</v>
      </c>
      <c r="H689" s="30">
        <f t="shared" si="10"/>
        <v>79.63</v>
      </c>
    </row>
    <row r="690" spans="6:8" x14ac:dyDescent="0.3">
      <c r="F690" s="19">
        <v>685</v>
      </c>
      <c r="G690" s="22">
        <v>45246</v>
      </c>
      <c r="H690" s="30">
        <f t="shared" si="10"/>
        <v>79.63</v>
      </c>
    </row>
    <row r="691" spans="6:8" x14ac:dyDescent="0.3">
      <c r="F691" s="19">
        <v>686</v>
      </c>
      <c r="G691" s="22">
        <v>45245</v>
      </c>
      <c r="H691" s="30">
        <f t="shared" si="10"/>
        <v>79.63</v>
      </c>
    </row>
    <row r="692" spans="6:8" x14ac:dyDescent="0.3">
      <c r="F692" s="19">
        <v>687</v>
      </c>
      <c r="G692" s="22">
        <v>45244</v>
      </c>
      <c r="H692" s="30">
        <f t="shared" si="10"/>
        <v>79.63</v>
      </c>
    </row>
    <row r="693" spans="6:8" x14ac:dyDescent="0.3">
      <c r="F693" s="19">
        <v>688</v>
      </c>
      <c r="G693" s="22">
        <v>45243</v>
      </c>
      <c r="H693" s="30">
        <f t="shared" si="10"/>
        <v>79.63</v>
      </c>
    </row>
    <row r="694" spans="6:8" x14ac:dyDescent="0.3">
      <c r="F694" s="19">
        <v>689</v>
      </c>
      <c r="G694" s="22">
        <v>45242</v>
      </c>
      <c r="H694" s="30">
        <f t="shared" si="10"/>
        <v>79.63</v>
      </c>
    </row>
    <row r="695" spans="6:8" x14ac:dyDescent="0.3">
      <c r="F695" s="19">
        <v>690</v>
      </c>
      <c r="G695" s="22">
        <v>45241</v>
      </c>
      <c r="H695" s="30">
        <f t="shared" si="10"/>
        <v>79.63</v>
      </c>
    </row>
    <row r="696" spans="6:8" x14ac:dyDescent="0.3">
      <c r="F696" s="19">
        <v>691</v>
      </c>
      <c r="G696" s="22">
        <v>45240</v>
      </c>
      <c r="H696" s="30">
        <f t="shared" si="10"/>
        <v>79.63</v>
      </c>
    </row>
    <row r="697" spans="6:8" x14ac:dyDescent="0.3">
      <c r="F697" s="19">
        <v>692</v>
      </c>
      <c r="G697" s="22">
        <v>45239</v>
      </c>
      <c r="H697" s="30">
        <f t="shared" si="10"/>
        <v>79.63</v>
      </c>
    </row>
    <row r="698" spans="6:8" x14ac:dyDescent="0.3">
      <c r="F698" s="19">
        <v>693</v>
      </c>
      <c r="G698" s="22">
        <v>45238</v>
      </c>
      <c r="H698" s="30">
        <f t="shared" si="10"/>
        <v>79.63</v>
      </c>
    </row>
    <row r="699" spans="6:8" x14ac:dyDescent="0.3">
      <c r="F699" s="19">
        <v>694</v>
      </c>
      <c r="G699" s="22">
        <v>45237</v>
      </c>
      <c r="H699" s="30">
        <f t="shared" si="10"/>
        <v>79.63</v>
      </c>
    </row>
    <row r="700" spans="6:8" x14ac:dyDescent="0.3">
      <c r="F700" s="19">
        <v>695</v>
      </c>
      <c r="G700" s="22">
        <v>45236</v>
      </c>
      <c r="H700" s="30">
        <f t="shared" si="10"/>
        <v>79.63</v>
      </c>
    </row>
    <row r="701" spans="6:8" x14ac:dyDescent="0.3">
      <c r="F701" s="19">
        <v>696</v>
      </c>
      <c r="G701" s="22">
        <v>45235</v>
      </c>
      <c r="H701" s="30">
        <f t="shared" si="10"/>
        <v>79.63</v>
      </c>
    </row>
    <row r="702" spans="6:8" x14ac:dyDescent="0.3">
      <c r="F702" s="19">
        <v>697</v>
      </c>
      <c r="G702" s="22">
        <v>45234</v>
      </c>
      <c r="H702" s="30">
        <f t="shared" si="10"/>
        <v>79.63</v>
      </c>
    </row>
    <row r="703" spans="6:8" x14ac:dyDescent="0.3">
      <c r="F703" s="19">
        <v>698</v>
      </c>
      <c r="G703" s="22">
        <v>45233</v>
      </c>
      <c r="H703" s="30">
        <f t="shared" si="10"/>
        <v>79.63</v>
      </c>
    </row>
    <row r="704" spans="6:8" x14ac:dyDescent="0.3">
      <c r="F704" s="19">
        <v>699</v>
      </c>
      <c r="G704" s="22">
        <v>45232</v>
      </c>
      <c r="H704" s="30">
        <f t="shared" si="10"/>
        <v>79.63</v>
      </c>
    </row>
    <row r="705" spans="6:8" x14ac:dyDescent="0.3">
      <c r="F705" s="19">
        <v>700</v>
      </c>
      <c r="G705" s="22">
        <v>45231</v>
      </c>
      <c r="H705" s="30">
        <f t="shared" si="10"/>
        <v>79.63</v>
      </c>
    </row>
    <row r="706" spans="6:8" x14ac:dyDescent="0.3">
      <c r="F706" s="19">
        <v>701</v>
      </c>
      <c r="G706" s="22">
        <v>45230</v>
      </c>
      <c r="H706" s="30">
        <f t="shared" si="10"/>
        <v>86.72</v>
      </c>
    </row>
    <row r="707" spans="6:8" x14ac:dyDescent="0.3">
      <c r="F707" s="19">
        <v>702</v>
      </c>
      <c r="G707" s="22">
        <v>45229</v>
      </c>
      <c r="H707" s="30">
        <f t="shared" si="10"/>
        <v>86.72</v>
      </c>
    </row>
    <row r="708" spans="6:8" x14ac:dyDescent="0.3">
      <c r="F708" s="19">
        <v>703</v>
      </c>
      <c r="G708" s="22">
        <v>45228</v>
      </c>
      <c r="H708" s="30">
        <f t="shared" si="10"/>
        <v>86.72</v>
      </c>
    </row>
    <row r="709" spans="6:8" x14ac:dyDescent="0.3">
      <c r="F709" s="19">
        <v>704</v>
      </c>
      <c r="G709" s="22">
        <v>45227</v>
      </c>
      <c r="H709" s="30">
        <f t="shared" si="10"/>
        <v>86.72</v>
      </c>
    </row>
    <row r="710" spans="6:8" x14ac:dyDescent="0.3">
      <c r="F710" s="19">
        <v>705</v>
      </c>
      <c r="G710" s="22">
        <v>45226</v>
      </c>
      <c r="H710" s="30">
        <f t="shared" si="10"/>
        <v>86.72</v>
      </c>
    </row>
    <row r="711" spans="6:8" x14ac:dyDescent="0.3">
      <c r="F711" s="19">
        <v>706</v>
      </c>
      <c r="G711" s="22">
        <v>45225</v>
      </c>
      <c r="H711" s="30">
        <f t="shared" ref="H711:H774" si="11">_xlfn.XLOOKUP(G711,$B$6:$B$38,$C$6:$C$38,,-1)</f>
        <v>86.72</v>
      </c>
    </row>
    <row r="712" spans="6:8" x14ac:dyDescent="0.3">
      <c r="F712" s="19">
        <v>707</v>
      </c>
      <c r="G712" s="22">
        <v>45224</v>
      </c>
      <c r="H712" s="30">
        <f t="shared" si="11"/>
        <v>86.72</v>
      </c>
    </row>
    <row r="713" spans="6:8" x14ac:dyDescent="0.3">
      <c r="F713" s="19">
        <v>708</v>
      </c>
      <c r="G713" s="22">
        <v>45223</v>
      </c>
      <c r="H713" s="30">
        <f t="shared" si="11"/>
        <v>86.72</v>
      </c>
    </row>
    <row r="714" spans="6:8" x14ac:dyDescent="0.3">
      <c r="F714" s="19">
        <v>709</v>
      </c>
      <c r="G714" s="22">
        <v>45222</v>
      </c>
      <c r="H714" s="30">
        <f t="shared" si="11"/>
        <v>86.72</v>
      </c>
    </row>
    <row r="715" spans="6:8" x14ac:dyDescent="0.3">
      <c r="F715" s="19">
        <v>710</v>
      </c>
      <c r="G715" s="22">
        <v>45221</v>
      </c>
      <c r="H715" s="30">
        <f t="shared" si="11"/>
        <v>86.72</v>
      </c>
    </row>
    <row r="716" spans="6:8" x14ac:dyDescent="0.3">
      <c r="F716" s="19">
        <v>711</v>
      </c>
      <c r="G716" s="22">
        <v>45220</v>
      </c>
      <c r="H716" s="30">
        <f t="shared" si="11"/>
        <v>86.72</v>
      </c>
    </row>
    <row r="717" spans="6:8" x14ac:dyDescent="0.3">
      <c r="F717" s="19">
        <v>712</v>
      </c>
      <c r="G717" s="22">
        <v>45219</v>
      </c>
      <c r="H717" s="30">
        <f t="shared" si="11"/>
        <v>86.72</v>
      </c>
    </row>
    <row r="718" spans="6:8" x14ac:dyDescent="0.3">
      <c r="F718" s="19">
        <v>713</v>
      </c>
      <c r="G718" s="22">
        <v>45218</v>
      </c>
      <c r="H718" s="30">
        <f t="shared" si="11"/>
        <v>86.72</v>
      </c>
    </row>
    <row r="719" spans="6:8" x14ac:dyDescent="0.3">
      <c r="F719" s="19">
        <v>714</v>
      </c>
      <c r="G719" s="22">
        <v>45217</v>
      </c>
      <c r="H719" s="30">
        <f t="shared" si="11"/>
        <v>86.72</v>
      </c>
    </row>
    <row r="720" spans="6:8" x14ac:dyDescent="0.3">
      <c r="F720" s="19">
        <v>715</v>
      </c>
      <c r="G720" s="22">
        <v>45216</v>
      </c>
      <c r="H720" s="30">
        <f t="shared" si="11"/>
        <v>86.72</v>
      </c>
    </row>
    <row r="721" spans="6:8" x14ac:dyDescent="0.3">
      <c r="F721" s="19">
        <v>716</v>
      </c>
      <c r="G721" s="22">
        <v>45215</v>
      </c>
      <c r="H721" s="30">
        <f t="shared" si="11"/>
        <v>86.72</v>
      </c>
    </row>
    <row r="722" spans="6:8" x14ac:dyDescent="0.3">
      <c r="F722" s="19">
        <v>717</v>
      </c>
      <c r="G722" s="22">
        <v>45214</v>
      </c>
      <c r="H722" s="30">
        <f t="shared" si="11"/>
        <v>86.72</v>
      </c>
    </row>
    <row r="723" spans="6:8" x14ac:dyDescent="0.3">
      <c r="F723" s="19">
        <v>718</v>
      </c>
      <c r="G723" s="22">
        <v>45213</v>
      </c>
      <c r="H723" s="30">
        <f t="shared" si="11"/>
        <v>86.72</v>
      </c>
    </row>
    <row r="724" spans="6:8" x14ac:dyDescent="0.3">
      <c r="F724" s="19">
        <v>719</v>
      </c>
      <c r="G724" s="22">
        <v>45212</v>
      </c>
      <c r="H724" s="30">
        <f t="shared" si="11"/>
        <v>86.72</v>
      </c>
    </row>
    <row r="725" spans="6:8" x14ac:dyDescent="0.3">
      <c r="F725" s="19">
        <v>720</v>
      </c>
      <c r="G725" s="22">
        <v>45211</v>
      </c>
      <c r="H725" s="30">
        <f t="shared" si="11"/>
        <v>86.72</v>
      </c>
    </row>
    <row r="726" spans="6:8" x14ac:dyDescent="0.3">
      <c r="F726" s="19">
        <v>721</v>
      </c>
      <c r="G726" s="22">
        <v>45210</v>
      </c>
      <c r="H726" s="30">
        <f t="shared" si="11"/>
        <v>86.72</v>
      </c>
    </row>
    <row r="727" spans="6:8" x14ac:dyDescent="0.3">
      <c r="F727" s="19">
        <v>722</v>
      </c>
      <c r="G727" s="22">
        <v>45209</v>
      </c>
      <c r="H727" s="30">
        <f t="shared" si="11"/>
        <v>86.72</v>
      </c>
    </row>
    <row r="728" spans="6:8" x14ac:dyDescent="0.3">
      <c r="F728" s="19">
        <v>723</v>
      </c>
      <c r="G728" s="22">
        <v>45208</v>
      </c>
      <c r="H728" s="30">
        <f t="shared" si="11"/>
        <v>86.72</v>
      </c>
    </row>
    <row r="729" spans="6:8" x14ac:dyDescent="0.3">
      <c r="F729" s="19">
        <v>724</v>
      </c>
      <c r="G729" s="22">
        <v>45207</v>
      </c>
      <c r="H729" s="30">
        <f t="shared" si="11"/>
        <v>86.72</v>
      </c>
    </row>
    <row r="730" spans="6:8" x14ac:dyDescent="0.3">
      <c r="F730" s="19">
        <v>725</v>
      </c>
      <c r="G730" s="22">
        <v>45206</v>
      </c>
      <c r="H730" s="30">
        <f t="shared" si="11"/>
        <v>86.72</v>
      </c>
    </row>
    <row r="731" spans="6:8" x14ac:dyDescent="0.3">
      <c r="F731" s="19">
        <v>726</v>
      </c>
      <c r="G731" s="22">
        <v>45205</v>
      </c>
      <c r="H731" s="30">
        <f t="shared" si="11"/>
        <v>86.72</v>
      </c>
    </row>
    <row r="732" spans="6:8" x14ac:dyDescent="0.3">
      <c r="F732" s="19">
        <v>727</v>
      </c>
      <c r="G732" s="22">
        <v>45204</v>
      </c>
      <c r="H732" s="30">
        <f t="shared" si="11"/>
        <v>86.72</v>
      </c>
    </row>
    <row r="733" spans="6:8" x14ac:dyDescent="0.3">
      <c r="F733" s="19">
        <v>728</v>
      </c>
      <c r="G733" s="22">
        <v>45203</v>
      </c>
      <c r="H733" s="30">
        <f t="shared" si="11"/>
        <v>86.72</v>
      </c>
    </row>
    <row r="734" spans="6:8" x14ac:dyDescent="0.3">
      <c r="F734" s="19">
        <v>729</v>
      </c>
      <c r="G734" s="22">
        <v>45202</v>
      </c>
      <c r="H734" s="30">
        <f t="shared" si="11"/>
        <v>86.72</v>
      </c>
    </row>
    <row r="735" spans="6:8" x14ac:dyDescent="0.3">
      <c r="F735" s="19">
        <v>730</v>
      </c>
      <c r="G735" s="22">
        <v>45201</v>
      </c>
      <c r="H735" s="30">
        <f t="shared" si="11"/>
        <v>86.72</v>
      </c>
    </row>
    <row r="736" spans="6:8" x14ac:dyDescent="0.3">
      <c r="F736" s="19">
        <v>731</v>
      </c>
      <c r="G736" s="22">
        <v>45200</v>
      </c>
      <c r="H736" s="30">
        <f t="shared" si="11"/>
        <v>86.72</v>
      </c>
    </row>
    <row r="737" spans="6:8" x14ac:dyDescent="0.3">
      <c r="F737" s="19">
        <v>732</v>
      </c>
      <c r="G737" s="22">
        <v>45199</v>
      </c>
      <c r="H737" s="30">
        <f t="shared" si="11"/>
        <v>90.17</v>
      </c>
    </row>
    <row r="738" spans="6:8" x14ac:dyDescent="0.3">
      <c r="F738" s="19">
        <v>733</v>
      </c>
      <c r="G738" s="22">
        <v>45198</v>
      </c>
      <c r="H738" s="30">
        <f t="shared" si="11"/>
        <v>90.17</v>
      </c>
    </row>
    <row r="739" spans="6:8" x14ac:dyDescent="0.3">
      <c r="F739" s="19">
        <v>734</v>
      </c>
      <c r="G739" s="22">
        <v>45197</v>
      </c>
      <c r="H739" s="30">
        <f t="shared" si="11"/>
        <v>90.17</v>
      </c>
    </row>
    <row r="740" spans="6:8" x14ac:dyDescent="0.3">
      <c r="F740" s="19">
        <v>735</v>
      </c>
      <c r="G740" s="22">
        <v>45196</v>
      </c>
      <c r="H740" s="30">
        <f t="shared" si="11"/>
        <v>90.17</v>
      </c>
    </row>
    <row r="741" spans="6:8" x14ac:dyDescent="0.3">
      <c r="F741" s="19">
        <v>736</v>
      </c>
      <c r="G741" s="22">
        <v>45195</v>
      </c>
      <c r="H741" s="30">
        <f t="shared" si="11"/>
        <v>90.17</v>
      </c>
    </row>
    <row r="742" spans="6:8" x14ac:dyDescent="0.3">
      <c r="F742" s="19">
        <v>737</v>
      </c>
      <c r="G742" s="22">
        <v>45194</v>
      </c>
      <c r="H742" s="30">
        <f t="shared" si="11"/>
        <v>90.17</v>
      </c>
    </row>
    <row r="743" spans="6:8" x14ac:dyDescent="0.3">
      <c r="F743" s="19">
        <v>738</v>
      </c>
      <c r="G743" s="22">
        <v>45193</v>
      </c>
      <c r="H743" s="30">
        <f t="shared" si="11"/>
        <v>90.17</v>
      </c>
    </row>
    <row r="744" spans="6:8" x14ac:dyDescent="0.3">
      <c r="F744" s="19">
        <v>739</v>
      </c>
      <c r="G744" s="22">
        <v>45192</v>
      </c>
      <c r="H744" s="30">
        <f t="shared" si="11"/>
        <v>90.17</v>
      </c>
    </row>
    <row r="745" spans="6:8" x14ac:dyDescent="0.3">
      <c r="F745" s="19">
        <v>740</v>
      </c>
      <c r="G745" s="22">
        <v>45191</v>
      </c>
      <c r="H745" s="30">
        <f t="shared" si="11"/>
        <v>90.17</v>
      </c>
    </row>
    <row r="746" spans="6:8" x14ac:dyDescent="0.3">
      <c r="F746" s="19">
        <v>741</v>
      </c>
      <c r="G746" s="22">
        <v>45190</v>
      </c>
      <c r="H746" s="30">
        <f t="shared" si="11"/>
        <v>90.17</v>
      </c>
    </row>
    <row r="747" spans="6:8" x14ac:dyDescent="0.3">
      <c r="F747" s="19">
        <v>742</v>
      </c>
      <c r="G747" s="22">
        <v>45189</v>
      </c>
      <c r="H747" s="30">
        <f t="shared" si="11"/>
        <v>90.17</v>
      </c>
    </row>
    <row r="748" spans="6:8" x14ac:dyDescent="0.3">
      <c r="F748" s="19">
        <v>743</v>
      </c>
      <c r="G748" s="22">
        <v>45188</v>
      </c>
      <c r="H748" s="30">
        <f t="shared" si="11"/>
        <v>90.17</v>
      </c>
    </row>
    <row r="749" spans="6:8" x14ac:dyDescent="0.3">
      <c r="F749" s="19">
        <v>744</v>
      </c>
      <c r="G749" s="22">
        <v>45187</v>
      </c>
      <c r="H749" s="30">
        <f t="shared" si="11"/>
        <v>90.17</v>
      </c>
    </row>
    <row r="750" spans="6:8" x14ac:dyDescent="0.3">
      <c r="F750" s="19">
        <v>745</v>
      </c>
      <c r="G750" s="22">
        <v>45186</v>
      </c>
      <c r="H750" s="30">
        <f t="shared" si="11"/>
        <v>90.17</v>
      </c>
    </row>
    <row r="751" spans="6:8" x14ac:dyDescent="0.3">
      <c r="F751" s="19">
        <v>746</v>
      </c>
      <c r="G751" s="22">
        <v>45185</v>
      </c>
      <c r="H751" s="30">
        <f t="shared" si="11"/>
        <v>90.17</v>
      </c>
    </row>
    <row r="752" spans="6:8" x14ac:dyDescent="0.3">
      <c r="F752" s="19">
        <v>747</v>
      </c>
      <c r="G752" s="22">
        <v>45184</v>
      </c>
      <c r="H752" s="30">
        <f t="shared" si="11"/>
        <v>90.17</v>
      </c>
    </row>
    <row r="753" spans="6:8" x14ac:dyDescent="0.3">
      <c r="F753" s="19">
        <v>748</v>
      </c>
      <c r="G753" s="22">
        <v>45183</v>
      </c>
      <c r="H753" s="30">
        <f t="shared" si="11"/>
        <v>90.17</v>
      </c>
    </row>
    <row r="754" spans="6:8" x14ac:dyDescent="0.3">
      <c r="F754" s="19">
        <v>749</v>
      </c>
      <c r="G754" s="22">
        <v>45182</v>
      </c>
      <c r="H754" s="30">
        <f t="shared" si="11"/>
        <v>90.17</v>
      </c>
    </row>
    <row r="755" spans="6:8" x14ac:dyDescent="0.3">
      <c r="F755" s="19">
        <v>750</v>
      </c>
      <c r="G755" s="22">
        <v>45181</v>
      </c>
      <c r="H755" s="30">
        <f t="shared" si="11"/>
        <v>90.17</v>
      </c>
    </row>
    <row r="756" spans="6:8" x14ac:dyDescent="0.3">
      <c r="F756" s="19">
        <v>751</v>
      </c>
      <c r="G756" s="22">
        <v>45180</v>
      </c>
      <c r="H756" s="30">
        <f t="shared" si="11"/>
        <v>90.17</v>
      </c>
    </row>
    <row r="757" spans="6:8" x14ac:dyDescent="0.3">
      <c r="F757" s="19">
        <v>752</v>
      </c>
      <c r="G757" s="22">
        <v>45179</v>
      </c>
      <c r="H757" s="30">
        <f t="shared" si="11"/>
        <v>90.17</v>
      </c>
    </row>
    <row r="758" spans="6:8" x14ac:dyDescent="0.3">
      <c r="F758" s="19">
        <v>753</v>
      </c>
      <c r="G758" s="22">
        <v>45178</v>
      </c>
      <c r="H758" s="30">
        <f t="shared" si="11"/>
        <v>90.17</v>
      </c>
    </row>
    <row r="759" spans="6:8" x14ac:dyDescent="0.3">
      <c r="F759" s="19">
        <v>754</v>
      </c>
      <c r="G759" s="22">
        <v>45177</v>
      </c>
      <c r="H759" s="30">
        <f t="shared" si="11"/>
        <v>90.17</v>
      </c>
    </row>
    <row r="760" spans="6:8" x14ac:dyDescent="0.3">
      <c r="F760" s="19">
        <v>755</v>
      </c>
      <c r="G760" s="22">
        <v>45176</v>
      </c>
      <c r="H760" s="30">
        <f t="shared" si="11"/>
        <v>90.17</v>
      </c>
    </row>
    <row r="761" spans="6:8" x14ac:dyDescent="0.3">
      <c r="F761" s="19">
        <v>756</v>
      </c>
      <c r="G761" s="22">
        <v>45175</v>
      </c>
      <c r="H761" s="30">
        <f t="shared" si="11"/>
        <v>90.17</v>
      </c>
    </row>
    <row r="762" spans="6:8" x14ac:dyDescent="0.3">
      <c r="F762" s="19">
        <v>757</v>
      </c>
      <c r="G762" s="22">
        <v>45174</v>
      </c>
      <c r="H762" s="30">
        <f t="shared" si="11"/>
        <v>90.17</v>
      </c>
    </row>
    <row r="763" spans="6:8" x14ac:dyDescent="0.3">
      <c r="F763" s="19">
        <v>758</v>
      </c>
      <c r="G763" s="22">
        <v>45173</v>
      </c>
      <c r="H763" s="30">
        <f t="shared" si="11"/>
        <v>90.17</v>
      </c>
    </row>
    <row r="764" spans="6:8" x14ac:dyDescent="0.3">
      <c r="F764" s="19">
        <v>759</v>
      </c>
      <c r="G764" s="22">
        <v>45172</v>
      </c>
      <c r="H764" s="30">
        <f t="shared" si="11"/>
        <v>90.17</v>
      </c>
    </row>
    <row r="765" spans="6:8" x14ac:dyDescent="0.3">
      <c r="F765" s="19">
        <v>760</v>
      </c>
      <c r="G765" s="22">
        <v>45171</v>
      </c>
      <c r="H765" s="30">
        <f t="shared" si="11"/>
        <v>90.17</v>
      </c>
    </row>
    <row r="766" spans="6:8" x14ac:dyDescent="0.3">
      <c r="F766" s="19">
        <v>761</v>
      </c>
      <c r="G766" s="22">
        <v>45170</v>
      </c>
      <c r="H766" s="30">
        <f t="shared" si="11"/>
        <v>90.17</v>
      </c>
    </row>
    <row r="767" spans="6:8" x14ac:dyDescent="0.3">
      <c r="F767" s="19">
        <v>762</v>
      </c>
      <c r="G767" s="22">
        <v>45169</v>
      </c>
      <c r="H767" s="30">
        <f t="shared" si="11"/>
        <v>82.59</v>
      </c>
    </row>
    <row r="768" spans="6:8" x14ac:dyDescent="0.3">
      <c r="F768" s="19">
        <v>763</v>
      </c>
      <c r="G768" s="22">
        <v>45168</v>
      </c>
      <c r="H768" s="30">
        <f t="shared" si="11"/>
        <v>82.59</v>
      </c>
    </row>
    <row r="769" spans="6:8" x14ac:dyDescent="0.3">
      <c r="F769" s="19">
        <v>764</v>
      </c>
      <c r="G769" s="22">
        <v>45167</v>
      </c>
      <c r="H769" s="30">
        <f t="shared" si="11"/>
        <v>82.59</v>
      </c>
    </row>
    <row r="770" spans="6:8" x14ac:dyDescent="0.3">
      <c r="F770" s="19">
        <v>765</v>
      </c>
      <c r="G770" s="22">
        <v>45166</v>
      </c>
      <c r="H770" s="30">
        <f t="shared" si="11"/>
        <v>82.59</v>
      </c>
    </row>
    <row r="771" spans="6:8" x14ac:dyDescent="0.3">
      <c r="F771" s="19">
        <v>766</v>
      </c>
      <c r="G771" s="22">
        <v>45165</v>
      </c>
      <c r="H771" s="30">
        <f t="shared" si="11"/>
        <v>82.59</v>
      </c>
    </row>
    <row r="772" spans="6:8" x14ac:dyDescent="0.3">
      <c r="F772" s="19">
        <v>767</v>
      </c>
      <c r="G772" s="22">
        <v>45164</v>
      </c>
      <c r="H772" s="30">
        <f t="shared" si="11"/>
        <v>82.59</v>
      </c>
    </row>
    <row r="773" spans="6:8" x14ac:dyDescent="0.3">
      <c r="F773" s="19">
        <v>768</v>
      </c>
      <c r="G773" s="22">
        <v>45163</v>
      </c>
      <c r="H773" s="30">
        <f t="shared" si="11"/>
        <v>82.59</v>
      </c>
    </row>
    <row r="774" spans="6:8" x14ac:dyDescent="0.3">
      <c r="F774" s="19">
        <v>769</v>
      </c>
      <c r="G774" s="22">
        <v>45162</v>
      </c>
      <c r="H774" s="30">
        <f t="shared" si="11"/>
        <v>82.59</v>
      </c>
    </row>
    <row r="775" spans="6:8" x14ac:dyDescent="0.3">
      <c r="F775" s="19">
        <v>770</v>
      </c>
      <c r="G775" s="22">
        <v>45161</v>
      </c>
      <c r="H775" s="30">
        <f t="shared" ref="H775:H838" si="12">_xlfn.XLOOKUP(G775,$B$6:$B$38,$C$6:$C$38,,-1)</f>
        <v>82.59</v>
      </c>
    </row>
    <row r="776" spans="6:8" x14ac:dyDescent="0.3">
      <c r="F776" s="19">
        <v>771</v>
      </c>
      <c r="G776" s="22">
        <v>45160</v>
      </c>
      <c r="H776" s="30">
        <f t="shared" si="12"/>
        <v>82.59</v>
      </c>
    </row>
    <row r="777" spans="6:8" x14ac:dyDescent="0.3">
      <c r="F777" s="19">
        <v>772</v>
      </c>
      <c r="G777" s="22">
        <v>45159</v>
      </c>
      <c r="H777" s="30">
        <f t="shared" si="12"/>
        <v>82.59</v>
      </c>
    </row>
    <row r="778" spans="6:8" x14ac:dyDescent="0.3">
      <c r="F778" s="19">
        <v>773</v>
      </c>
      <c r="G778" s="22">
        <v>45158</v>
      </c>
      <c r="H778" s="30">
        <f t="shared" si="12"/>
        <v>82.59</v>
      </c>
    </row>
    <row r="779" spans="6:8" x14ac:dyDescent="0.3">
      <c r="F779" s="19">
        <v>774</v>
      </c>
      <c r="G779" s="22">
        <v>45157</v>
      </c>
      <c r="H779" s="30">
        <f t="shared" si="12"/>
        <v>82.59</v>
      </c>
    </row>
    <row r="780" spans="6:8" x14ac:dyDescent="0.3">
      <c r="F780" s="19">
        <v>775</v>
      </c>
      <c r="G780" s="22">
        <v>45156</v>
      </c>
      <c r="H780" s="30">
        <f t="shared" si="12"/>
        <v>82.59</v>
      </c>
    </row>
    <row r="781" spans="6:8" x14ac:dyDescent="0.3">
      <c r="F781" s="19">
        <v>776</v>
      </c>
      <c r="G781" s="22">
        <v>45155</v>
      </c>
      <c r="H781" s="30">
        <f t="shared" si="12"/>
        <v>82.59</v>
      </c>
    </row>
    <row r="782" spans="6:8" x14ac:dyDescent="0.3">
      <c r="F782" s="19">
        <v>777</v>
      </c>
      <c r="G782" s="22">
        <v>45154</v>
      </c>
      <c r="H782" s="30">
        <f t="shared" si="12"/>
        <v>82.59</v>
      </c>
    </row>
    <row r="783" spans="6:8" x14ac:dyDescent="0.3">
      <c r="F783" s="19">
        <v>778</v>
      </c>
      <c r="G783" s="22">
        <v>45153</v>
      </c>
      <c r="H783" s="30">
        <f t="shared" si="12"/>
        <v>82.59</v>
      </c>
    </row>
    <row r="784" spans="6:8" x14ac:dyDescent="0.3">
      <c r="F784" s="19">
        <v>779</v>
      </c>
      <c r="G784" s="22">
        <v>45152</v>
      </c>
      <c r="H784" s="30">
        <f t="shared" si="12"/>
        <v>82.59</v>
      </c>
    </row>
    <row r="785" spans="6:8" x14ac:dyDescent="0.3">
      <c r="F785" s="19">
        <v>780</v>
      </c>
      <c r="G785" s="22">
        <v>45151</v>
      </c>
      <c r="H785" s="30">
        <f t="shared" si="12"/>
        <v>82.59</v>
      </c>
    </row>
    <row r="786" spans="6:8" x14ac:dyDescent="0.3">
      <c r="F786" s="19">
        <v>781</v>
      </c>
      <c r="G786" s="22">
        <v>45150</v>
      </c>
      <c r="H786" s="30">
        <f t="shared" si="12"/>
        <v>82.59</v>
      </c>
    </row>
    <row r="787" spans="6:8" x14ac:dyDescent="0.3">
      <c r="F787" s="19">
        <v>782</v>
      </c>
      <c r="G787" s="22">
        <v>45149</v>
      </c>
      <c r="H787" s="30">
        <f t="shared" si="12"/>
        <v>82.59</v>
      </c>
    </row>
    <row r="788" spans="6:8" x14ac:dyDescent="0.3">
      <c r="F788" s="19">
        <v>783</v>
      </c>
      <c r="G788" s="22">
        <v>45148</v>
      </c>
      <c r="H788" s="30">
        <f t="shared" si="12"/>
        <v>82.59</v>
      </c>
    </row>
    <row r="789" spans="6:8" x14ac:dyDescent="0.3">
      <c r="F789" s="19">
        <v>784</v>
      </c>
      <c r="G789" s="22">
        <v>45147</v>
      </c>
      <c r="H789" s="30">
        <f t="shared" si="12"/>
        <v>82.59</v>
      </c>
    </row>
    <row r="790" spans="6:8" x14ac:dyDescent="0.3">
      <c r="F790" s="19">
        <v>785</v>
      </c>
      <c r="G790" s="22">
        <v>45146</v>
      </c>
      <c r="H790" s="30">
        <f t="shared" si="12"/>
        <v>82.59</v>
      </c>
    </row>
    <row r="791" spans="6:8" x14ac:dyDescent="0.3">
      <c r="F791" s="19">
        <v>786</v>
      </c>
      <c r="G791" s="22">
        <v>45145</v>
      </c>
      <c r="H791" s="30">
        <f t="shared" si="12"/>
        <v>82.59</v>
      </c>
    </row>
    <row r="792" spans="6:8" x14ac:dyDescent="0.3">
      <c r="F792" s="19">
        <v>787</v>
      </c>
      <c r="G792" s="22">
        <v>45144</v>
      </c>
      <c r="H792" s="30">
        <f t="shared" si="12"/>
        <v>82.59</v>
      </c>
    </row>
    <row r="793" spans="6:8" x14ac:dyDescent="0.3">
      <c r="F793" s="19">
        <v>788</v>
      </c>
      <c r="G793" s="22">
        <v>45143</v>
      </c>
      <c r="H793" s="30">
        <f t="shared" si="12"/>
        <v>82.59</v>
      </c>
    </row>
    <row r="794" spans="6:8" x14ac:dyDescent="0.3">
      <c r="F794" s="19">
        <v>789</v>
      </c>
      <c r="G794" s="22">
        <v>45142</v>
      </c>
      <c r="H794" s="30">
        <f t="shared" si="12"/>
        <v>82.59</v>
      </c>
    </row>
    <row r="795" spans="6:8" x14ac:dyDescent="0.3">
      <c r="F795" s="19">
        <v>790</v>
      </c>
      <c r="G795" s="22">
        <v>45141</v>
      </c>
      <c r="H795" s="30">
        <f t="shared" si="12"/>
        <v>82.59</v>
      </c>
    </row>
    <row r="796" spans="6:8" x14ac:dyDescent="0.3">
      <c r="F796" s="19">
        <v>791</v>
      </c>
      <c r="G796" s="22">
        <v>45140</v>
      </c>
      <c r="H796" s="30">
        <f t="shared" si="12"/>
        <v>82.59</v>
      </c>
    </row>
    <row r="797" spans="6:8" x14ac:dyDescent="0.3">
      <c r="F797" s="19">
        <v>792</v>
      </c>
      <c r="G797" s="22">
        <v>45139</v>
      </c>
      <c r="H797" s="30">
        <f t="shared" si="12"/>
        <v>82.59</v>
      </c>
    </row>
    <row r="798" spans="6:8" x14ac:dyDescent="0.3">
      <c r="F798" s="19">
        <v>793</v>
      </c>
      <c r="G798" s="22">
        <v>45138</v>
      </c>
      <c r="H798" s="30">
        <f t="shared" si="12"/>
        <v>71.31</v>
      </c>
    </row>
    <row r="799" spans="6:8" x14ac:dyDescent="0.3">
      <c r="F799" s="19">
        <v>794</v>
      </c>
      <c r="G799" s="22">
        <v>45137</v>
      </c>
      <c r="H799" s="30">
        <f t="shared" si="12"/>
        <v>71.31</v>
      </c>
    </row>
    <row r="800" spans="6:8" x14ac:dyDescent="0.3">
      <c r="F800" s="19">
        <v>795</v>
      </c>
      <c r="G800" s="22">
        <v>45136</v>
      </c>
      <c r="H800" s="30">
        <f t="shared" si="12"/>
        <v>71.31</v>
      </c>
    </row>
    <row r="801" spans="6:8" x14ac:dyDescent="0.3">
      <c r="F801" s="19">
        <v>796</v>
      </c>
      <c r="G801" s="22">
        <v>45135</v>
      </c>
      <c r="H801" s="30">
        <f t="shared" si="12"/>
        <v>71.31</v>
      </c>
    </row>
    <row r="802" spans="6:8" x14ac:dyDescent="0.3">
      <c r="F802" s="19">
        <v>797</v>
      </c>
      <c r="G802" s="22">
        <v>45134</v>
      </c>
      <c r="H802" s="30">
        <f t="shared" si="12"/>
        <v>71.31</v>
      </c>
    </row>
    <row r="803" spans="6:8" x14ac:dyDescent="0.3">
      <c r="F803" s="19">
        <v>798</v>
      </c>
      <c r="G803" s="22">
        <v>45133</v>
      </c>
      <c r="H803" s="30">
        <f t="shared" si="12"/>
        <v>71.31</v>
      </c>
    </row>
    <row r="804" spans="6:8" x14ac:dyDescent="0.3">
      <c r="F804" s="19">
        <v>799</v>
      </c>
      <c r="G804" s="22">
        <v>45132</v>
      </c>
      <c r="H804" s="30">
        <f t="shared" si="12"/>
        <v>71.31</v>
      </c>
    </row>
    <row r="805" spans="6:8" x14ac:dyDescent="0.3">
      <c r="F805" s="19">
        <v>800</v>
      </c>
      <c r="G805" s="22">
        <v>45131</v>
      </c>
      <c r="H805" s="30">
        <f t="shared" si="12"/>
        <v>71.31</v>
      </c>
    </row>
    <row r="806" spans="6:8" x14ac:dyDescent="0.3">
      <c r="F806" s="19">
        <v>801</v>
      </c>
      <c r="G806" s="22">
        <v>45130</v>
      </c>
      <c r="H806" s="30">
        <f t="shared" si="12"/>
        <v>71.31</v>
      </c>
    </row>
    <row r="807" spans="6:8" x14ac:dyDescent="0.3">
      <c r="F807" s="19">
        <v>802</v>
      </c>
      <c r="G807" s="22">
        <v>45129</v>
      </c>
      <c r="H807" s="30">
        <f t="shared" si="12"/>
        <v>71.31</v>
      </c>
    </row>
    <row r="808" spans="6:8" x14ac:dyDescent="0.3">
      <c r="F808" s="19">
        <v>803</v>
      </c>
      <c r="G808" s="22">
        <v>45128</v>
      </c>
      <c r="H808" s="30">
        <f t="shared" si="12"/>
        <v>71.31</v>
      </c>
    </row>
    <row r="809" spans="6:8" x14ac:dyDescent="0.3">
      <c r="F809" s="19">
        <v>804</v>
      </c>
      <c r="G809" s="22">
        <v>45127</v>
      </c>
      <c r="H809" s="30">
        <f t="shared" si="12"/>
        <v>71.31</v>
      </c>
    </row>
    <row r="810" spans="6:8" x14ac:dyDescent="0.3">
      <c r="F810" s="19">
        <v>805</v>
      </c>
      <c r="G810" s="22">
        <v>45126</v>
      </c>
      <c r="H810" s="30">
        <f t="shared" si="12"/>
        <v>71.31</v>
      </c>
    </row>
    <row r="811" spans="6:8" x14ac:dyDescent="0.3">
      <c r="F811" s="19">
        <v>806</v>
      </c>
      <c r="G811" s="22">
        <v>45125</v>
      </c>
      <c r="H811" s="30">
        <f t="shared" si="12"/>
        <v>71.31</v>
      </c>
    </row>
    <row r="812" spans="6:8" x14ac:dyDescent="0.3">
      <c r="F812" s="19">
        <v>807</v>
      </c>
      <c r="G812" s="22">
        <v>45124</v>
      </c>
      <c r="H812" s="30">
        <f t="shared" si="12"/>
        <v>71.31</v>
      </c>
    </row>
    <row r="813" spans="6:8" x14ac:dyDescent="0.3">
      <c r="F813" s="19">
        <v>808</v>
      </c>
      <c r="G813" s="22">
        <v>45123</v>
      </c>
      <c r="H813" s="30">
        <f t="shared" si="12"/>
        <v>71.31</v>
      </c>
    </row>
    <row r="814" spans="6:8" x14ac:dyDescent="0.3">
      <c r="F814" s="19">
        <v>809</v>
      </c>
      <c r="G814" s="22">
        <v>45122</v>
      </c>
      <c r="H814" s="30">
        <f t="shared" si="12"/>
        <v>71.31</v>
      </c>
    </row>
    <row r="815" spans="6:8" x14ac:dyDescent="0.3">
      <c r="F815" s="19">
        <v>810</v>
      </c>
      <c r="G815" s="22">
        <v>45121</v>
      </c>
      <c r="H815" s="30">
        <f t="shared" si="12"/>
        <v>71.31</v>
      </c>
    </row>
    <row r="816" spans="6:8" x14ac:dyDescent="0.3">
      <c r="F816" s="19">
        <v>811</v>
      </c>
      <c r="G816" s="22">
        <v>45120</v>
      </c>
      <c r="H816" s="30">
        <f t="shared" si="12"/>
        <v>71.31</v>
      </c>
    </row>
    <row r="817" spans="6:8" x14ac:dyDescent="0.3">
      <c r="F817" s="19">
        <v>812</v>
      </c>
      <c r="G817" s="22">
        <v>45119</v>
      </c>
      <c r="H817" s="30">
        <f t="shared" si="12"/>
        <v>71.31</v>
      </c>
    </row>
    <row r="818" spans="6:8" x14ac:dyDescent="0.3">
      <c r="F818" s="19">
        <v>813</v>
      </c>
      <c r="G818" s="22">
        <v>45118</v>
      </c>
      <c r="H818" s="30">
        <f t="shared" si="12"/>
        <v>71.31</v>
      </c>
    </row>
    <row r="819" spans="6:8" x14ac:dyDescent="0.3">
      <c r="F819" s="19">
        <v>814</v>
      </c>
      <c r="G819" s="22">
        <v>45117</v>
      </c>
      <c r="H819" s="30">
        <f t="shared" si="12"/>
        <v>71.31</v>
      </c>
    </row>
    <row r="820" spans="6:8" x14ac:dyDescent="0.3">
      <c r="F820" s="19">
        <v>815</v>
      </c>
      <c r="G820" s="22">
        <v>45116</v>
      </c>
      <c r="H820" s="30">
        <f t="shared" si="12"/>
        <v>71.31</v>
      </c>
    </row>
    <row r="821" spans="6:8" x14ac:dyDescent="0.3">
      <c r="F821" s="19">
        <v>816</v>
      </c>
      <c r="G821" s="22">
        <v>45115</v>
      </c>
      <c r="H821" s="30">
        <f t="shared" si="12"/>
        <v>71.31</v>
      </c>
    </row>
    <row r="822" spans="6:8" x14ac:dyDescent="0.3">
      <c r="F822" s="19">
        <v>817</v>
      </c>
      <c r="G822" s="22">
        <v>45114</v>
      </c>
      <c r="H822" s="30">
        <f t="shared" si="12"/>
        <v>71.31</v>
      </c>
    </row>
    <row r="823" spans="6:8" x14ac:dyDescent="0.3">
      <c r="F823" s="19">
        <v>818</v>
      </c>
      <c r="G823" s="22">
        <v>45113</v>
      </c>
      <c r="H823" s="30">
        <f t="shared" si="12"/>
        <v>71.31</v>
      </c>
    </row>
    <row r="824" spans="6:8" x14ac:dyDescent="0.3">
      <c r="F824" s="19">
        <v>819</v>
      </c>
      <c r="G824" s="22">
        <v>45112</v>
      </c>
      <c r="H824" s="30">
        <f t="shared" si="12"/>
        <v>71.31</v>
      </c>
    </row>
    <row r="825" spans="6:8" x14ac:dyDescent="0.3">
      <c r="F825" s="19">
        <v>820</v>
      </c>
      <c r="G825" s="22">
        <v>45111</v>
      </c>
      <c r="H825" s="30">
        <f t="shared" si="12"/>
        <v>71.31</v>
      </c>
    </row>
    <row r="826" spans="6:8" x14ac:dyDescent="0.3">
      <c r="F826" s="19">
        <v>821</v>
      </c>
      <c r="G826" s="22">
        <v>45110</v>
      </c>
      <c r="H826" s="30">
        <f t="shared" si="12"/>
        <v>71.31</v>
      </c>
    </row>
    <row r="827" spans="6:8" x14ac:dyDescent="0.3">
      <c r="F827" s="19">
        <v>822</v>
      </c>
      <c r="G827" s="22">
        <v>45109</v>
      </c>
      <c r="H827" s="30">
        <f t="shared" si="12"/>
        <v>71.31</v>
      </c>
    </row>
    <row r="828" spans="6:8" x14ac:dyDescent="0.3">
      <c r="F828" s="19">
        <v>823</v>
      </c>
      <c r="G828" s="22">
        <v>45108</v>
      </c>
      <c r="H828" s="30">
        <f t="shared" si="12"/>
        <v>71.31</v>
      </c>
    </row>
    <row r="829" spans="6:8" x14ac:dyDescent="0.3">
      <c r="F829" s="19">
        <v>824</v>
      </c>
      <c r="G829" s="22">
        <v>45107</v>
      </c>
      <c r="H829" s="30">
        <f t="shared" si="12"/>
        <v>65.900000000000006</v>
      </c>
    </row>
    <row r="830" spans="6:8" x14ac:dyDescent="0.3">
      <c r="F830" s="19">
        <v>825</v>
      </c>
      <c r="G830" s="22">
        <v>45106</v>
      </c>
      <c r="H830" s="30">
        <f t="shared" si="12"/>
        <v>65.900000000000006</v>
      </c>
    </row>
    <row r="831" spans="6:8" x14ac:dyDescent="0.3">
      <c r="F831" s="19">
        <v>826</v>
      </c>
      <c r="G831" s="22">
        <v>45105</v>
      </c>
      <c r="H831" s="30">
        <f t="shared" si="12"/>
        <v>65.900000000000006</v>
      </c>
    </row>
    <row r="832" spans="6:8" x14ac:dyDescent="0.3">
      <c r="F832" s="19">
        <v>827</v>
      </c>
      <c r="G832" s="22">
        <v>45104</v>
      </c>
      <c r="H832" s="30">
        <f t="shared" si="12"/>
        <v>65.900000000000006</v>
      </c>
    </row>
    <row r="833" spans="6:8" x14ac:dyDescent="0.3">
      <c r="F833" s="19">
        <v>828</v>
      </c>
      <c r="G833" s="22">
        <v>45103</v>
      </c>
      <c r="H833" s="30">
        <f t="shared" si="12"/>
        <v>65.900000000000006</v>
      </c>
    </row>
    <row r="834" spans="6:8" x14ac:dyDescent="0.3">
      <c r="F834" s="19">
        <v>829</v>
      </c>
      <c r="G834" s="22">
        <v>45102</v>
      </c>
      <c r="H834" s="30">
        <f t="shared" si="12"/>
        <v>65.900000000000006</v>
      </c>
    </row>
    <row r="835" spans="6:8" x14ac:dyDescent="0.3">
      <c r="F835" s="19">
        <v>830</v>
      </c>
      <c r="G835" s="22">
        <v>45101</v>
      </c>
      <c r="H835" s="30">
        <f t="shared" si="12"/>
        <v>65.900000000000006</v>
      </c>
    </row>
    <row r="836" spans="6:8" x14ac:dyDescent="0.3">
      <c r="F836" s="19">
        <v>831</v>
      </c>
      <c r="G836" s="22">
        <v>45100</v>
      </c>
      <c r="H836" s="30">
        <f t="shared" si="12"/>
        <v>65.900000000000006</v>
      </c>
    </row>
    <row r="837" spans="6:8" x14ac:dyDescent="0.3">
      <c r="F837" s="19">
        <v>832</v>
      </c>
      <c r="G837" s="22">
        <v>45099</v>
      </c>
      <c r="H837" s="30">
        <f t="shared" si="12"/>
        <v>65.900000000000006</v>
      </c>
    </row>
    <row r="838" spans="6:8" x14ac:dyDescent="0.3">
      <c r="F838" s="19">
        <v>833</v>
      </c>
      <c r="G838" s="22">
        <v>45098</v>
      </c>
      <c r="H838" s="30">
        <f t="shared" si="12"/>
        <v>65.900000000000006</v>
      </c>
    </row>
    <row r="839" spans="6:8" x14ac:dyDescent="0.3">
      <c r="F839" s="19">
        <v>834</v>
      </c>
      <c r="G839" s="22">
        <v>45097</v>
      </c>
      <c r="H839" s="30">
        <f t="shared" ref="H839:H902" si="13">_xlfn.XLOOKUP(G839,$B$6:$B$38,$C$6:$C$38,,-1)</f>
        <v>65.900000000000006</v>
      </c>
    </row>
    <row r="840" spans="6:8" x14ac:dyDescent="0.3">
      <c r="F840" s="19">
        <v>835</v>
      </c>
      <c r="G840" s="22">
        <v>45096</v>
      </c>
      <c r="H840" s="30">
        <f t="shared" si="13"/>
        <v>65.900000000000006</v>
      </c>
    </row>
    <row r="841" spans="6:8" x14ac:dyDescent="0.3">
      <c r="F841" s="19">
        <v>836</v>
      </c>
      <c r="G841" s="22">
        <v>45095</v>
      </c>
      <c r="H841" s="30">
        <f t="shared" si="13"/>
        <v>65.900000000000006</v>
      </c>
    </row>
    <row r="842" spans="6:8" x14ac:dyDescent="0.3">
      <c r="F842" s="19">
        <v>837</v>
      </c>
      <c r="G842" s="22">
        <v>45094</v>
      </c>
      <c r="H842" s="30">
        <f t="shared" si="13"/>
        <v>65.900000000000006</v>
      </c>
    </row>
    <row r="843" spans="6:8" x14ac:dyDescent="0.3">
      <c r="F843" s="19">
        <v>838</v>
      </c>
      <c r="G843" s="22">
        <v>45093</v>
      </c>
      <c r="H843" s="30">
        <f t="shared" si="13"/>
        <v>65.900000000000006</v>
      </c>
    </row>
    <row r="844" spans="6:8" x14ac:dyDescent="0.3">
      <c r="F844" s="19">
        <v>839</v>
      </c>
      <c r="G844" s="22">
        <v>45092</v>
      </c>
      <c r="H844" s="30">
        <f t="shared" si="13"/>
        <v>65.900000000000006</v>
      </c>
    </row>
    <row r="845" spans="6:8" x14ac:dyDescent="0.3">
      <c r="F845" s="19">
        <v>840</v>
      </c>
      <c r="G845" s="22">
        <v>45091</v>
      </c>
      <c r="H845" s="30">
        <f t="shared" si="13"/>
        <v>65.900000000000006</v>
      </c>
    </row>
    <row r="846" spans="6:8" x14ac:dyDescent="0.3">
      <c r="F846" s="19">
        <v>841</v>
      </c>
      <c r="G846" s="22">
        <v>45090</v>
      </c>
      <c r="H846" s="30">
        <f t="shared" si="13"/>
        <v>65.900000000000006</v>
      </c>
    </row>
    <row r="847" spans="6:8" x14ac:dyDescent="0.3">
      <c r="F847" s="19">
        <v>842</v>
      </c>
      <c r="G847" s="22">
        <v>45089</v>
      </c>
      <c r="H847" s="30">
        <f t="shared" si="13"/>
        <v>65.900000000000006</v>
      </c>
    </row>
    <row r="848" spans="6:8" x14ac:dyDescent="0.3">
      <c r="F848" s="19">
        <v>843</v>
      </c>
      <c r="G848" s="22">
        <v>45088</v>
      </c>
      <c r="H848" s="30">
        <f t="shared" si="13"/>
        <v>65.900000000000006</v>
      </c>
    </row>
    <row r="849" spans="6:8" x14ac:dyDescent="0.3">
      <c r="F849" s="19">
        <v>844</v>
      </c>
      <c r="G849" s="22">
        <v>45087</v>
      </c>
      <c r="H849" s="30">
        <f t="shared" si="13"/>
        <v>65.900000000000006</v>
      </c>
    </row>
    <row r="850" spans="6:8" x14ac:dyDescent="0.3">
      <c r="F850" s="19">
        <v>845</v>
      </c>
      <c r="G850" s="22">
        <v>45086</v>
      </c>
      <c r="H850" s="30">
        <f t="shared" si="13"/>
        <v>65.900000000000006</v>
      </c>
    </row>
    <row r="851" spans="6:8" x14ac:dyDescent="0.3">
      <c r="F851" s="19">
        <v>846</v>
      </c>
      <c r="G851" s="22">
        <v>45085</v>
      </c>
      <c r="H851" s="30">
        <f t="shared" si="13"/>
        <v>65.900000000000006</v>
      </c>
    </row>
    <row r="852" spans="6:8" x14ac:dyDescent="0.3">
      <c r="F852" s="19">
        <v>847</v>
      </c>
      <c r="G852" s="22">
        <v>45084</v>
      </c>
      <c r="H852" s="30">
        <f t="shared" si="13"/>
        <v>65.900000000000006</v>
      </c>
    </row>
    <row r="853" spans="6:8" x14ac:dyDescent="0.3">
      <c r="F853" s="19">
        <v>848</v>
      </c>
      <c r="G853" s="22">
        <v>45083</v>
      </c>
      <c r="H853" s="30">
        <f t="shared" si="13"/>
        <v>65.900000000000006</v>
      </c>
    </row>
    <row r="854" spans="6:8" x14ac:dyDescent="0.3">
      <c r="F854" s="19">
        <v>849</v>
      </c>
      <c r="G854" s="22">
        <v>45082</v>
      </c>
      <c r="H854" s="30">
        <f t="shared" si="13"/>
        <v>65.900000000000006</v>
      </c>
    </row>
    <row r="855" spans="6:8" x14ac:dyDescent="0.3">
      <c r="F855" s="19">
        <v>850</v>
      </c>
      <c r="G855" s="22">
        <v>45081</v>
      </c>
      <c r="H855" s="30">
        <f t="shared" si="13"/>
        <v>65.900000000000006</v>
      </c>
    </row>
    <row r="856" spans="6:8" x14ac:dyDescent="0.3">
      <c r="F856" s="19">
        <v>851</v>
      </c>
      <c r="G856" s="22">
        <v>45080</v>
      </c>
      <c r="H856" s="30">
        <f t="shared" si="13"/>
        <v>65.900000000000006</v>
      </c>
    </row>
    <row r="857" spans="6:8" x14ac:dyDescent="0.3">
      <c r="F857" s="19">
        <v>852</v>
      </c>
      <c r="G857" s="22">
        <v>45079</v>
      </c>
      <c r="H857" s="30">
        <f t="shared" si="13"/>
        <v>65.900000000000006</v>
      </c>
    </row>
    <row r="858" spans="6:8" x14ac:dyDescent="0.3">
      <c r="F858" s="19">
        <v>853</v>
      </c>
      <c r="G858" s="22">
        <v>45078</v>
      </c>
      <c r="H858" s="30">
        <f t="shared" si="13"/>
        <v>65.900000000000006</v>
      </c>
    </row>
    <row r="859" spans="6:8" x14ac:dyDescent="0.3">
      <c r="F859" s="19">
        <v>854</v>
      </c>
      <c r="G859" s="22">
        <v>45077</v>
      </c>
      <c r="H859" s="30">
        <f t="shared" si="13"/>
        <v>70.12</v>
      </c>
    </row>
    <row r="860" spans="6:8" x14ac:dyDescent="0.3">
      <c r="F860" s="19">
        <v>855</v>
      </c>
      <c r="G860" s="22">
        <v>45076</v>
      </c>
      <c r="H860" s="30">
        <f t="shared" si="13"/>
        <v>70.12</v>
      </c>
    </row>
    <row r="861" spans="6:8" x14ac:dyDescent="0.3">
      <c r="F861" s="19">
        <v>856</v>
      </c>
      <c r="G861" s="22">
        <v>45075</v>
      </c>
      <c r="H861" s="30">
        <f t="shared" si="13"/>
        <v>70.12</v>
      </c>
    </row>
    <row r="862" spans="6:8" x14ac:dyDescent="0.3">
      <c r="F862" s="19">
        <v>857</v>
      </c>
      <c r="G862" s="22">
        <v>45074</v>
      </c>
      <c r="H862" s="30">
        <f t="shared" si="13"/>
        <v>70.12</v>
      </c>
    </row>
    <row r="863" spans="6:8" x14ac:dyDescent="0.3">
      <c r="F863" s="19">
        <v>858</v>
      </c>
      <c r="G863" s="22">
        <v>45073</v>
      </c>
      <c r="H863" s="30">
        <f t="shared" si="13"/>
        <v>70.12</v>
      </c>
    </row>
    <row r="864" spans="6:8" x14ac:dyDescent="0.3">
      <c r="F864" s="19">
        <v>859</v>
      </c>
      <c r="G864" s="22">
        <v>45072</v>
      </c>
      <c r="H864" s="30">
        <f t="shared" si="13"/>
        <v>70.12</v>
      </c>
    </row>
    <row r="865" spans="6:8" x14ac:dyDescent="0.3">
      <c r="F865" s="19">
        <v>860</v>
      </c>
      <c r="G865" s="22">
        <v>45071</v>
      </c>
      <c r="H865" s="30">
        <f t="shared" si="13"/>
        <v>70.12</v>
      </c>
    </row>
    <row r="866" spans="6:8" x14ac:dyDescent="0.3">
      <c r="F866" s="19">
        <v>861</v>
      </c>
      <c r="G866" s="22">
        <v>45070</v>
      </c>
      <c r="H866" s="30">
        <f t="shared" si="13"/>
        <v>70.12</v>
      </c>
    </row>
    <row r="867" spans="6:8" x14ac:dyDescent="0.3">
      <c r="F867" s="19">
        <v>862</v>
      </c>
      <c r="G867" s="22">
        <v>45069</v>
      </c>
      <c r="H867" s="30">
        <f t="shared" si="13"/>
        <v>70.12</v>
      </c>
    </row>
    <row r="868" spans="6:8" x14ac:dyDescent="0.3">
      <c r="F868" s="19">
        <v>863</v>
      </c>
      <c r="G868" s="22">
        <v>45068</v>
      </c>
      <c r="H868" s="30">
        <f t="shared" si="13"/>
        <v>70.12</v>
      </c>
    </row>
    <row r="869" spans="6:8" x14ac:dyDescent="0.3">
      <c r="F869" s="19">
        <v>864</v>
      </c>
      <c r="G869" s="22">
        <v>45067</v>
      </c>
      <c r="H869" s="30">
        <f t="shared" si="13"/>
        <v>70.12</v>
      </c>
    </row>
    <row r="870" spans="6:8" x14ac:dyDescent="0.3">
      <c r="F870" s="19">
        <v>865</v>
      </c>
      <c r="G870" s="22">
        <v>45066</v>
      </c>
      <c r="H870" s="30">
        <f t="shared" si="13"/>
        <v>70.12</v>
      </c>
    </row>
    <row r="871" spans="6:8" x14ac:dyDescent="0.3">
      <c r="F871" s="19">
        <v>866</v>
      </c>
      <c r="G871" s="22">
        <v>45065</v>
      </c>
      <c r="H871" s="30">
        <f t="shared" si="13"/>
        <v>70.12</v>
      </c>
    </row>
    <row r="872" spans="6:8" x14ac:dyDescent="0.3">
      <c r="F872" s="19">
        <v>867</v>
      </c>
      <c r="G872" s="22">
        <v>45064</v>
      </c>
      <c r="H872" s="30">
        <f t="shared" si="13"/>
        <v>70.12</v>
      </c>
    </row>
    <row r="873" spans="6:8" x14ac:dyDescent="0.3">
      <c r="F873" s="19">
        <v>868</v>
      </c>
      <c r="G873" s="22">
        <v>45063</v>
      </c>
      <c r="H873" s="30">
        <f t="shared" si="13"/>
        <v>70.12</v>
      </c>
    </row>
    <row r="874" spans="6:8" x14ac:dyDescent="0.3">
      <c r="F874" s="19">
        <v>869</v>
      </c>
      <c r="G874" s="22">
        <v>45062</v>
      </c>
      <c r="H874" s="30">
        <f t="shared" si="13"/>
        <v>70.12</v>
      </c>
    </row>
    <row r="875" spans="6:8" x14ac:dyDescent="0.3">
      <c r="F875" s="19">
        <v>870</v>
      </c>
      <c r="G875" s="22">
        <v>45061</v>
      </c>
      <c r="H875" s="30">
        <f t="shared" si="13"/>
        <v>70.12</v>
      </c>
    </row>
    <row r="876" spans="6:8" x14ac:dyDescent="0.3">
      <c r="F876" s="19">
        <v>871</v>
      </c>
      <c r="G876" s="22">
        <v>45060</v>
      </c>
      <c r="H876" s="30">
        <f t="shared" si="13"/>
        <v>70.12</v>
      </c>
    </row>
    <row r="877" spans="6:8" x14ac:dyDescent="0.3">
      <c r="F877" s="19">
        <v>872</v>
      </c>
      <c r="G877" s="22">
        <v>45059</v>
      </c>
      <c r="H877" s="30">
        <f t="shared" si="13"/>
        <v>70.12</v>
      </c>
    </row>
    <row r="878" spans="6:8" x14ac:dyDescent="0.3">
      <c r="F878" s="19">
        <v>873</v>
      </c>
      <c r="G878" s="22">
        <v>45058</v>
      </c>
      <c r="H878" s="30">
        <f t="shared" si="13"/>
        <v>70.12</v>
      </c>
    </row>
    <row r="879" spans="6:8" x14ac:dyDescent="0.3">
      <c r="F879" s="19">
        <v>874</v>
      </c>
      <c r="G879" s="22">
        <v>45057</v>
      </c>
      <c r="H879" s="30">
        <f t="shared" si="13"/>
        <v>70.12</v>
      </c>
    </row>
    <row r="880" spans="6:8" x14ac:dyDescent="0.3">
      <c r="F880" s="19">
        <v>875</v>
      </c>
      <c r="G880" s="22">
        <v>45056</v>
      </c>
      <c r="H880" s="30">
        <f t="shared" si="13"/>
        <v>70.12</v>
      </c>
    </row>
    <row r="881" spans="6:8" x14ac:dyDescent="0.3">
      <c r="F881" s="19">
        <v>876</v>
      </c>
      <c r="G881" s="22">
        <v>45055</v>
      </c>
      <c r="H881" s="30">
        <f t="shared" si="13"/>
        <v>70.12</v>
      </c>
    </row>
    <row r="882" spans="6:8" x14ac:dyDescent="0.3">
      <c r="F882" s="19">
        <v>877</v>
      </c>
      <c r="G882" s="22">
        <v>45054</v>
      </c>
      <c r="H882" s="30">
        <f t="shared" si="13"/>
        <v>70.12</v>
      </c>
    </row>
    <row r="883" spans="6:8" x14ac:dyDescent="0.3">
      <c r="F883" s="19">
        <v>878</v>
      </c>
      <c r="G883" s="22">
        <v>45053</v>
      </c>
      <c r="H883" s="30">
        <f t="shared" si="13"/>
        <v>70.12</v>
      </c>
    </row>
    <row r="884" spans="6:8" x14ac:dyDescent="0.3">
      <c r="F884" s="19">
        <v>879</v>
      </c>
      <c r="G884" s="22">
        <v>45052</v>
      </c>
      <c r="H884" s="30">
        <f t="shared" si="13"/>
        <v>70.12</v>
      </c>
    </row>
    <row r="885" spans="6:8" x14ac:dyDescent="0.3">
      <c r="F885" s="19">
        <v>880</v>
      </c>
      <c r="G885" s="22">
        <v>45051</v>
      </c>
      <c r="H885" s="30">
        <f t="shared" si="13"/>
        <v>70.12</v>
      </c>
    </row>
    <row r="886" spans="6:8" x14ac:dyDescent="0.3">
      <c r="F886" s="19">
        <v>881</v>
      </c>
      <c r="G886" s="22">
        <v>45050</v>
      </c>
      <c r="H886" s="30">
        <f t="shared" si="13"/>
        <v>70.12</v>
      </c>
    </row>
    <row r="887" spans="6:8" x14ac:dyDescent="0.3">
      <c r="F887" s="19">
        <v>882</v>
      </c>
      <c r="G887" s="22">
        <v>45049</v>
      </c>
      <c r="H887" s="30">
        <f t="shared" si="13"/>
        <v>70.12</v>
      </c>
    </row>
    <row r="888" spans="6:8" x14ac:dyDescent="0.3">
      <c r="F888" s="19">
        <v>883</v>
      </c>
      <c r="G888" s="22">
        <v>45048</v>
      </c>
      <c r="H888" s="30">
        <f t="shared" si="13"/>
        <v>70.12</v>
      </c>
    </row>
    <row r="889" spans="6:8" x14ac:dyDescent="0.3">
      <c r="F889" s="19">
        <v>884</v>
      </c>
      <c r="G889" s="22">
        <v>45047</v>
      </c>
      <c r="H889" s="30">
        <f t="shared" si="13"/>
        <v>70.12</v>
      </c>
    </row>
    <row r="890" spans="6:8" x14ac:dyDescent="0.3">
      <c r="F890" s="19">
        <v>885</v>
      </c>
      <c r="G890" s="22">
        <v>45046</v>
      </c>
      <c r="H890" s="30">
        <f t="shared" si="13"/>
        <v>79.34</v>
      </c>
    </row>
    <row r="891" spans="6:8" x14ac:dyDescent="0.3">
      <c r="F891" s="19">
        <v>886</v>
      </c>
      <c r="G891" s="22">
        <v>45045</v>
      </c>
      <c r="H891" s="30">
        <f t="shared" si="13"/>
        <v>79.34</v>
      </c>
    </row>
    <row r="892" spans="6:8" x14ac:dyDescent="0.3">
      <c r="F892" s="19">
        <v>887</v>
      </c>
      <c r="G892" s="22">
        <v>45044</v>
      </c>
      <c r="H892" s="30">
        <f t="shared" si="13"/>
        <v>79.34</v>
      </c>
    </row>
    <row r="893" spans="6:8" x14ac:dyDescent="0.3">
      <c r="F893" s="19">
        <v>888</v>
      </c>
      <c r="G893" s="22">
        <v>45043</v>
      </c>
      <c r="H893" s="30">
        <f t="shared" si="13"/>
        <v>79.34</v>
      </c>
    </row>
    <row r="894" spans="6:8" x14ac:dyDescent="0.3">
      <c r="F894" s="19">
        <v>889</v>
      </c>
      <c r="G894" s="22">
        <v>45042</v>
      </c>
      <c r="H894" s="30">
        <f t="shared" si="13"/>
        <v>79.34</v>
      </c>
    </row>
    <row r="895" spans="6:8" x14ac:dyDescent="0.3">
      <c r="F895" s="19">
        <v>890</v>
      </c>
      <c r="G895" s="22">
        <v>45041</v>
      </c>
      <c r="H895" s="30">
        <f t="shared" si="13"/>
        <v>79.34</v>
      </c>
    </row>
    <row r="896" spans="6:8" x14ac:dyDescent="0.3">
      <c r="F896" s="19">
        <v>891</v>
      </c>
      <c r="G896" s="22">
        <v>45040</v>
      </c>
      <c r="H896" s="30">
        <f t="shared" si="13"/>
        <v>79.34</v>
      </c>
    </row>
    <row r="897" spans="6:8" x14ac:dyDescent="0.3">
      <c r="F897" s="19">
        <v>892</v>
      </c>
      <c r="G897" s="22">
        <v>45039</v>
      </c>
      <c r="H897" s="30">
        <f t="shared" si="13"/>
        <v>79.34</v>
      </c>
    </row>
    <row r="898" spans="6:8" x14ac:dyDescent="0.3">
      <c r="F898" s="19">
        <v>893</v>
      </c>
      <c r="G898" s="22">
        <v>45038</v>
      </c>
      <c r="H898" s="30">
        <f t="shared" si="13"/>
        <v>79.34</v>
      </c>
    </row>
    <row r="899" spans="6:8" x14ac:dyDescent="0.3">
      <c r="F899" s="19">
        <v>894</v>
      </c>
      <c r="G899" s="22">
        <v>45037</v>
      </c>
      <c r="H899" s="30">
        <f t="shared" si="13"/>
        <v>79.34</v>
      </c>
    </row>
    <row r="900" spans="6:8" x14ac:dyDescent="0.3">
      <c r="F900" s="19">
        <v>895</v>
      </c>
      <c r="G900" s="22">
        <v>45036</v>
      </c>
      <c r="H900" s="30">
        <f t="shared" si="13"/>
        <v>79.34</v>
      </c>
    </row>
    <row r="901" spans="6:8" x14ac:dyDescent="0.3">
      <c r="F901" s="19">
        <v>896</v>
      </c>
      <c r="G901" s="22">
        <v>45035</v>
      </c>
      <c r="H901" s="30">
        <f t="shared" si="13"/>
        <v>79.34</v>
      </c>
    </row>
    <row r="902" spans="6:8" x14ac:dyDescent="0.3">
      <c r="F902" s="19">
        <v>897</v>
      </c>
      <c r="G902" s="22">
        <v>45034</v>
      </c>
      <c r="H902" s="30">
        <f t="shared" si="13"/>
        <v>79.34</v>
      </c>
    </row>
    <row r="903" spans="6:8" x14ac:dyDescent="0.3">
      <c r="F903" s="19">
        <v>898</v>
      </c>
      <c r="G903" s="22">
        <v>45033</v>
      </c>
      <c r="H903" s="30">
        <f t="shared" ref="H903:H966" si="14">_xlfn.XLOOKUP(G903,$B$6:$B$38,$C$6:$C$38,,-1)</f>
        <v>79.34</v>
      </c>
    </row>
    <row r="904" spans="6:8" x14ac:dyDescent="0.3">
      <c r="F904" s="19">
        <v>899</v>
      </c>
      <c r="G904" s="22">
        <v>45032</v>
      </c>
      <c r="H904" s="30">
        <f t="shared" si="14"/>
        <v>79.34</v>
      </c>
    </row>
    <row r="905" spans="6:8" x14ac:dyDescent="0.3">
      <c r="F905" s="19">
        <v>900</v>
      </c>
      <c r="G905" s="22">
        <v>45031</v>
      </c>
      <c r="H905" s="30">
        <f t="shared" si="14"/>
        <v>79.34</v>
      </c>
    </row>
    <row r="906" spans="6:8" x14ac:dyDescent="0.3">
      <c r="F906" s="19">
        <v>901</v>
      </c>
      <c r="G906" s="22">
        <v>45030</v>
      </c>
      <c r="H906" s="30">
        <f t="shared" si="14"/>
        <v>79.34</v>
      </c>
    </row>
    <row r="907" spans="6:8" x14ac:dyDescent="0.3">
      <c r="F907" s="19">
        <v>902</v>
      </c>
      <c r="G907" s="22">
        <v>45029</v>
      </c>
      <c r="H907" s="30">
        <f t="shared" si="14"/>
        <v>79.34</v>
      </c>
    </row>
    <row r="908" spans="6:8" x14ac:dyDescent="0.3">
      <c r="F908" s="19">
        <v>903</v>
      </c>
      <c r="G908" s="22">
        <v>45028</v>
      </c>
      <c r="H908" s="30">
        <f t="shared" si="14"/>
        <v>79.34</v>
      </c>
    </row>
    <row r="909" spans="6:8" x14ac:dyDescent="0.3">
      <c r="F909" s="19">
        <v>904</v>
      </c>
      <c r="G909" s="22">
        <v>45027</v>
      </c>
      <c r="H909" s="30">
        <f t="shared" si="14"/>
        <v>79.34</v>
      </c>
    </row>
    <row r="910" spans="6:8" x14ac:dyDescent="0.3">
      <c r="F910" s="19">
        <v>905</v>
      </c>
      <c r="G910" s="22">
        <v>45026</v>
      </c>
      <c r="H910" s="30">
        <f t="shared" si="14"/>
        <v>79.34</v>
      </c>
    </row>
    <row r="911" spans="6:8" x14ac:dyDescent="0.3">
      <c r="F911" s="19">
        <v>906</v>
      </c>
      <c r="G911" s="22">
        <v>45025</v>
      </c>
      <c r="H911" s="30">
        <f t="shared" si="14"/>
        <v>79.34</v>
      </c>
    </row>
    <row r="912" spans="6:8" x14ac:dyDescent="0.3">
      <c r="F912" s="19">
        <v>907</v>
      </c>
      <c r="G912" s="22">
        <v>45024</v>
      </c>
      <c r="H912" s="30">
        <f t="shared" si="14"/>
        <v>79.34</v>
      </c>
    </row>
    <row r="913" spans="6:8" x14ac:dyDescent="0.3">
      <c r="F913" s="19">
        <v>908</v>
      </c>
      <c r="G913" s="22">
        <v>45023</v>
      </c>
      <c r="H913" s="30">
        <f t="shared" si="14"/>
        <v>79.34</v>
      </c>
    </row>
    <row r="914" spans="6:8" x14ac:dyDescent="0.3">
      <c r="F914" s="19">
        <v>909</v>
      </c>
      <c r="G914" s="22">
        <v>45022</v>
      </c>
      <c r="H914" s="30">
        <f t="shared" si="14"/>
        <v>79.34</v>
      </c>
    </row>
    <row r="915" spans="6:8" x14ac:dyDescent="0.3">
      <c r="F915" s="19">
        <v>910</v>
      </c>
      <c r="G915" s="22">
        <v>45021</v>
      </c>
      <c r="H915" s="30">
        <f t="shared" si="14"/>
        <v>79.34</v>
      </c>
    </row>
    <row r="916" spans="6:8" x14ac:dyDescent="0.3">
      <c r="F916" s="19">
        <v>911</v>
      </c>
      <c r="G916" s="22">
        <v>45020</v>
      </c>
      <c r="H916" s="30">
        <f t="shared" si="14"/>
        <v>79.34</v>
      </c>
    </row>
    <row r="917" spans="6:8" x14ac:dyDescent="0.3">
      <c r="F917" s="19">
        <v>912</v>
      </c>
      <c r="G917" s="22">
        <v>45019</v>
      </c>
      <c r="H917" s="30">
        <f t="shared" si="14"/>
        <v>79.34</v>
      </c>
    </row>
    <row r="918" spans="6:8" x14ac:dyDescent="0.3">
      <c r="F918" s="19">
        <v>913</v>
      </c>
      <c r="G918" s="22">
        <v>45018</v>
      </c>
      <c r="H918" s="30">
        <f t="shared" si="14"/>
        <v>79.34</v>
      </c>
    </row>
    <row r="919" spans="6:8" x14ac:dyDescent="0.3">
      <c r="F919" s="19">
        <v>914</v>
      </c>
      <c r="G919" s="22">
        <v>45017</v>
      </c>
      <c r="H919" s="30">
        <f t="shared" si="14"/>
        <v>79.34</v>
      </c>
    </row>
    <row r="920" spans="6:8" x14ac:dyDescent="0.3">
      <c r="F920" s="19">
        <v>915</v>
      </c>
      <c r="G920" s="22">
        <v>45016</v>
      </c>
      <c r="H920" s="30">
        <f t="shared" si="14"/>
        <v>74.59</v>
      </c>
    </row>
    <row r="921" spans="6:8" x14ac:dyDescent="0.3">
      <c r="F921" s="19">
        <v>916</v>
      </c>
      <c r="G921" s="22">
        <v>45015</v>
      </c>
      <c r="H921" s="30">
        <f t="shared" si="14"/>
        <v>74.59</v>
      </c>
    </row>
    <row r="922" spans="6:8" x14ac:dyDescent="0.3">
      <c r="F922" s="19">
        <v>917</v>
      </c>
      <c r="G922" s="22">
        <v>45014</v>
      </c>
      <c r="H922" s="30">
        <f t="shared" si="14"/>
        <v>74.59</v>
      </c>
    </row>
    <row r="923" spans="6:8" x14ac:dyDescent="0.3">
      <c r="F923" s="19">
        <v>918</v>
      </c>
      <c r="G923" s="22">
        <v>45013</v>
      </c>
      <c r="H923" s="30">
        <f t="shared" si="14"/>
        <v>74.59</v>
      </c>
    </row>
    <row r="924" spans="6:8" x14ac:dyDescent="0.3">
      <c r="F924" s="19">
        <v>919</v>
      </c>
      <c r="G924" s="22">
        <v>45012</v>
      </c>
      <c r="H924" s="30">
        <f t="shared" si="14"/>
        <v>74.59</v>
      </c>
    </row>
    <row r="925" spans="6:8" x14ac:dyDescent="0.3">
      <c r="F925" s="19">
        <v>920</v>
      </c>
      <c r="G925" s="22">
        <v>45011</v>
      </c>
      <c r="H925" s="30">
        <f t="shared" si="14"/>
        <v>74.59</v>
      </c>
    </row>
    <row r="926" spans="6:8" x14ac:dyDescent="0.3">
      <c r="F926" s="19">
        <v>921</v>
      </c>
      <c r="G926" s="22">
        <v>45010</v>
      </c>
      <c r="H926" s="30">
        <f t="shared" si="14"/>
        <v>74.59</v>
      </c>
    </row>
    <row r="927" spans="6:8" x14ac:dyDescent="0.3">
      <c r="F927" s="19">
        <v>922</v>
      </c>
      <c r="G927" s="22">
        <v>45009</v>
      </c>
      <c r="H927" s="30">
        <f t="shared" si="14"/>
        <v>74.59</v>
      </c>
    </row>
    <row r="928" spans="6:8" x14ac:dyDescent="0.3">
      <c r="F928" s="19">
        <v>923</v>
      </c>
      <c r="G928" s="22">
        <v>45008</v>
      </c>
      <c r="H928" s="30">
        <f t="shared" si="14"/>
        <v>74.59</v>
      </c>
    </row>
    <row r="929" spans="6:8" x14ac:dyDescent="0.3">
      <c r="F929" s="19">
        <v>924</v>
      </c>
      <c r="G929" s="22">
        <v>45007</v>
      </c>
      <c r="H929" s="30">
        <f t="shared" si="14"/>
        <v>74.59</v>
      </c>
    </row>
    <row r="930" spans="6:8" x14ac:dyDescent="0.3">
      <c r="F930" s="19">
        <v>925</v>
      </c>
      <c r="G930" s="22">
        <v>45006</v>
      </c>
      <c r="H930" s="30">
        <f t="shared" si="14"/>
        <v>74.59</v>
      </c>
    </row>
    <row r="931" spans="6:8" x14ac:dyDescent="0.3">
      <c r="F931" s="19">
        <v>926</v>
      </c>
      <c r="G931" s="22">
        <v>45005</v>
      </c>
      <c r="H931" s="30">
        <f t="shared" si="14"/>
        <v>74.59</v>
      </c>
    </row>
    <row r="932" spans="6:8" x14ac:dyDescent="0.3">
      <c r="F932" s="19">
        <v>927</v>
      </c>
      <c r="G932" s="22">
        <v>45004</v>
      </c>
      <c r="H932" s="30">
        <f t="shared" si="14"/>
        <v>74.59</v>
      </c>
    </row>
    <row r="933" spans="6:8" x14ac:dyDescent="0.3">
      <c r="F933" s="19">
        <v>928</v>
      </c>
      <c r="G933" s="22">
        <v>45003</v>
      </c>
      <c r="H933" s="30">
        <f t="shared" si="14"/>
        <v>74.59</v>
      </c>
    </row>
    <row r="934" spans="6:8" x14ac:dyDescent="0.3">
      <c r="F934" s="19">
        <v>929</v>
      </c>
      <c r="G934" s="22">
        <v>45002</v>
      </c>
      <c r="H934" s="30">
        <f t="shared" si="14"/>
        <v>74.59</v>
      </c>
    </row>
    <row r="935" spans="6:8" x14ac:dyDescent="0.3">
      <c r="F935" s="19">
        <v>930</v>
      </c>
      <c r="G935" s="22">
        <v>45001</v>
      </c>
      <c r="H935" s="30">
        <f t="shared" si="14"/>
        <v>74.59</v>
      </c>
    </row>
    <row r="936" spans="6:8" x14ac:dyDescent="0.3">
      <c r="F936" s="19">
        <v>931</v>
      </c>
      <c r="G936" s="22">
        <v>45000</v>
      </c>
      <c r="H936" s="30">
        <f t="shared" si="14"/>
        <v>74.59</v>
      </c>
    </row>
    <row r="937" spans="6:8" x14ac:dyDescent="0.3">
      <c r="F937" s="19">
        <v>932</v>
      </c>
      <c r="G937" s="22">
        <v>44999</v>
      </c>
      <c r="H937" s="30">
        <f t="shared" si="14"/>
        <v>74.59</v>
      </c>
    </row>
    <row r="938" spans="6:8" x14ac:dyDescent="0.3">
      <c r="F938" s="19">
        <v>933</v>
      </c>
      <c r="G938" s="22">
        <v>44998</v>
      </c>
      <c r="H938" s="30">
        <f t="shared" si="14"/>
        <v>74.59</v>
      </c>
    </row>
    <row r="939" spans="6:8" x14ac:dyDescent="0.3">
      <c r="F939" s="19">
        <v>934</v>
      </c>
      <c r="G939" s="22">
        <v>44997</v>
      </c>
      <c r="H939" s="30">
        <f t="shared" si="14"/>
        <v>74.59</v>
      </c>
    </row>
    <row r="940" spans="6:8" x14ac:dyDescent="0.3">
      <c r="F940" s="19">
        <v>935</v>
      </c>
      <c r="G940" s="22">
        <v>44996</v>
      </c>
      <c r="H940" s="30">
        <f t="shared" si="14"/>
        <v>74.59</v>
      </c>
    </row>
    <row r="941" spans="6:8" x14ac:dyDescent="0.3">
      <c r="F941" s="19">
        <v>936</v>
      </c>
      <c r="G941" s="22">
        <v>44995</v>
      </c>
      <c r="H941" s="30">
        <f t="shared" si="14"/>
        <v>74.59</v>
      </c>
    </row>
    <row r="942" spans="6:8" x14ac:dyDescent="0.3">
      <c r="F942" s="19">
        <v>937</v>
      </c>
      <c r="G942" s="22">
        <v>44994</v>
      </c>
      <c r="H942" s="30">
        <f t="shared" si="14"/>
        <v>74.59</v>
      </c>
    </row>
    <row r="943" spans="6:8" x14ac:dyDescent="0.3">
      <c r="F943" s="19">
        <v>938</v>
      </c>
      <c r="G943" s="22">
        <v>44993</v>
      </c>
      <c r="H943" s="30">
        <f t="shared" si="14"/>
        <v>74.59</v>
      </c>
    </row>
    <row r="944" spans="6:8" x14ac:dyDescent="0.3">
      <c r="F944" s="19">
        <v>939</v>
      </c>
      <c r="G944" s="22">
        <v>44992</v>
      </c>
      <c r="H944" s="30">
        <f t="shared" si="14"/>
        <v>74.59</v>
      </c>
    </row>
    <row r="945" spans="6:8" x14ac:dyDescent="0.3">
      <c r="F945" s="19">
        <v>940</v>
      </c>
      <c r="G945" s="22">
        <v>44991</v>
      </c>
      <c r="H945" s="30">
        <f t="shared" si="14"/>
        <v>74.59</v>
      </c>
    </row>
    <row r="946" spans="6:8" x14ac:dyDescent="0.3">
      <c r="F946" s="19">
        <v>941</v>
      </c>
      <c r="G946" s="22">
        <v>44990</v>
      </c>
      <c r="H946" s="30">
        <f t="shared" si="14"/>
        <v>74.59</v>
      </c>
    </row>
    <row r="947" spans="6:8" x14ac:dyDescent="0.3">
      <c r="F947" s="19">
        <v>942</v>
      </c>
      <c r="G947" s="22">
        <v>44989</v>
      </c>
      <c r="H947" s="30">
        <f t="shared" si="14"/>
        <v>74.59</v>
      </c>
    </row>
    <row r="948" spans="6:8" x14ac:dyDescent="0.3">
      <c r="F948" s="19">
        <v>943</v>
      </c>
      <c r="G948" s="22">
        <v>44988</v>
      </c>
      <c r="H948" s="30">
        <f t="shared" si="14"/>
        <v>74.59</v>
      </c>
    </row>
    <row r="949" spans="6:8" x14ac:dyDescent="0.3">
      <c r="F949" s="19">
        <v>944</v>
      </c>
      <c r="G949" s="22">
        <v>44987</v>
      </c>
      <c r="H949" s="30">
        <f t="shared" si="14"/>
        <v>74.59</v>
      </c>
    </row>
    <row r="950" spans="6:8" x14ac:dyDescent="0.3">
      <c r="F950" s="19">
        <v>945</v>
      </c>
      <c r="G950" s="22">
        <v>44986</v>
      </c>
      <c r="H950" s="30">
        <f t="shared" si="14"/>
        <v>74.59</v>
      </c>
    </row>
    <row r="951" spans="6:8" x14ac:dyDescent="0.3">
      <c r="F951" s="19">
        <v>946</v>
      </c>
      <c r="G951" s="22">
        <v>44985</v>
      </c>
      <c r="H951" s="30">
        <f t="shared" si="14"/>
        <v>79.48</v>
      </c>
    </row>
    <row r="952" spans="6:8" x14ac:dyDescent="0.3">
      <c r="F952" s="19">
        <v>947</v>
      </c>
      <c r="G952" s="22">
        <v>44984</v>
      </c>
      <c r="H952" s="30">
        <f t="shared" si="14"/>
        <v>79.48</v>
      </c>
    </row>
    <row r="953" spans="6:8" x14ac:dyDescent="0.3">
      <c r="F953" s="19">
        <v>948</v>
      </c>
      <c r="G953" s="22">
        <v>44983</v>
      </c>
      <c r="H953" s="30">
        <f t="shared" si="14"/>
        <v>79.48</v>
      </c>
    </row>
    <row r="954" spans="6:8" x14ac:dyDescent="0.3">
      <c r="F954" s="19">
        <v>949</v>
      </c>
      <c r="G954" s="22">
        <v>44982</v>
      </c>
      <c r="H954" s="30">
        <f t="shared" si="14"/>
        <v>79.48</v>
      </c>
    </row>
    <row r="955" spans="6:8" x14ac:dyDescent="0.3">
      <c r="F955" s="19">
        <v>950</v>
      </c>
      <c r="G955" s="22">
        <v>44981</v>
      </c>
      <c r="H955" s="30">
        <f t="shared" si="14"/>
        <v>79.48</v>
      </c>
    </row>
    <row r="956" spans="6:8" x14ac:dyDescent="0.3">
      <c r="F956" s="19">
        <v>951</v>
      </c>
      <c r="G956" s="22">
        <v>44980</v>
      </c>
      <c r="H956" s="30">
        <f t="shared" si="14"/>
        <v>79.48</v>
      </c>
    </row>
    <row r="957" spans="6:8" x14ac:dyDescent="0.3">
      <c r="F957" s="19">
        <v>952</v>
      </c>
      <c r="G957" s="22">
        <v>44979</v>
      </c>
      <c r="H957" s="30">
        <f t="shared" si="14"/>
        <v>79.48</v>
      </c>
    </row>
    <row r="958" spans="6:8" x14ac:dyDescent="0.3">
      <c r="F958" s="19">
        <v>953</v>
      </c>
      <c r="G958" s="22">
        <v>44978</v>
      </c>
      <c r="H958" s="30">
        <f t="shared" si="14"/>
        <v>79.48</v>
      </c>
    </row>
    <row r="959" spans="6:8" x14ac:dyDescent="0.3">
      <c r="F959" s="19">
        <v>954</v>
      </c>
      <c r="G959" s="22">
        <v>44977</v>
      </c>
      <c r="H959" s="30">
        <f t="shared" si="14"/>
        <v>79.48</v>
      </c>
    </row>
    <row r="960" spans="6:8" x14ac:dyDescent="0.3">
      <c r="F960" s="19">
        <v>955</v>
      </c>
      <c r="G960" s="22">
        <v>44976</v>
      </c>
      <c r="H960" s="30">
        <f t="shared" si="14"/>
        <v>79.48</v>
      </c>
    </row>
    <row r="961" spans="6:8" x14ac:dyDescent="0.3">
      <c r="F961" s="19">
        <v>956</v>
      </c>
      <c r="G961" s="22">
        <v>44975</v>
      </c>
      <c r="H961" s="30">
        <f t="shared" si="14"/>
        <v>79.48</v>
      </c>
    </row>
    <row r="962" spans="6:8" x14ac:dyDescent="0.3">
      <c r="F962" s="19">
        <v>957</v>
      </c>
      <c r="G962" s="22">
        <v>44974</v>
      </c>
      <c r="H962" s="30">
        <f t="shared" si="14"/>
        <v>79.48</v>
      </c>
    </row>
    <row r="963" spans="6:8" x14ac:dyDescent="0.3">
      <c r="F963" s="19">
        <v>958</v>
      </c>
      <c r="G963" s="22">
        <v>44973</v>
      </c>
      <c r="H963" s="30">
        <f t="shared" si="14"/>
        <v>79.48</v>
      </c>
    </row>
    <row r="964" spans="6:8" x14ac:dyDescent="0.3">
      <c r="F964" s="19">
        <v>959</v>
      </c>
      <c r="G964" s="22">
        <v>44972</v>
      </c>
      <c r="H964" s="30">
        <f t="shared" si="14"/>
        <v>79.48</v>
      </c>
    </row>
    <row r="965" spans="6:8" x14ac:dyDescent="0.3">
      <c r="F965" s="19">
        <v>960</v>
      </c>
      <c r="G965" s="22">
        <v>44971</v>
      </c>
      <c r="H965" s="30">
        <f t="shared" si="14"/>
        <v>79.48</v>
      </c>
    </row>
    <row r="966" spans="6:8" x14ac:dyDescent="0.3">
      <c r="F966" s="19">
        <v>961</v>
      </c>
      <c r="G966" s="22">
        <v>44970</v>
      </c>
      <c r="H966" s="30">
        <f t="shared" si="14"/>
        <v>79.48</v>
      </c>
    </row>
    <row r="967" spans="6:8" x14ac:dyDescent="0.3">
      <c r="F967" s="19">
        <v>962</v>
      </c>
      <c r="G967" s="22">
        <v>44969</v>
      </c>
      <c r="H967" s="30">
        <f t="shared" ref="H967:H1009" si="15">_xlfn.XLOOKUP(G967,$B$6:$B$38,$C$6:$C$38,,-1)</f>
        <v>79.48</v>
      </c>
    </row>
    <row r="968" spans="6:8" x14ac:dyDescent="0.3">
      <c r="F968" s="19">
        <v>963</v>
      </c>
      <c r="G968" s="22">
        <v>44968</v>
      </c>
      <c r="H968" s="30">
        <f t="shared" si="15"/>
        <v>79.48</v>
      </c>
    </row>
    <row r="969" spans="6:8" x14ac:dyDescent="0.3">
      <c r="F969" s="19">
        <v>964</v>
      </c>
      <c r="G969" s="22">
        <v>44967</v>
      </c>
      <c r="H969" s="30">
        <f t="shared" si="15"/>
        <v>79.48</v>
      </c>
    </row>
    <row r="970" spans="6:8" x14ac:dyDescent="0.3">
      <c r="F970" s="19">
        <v>965</v>
      </c>
      <c r="G970" s="22">
        <v>44966</v>
      </c>
      <c r="H970" s="30">
        <f t="shared" si="15"/>
        <v>79.48</v>
      </c>
    </row>
    <row r="971" spans="6:8" x14ac:dyDescent="0.3">
      <c r="F971" s="19">
        <v>966</v>
      </c>
      <c r="G971" s="22">
        <v>44965</v>
      </c>
      <c r="H971" s="30">
        <f t="shared" si="15"/>
        <v>79.48</v>
      </c>
    </row>
    <row r="972" spans="6:8" x14ac:dyDescent="0.3">
      <c r="F972" s="19">
        <v>967</v>
      </c>
      <c r="G972" s="22">
        <v>44964</v>
      </c>
      <c r="H972" s="30">
        <f t="shared" si="15"/>
        <v>79.48</v>
      </c>
    </row>
    <row r="973" spans="6:8" x14ac:dyDescent="0.3">
      <c r="F973" s="19">
        <v>968</v>
      </c>
      <c r="G973" s="22">
        <v>44963</v>
      </c>
      <c r="H973" s="30">
        <f t="shared" si="15"/>
        <v>79.48</v>
      </c>
    </row>
    <row r="974" spans="6:8" x14ac:dyDescent="0.3">
      <c r="F974" s="19">
        <v>969</v>
      </c>
      <c r="G974" s="22">
        <v>44962</v>
      </c>
      <c r="H974" s="30">
        <f t="shared" si="15"/>
        <v>79.48</v>
      </c>
    </row>
    <row r="975" spans="6:8" x14ac:dyDescent="0.3">
      <c r="F975" s="19">
        <v>970</v>
      </c>
      <c r="G975" s="22">
        <v>44961</v>
      </c>
      <c r="H975" s="30">
        <f t="shared" si="15"/>
        <v>79.48</v>
      </c>
    </row>
    <row r="976" spans="6:8" x14ac:dyDescent="0.3">
      <c r="F976" s="19">
        <v>971</v>
      </c>
      <c r="G976" s="22">
        <v>44960</v>
      </c>
      <c r="H976" s="30">
        <f t="shared" si="15"/>
        <v>79.48</v>
      </c>
    </row>
    <row r="977" spans="6:8" x14ac:dyDescent="0.3">
      <c r="F977" s="19">
        <v>972</v>
      </c>
      <c r="G977" s="22">
        <v>44959</v>
      </c>
      <c r="H977" s="30">
        <f t="shared" si="15"/>
        <v>79.48</v>
      </c>
    </row>
    <row r="978" spans="6:8" x14ac:dyDescent="0.3">
      <c r="F978" s="19">
        <v>973</v>
      </c>
      <c r="G978" s="22">
        <v>44958</v>
      </c>
      <c r="H978" s="30">
        <f t="shared" si="15"/>
        <v>79.48</v>
      </c>
    </row>
    <row r="979" spans="6:8" x14ac:dyDescent="0.3">
      <c r="F979" s="19">
        <v>974</v>
      </c>
      <c r="G979" s="22">
        <v>44957</v>
      </c>
      <c r="H979" s="30">
        <f t="shared" si="15"/>
        <v>78.540000000000006</v>
      </c>
    </row>
    <row r="980" spans="6:8" x14ac:dyDescent="0.3">
      <c r="F980" s="19">
        <v>975</v>
      </c>
      <c r="G980" s="22">
        <v>44956</v>
      </c>
      <c r="H980" s="30">
        <f t="shared" si="15"/>
        <v>78.540000000000006</v>
      </c>
    </row>
    <row r="981" spans="6:8" x14ac:dyDescent="0.3">
      <c r="F981" s="19">
        <v>976</v>
      </c>
      <c r="G981" s="22">
        <v>44955</v>
      </c>
      <c r="H981" s="30">
        <f t="shared" si="15"/>
        <v>78.540000000000006</v>
      </c>
    </row>
    <row r="982" spans="6:8" x14ac:dyDescent="0.3">
      <c r="F982" s="19">
        <v>977</v>
      </c>
      <c r="G982" s="22">
        <v>44954</v>
      </c>
      <c r="H982" s="30">
        <f t="shared" si="15"/>
        <v>78.540000000000006</v>
      </c>
    </row>
    <row r="983" spans="6:8" x14ac:dyDescent="0.3">
      <c r="F983" s="19">
        <v>978</v>
      </c>
      <c r="G983" s="22">
        <v>44953</v>
      </c>
      <c r="H983" s="30">
        <f t="shared" si="15"/>
        <v>78.540000000000006</v>
      </c>
    </row>
    <row r="984" spans="6:8" x14ac:dyDescent="0.3">
      <c r="F984" s="19">
        <v>979</v>
      </c>
      <c r="G984" s="22">
        <v>44952</v>
      </c>
      <c r="H984" s="30">
        <f t="shared" si="15"/>
        <v>78.540000000000006</v>
      </c>
    </row>
    <row r="985" spans="6:8" x14ac:dyDescent="0.3">
      <c r="F985" s="19">
        <v>980</v>
      </c>
      <c r="G985" s="22">
        <v>44951</v>
      </c>
      <c r="H985" s="30">
        <f t="shared" si="15"/>
        <v>78.540000000000006</v>
      </c>
    </row>
    <row r="986" spans="6:8" x14ac:dyDescent="0.3">
      <c r="F986" s="19">
        <v>981</v>
      </c>
      <c r="G986" s="22">
        <v>44950</v>
      </c>
      <c r="H986" s="30">
        <f t="shared" si="15"/>
        <v>78.540000000000006</v>
      </c>
    </row>
    <row r="987" spans="6:8" x14ac:dyDescent="0.3">
      <c r="F987" s="19">
        <v>982</v>
      </c>
      <c r="G987" s="22">
        <v>44949</v>
      </c>
      <c r="H987" s="30">
        <f t="shared" si="15"/>
        <v>78.540000000000006</v>
      </c>
    </row>
    <row r="988" spans="6:8" x14ac:dyDescent="0.3">
      <c r="F988" s="19">
        <v>983</v>
      </c>
      <c r="G988" s="22">
        <v>44948</v>
      </c>
      <c r="H988" s="30">
        <f t="shared" si="15"/>
        <v>78.540000000000006</v>
      </c>
    </row>
    <row r="989" spans="6:8" x14ac:dyDescent="0.3">
      <c r="F989" s="19">
        <v>984</v>
      </c>
      <c r="G989" s="22">
        <v>44947</v>
      </c>
      <c r="H989" s="30">
        <f t="shared" si="15"/>
        <v>78.540000000000006</v>
      </c>
    </row>
    <row r="990" spans="6:8" x14ac:dyDescent="0.3">
      <c r="F990" s="19">
        <v>985</v>
      </c>
      <c r="G990" s="22">
        <v>44946</v>
      </c>
      <c r="H990" s="30">
        <f t="shared" si="15"/>
        <v>78.540000000000006</v>
      </c>
    </row>
    <row r="991" spans="6:8" x14ac:dyDescent="0.3">
      <c r="F991" s="19">
        <v>986</v>
      </c>
      <c r="G991" s="22">
        <v>44945</v>
      </c>
      <c r="H991" s="30">
        <f t="shared" si="15"/>
        <v>78.540000000000006</v>
      </c>
    </row>
    <row r="992" spans="6:8" x14ac:dyDescent="0.3">
      <c r="F992" s="19">
        <v>987</v>
      </c>
      <c r="G992" s="22">
        <v>44944</v>
      </c>
      <c r="H992" s="30">
        <f t="shared" si="15"/>
        <v>78.540000000000006</v>
      </c>
    </row>
    <row r="993" spans="6:8" x14ac:dyDescent="0.3">
      <c r="F993" s="19">
        <v>988</v>
      </c>
      <c r="G993" s="22">
        <v>44943</v>
      </c>
      <c r="H993" s="30">
        <f t="shared" si="15"/>
        <v>78.540000000000006</v>
      </c>
    </row>
    <row r="994" spans="6:8" x14ac:dyDescent="0.3">
      <c r="F994" s="19">
        <v>989</v>
      </c>
      <c r="G994" s="22">
        <v>44942</v>
      </c>
      <c r="H994" s="30">
        <f t="shared" si="15"/>
        <v>78.540000000000006</v>
      </c>
    </row>
    <row r="995" spans="6:8" x14ac:dyDescent="0.3">
      <c r="F995" s="19">
        <v>990</v>
      </c>
      <c r="G995" s="22">
        <v>44941</v>
      </c>
      <c r="H995" s="30">
        <f t="shared" si="15"/>
        <v>78.540000000000006</v>
      </c>
    </row>
    <row r="996" spans="6:8" x14ac:dyDescent="0.3">
      <c r="F996" s="19">
        <v>991</v>
      </c>
      <c r="G996" s="22">
        <v>44940</v>
      </c>
      <c r="H996" s="30">
        <f t="shared" si="15"/>
        <v>78.540000000000006</v>
      </c>
    </row>
    <row r="997" spans="6:8" x14ac:dyDescent="0.3">
      <c r="F997" s="19">
        <v>992</v>
      </c>
      <c r="G997" s="22">
        <v>44939</v>
      </c>
      <c r="H997" s="30">
        <f t="shared" si="15"/>
        <v>78.540000000000006</v>
      </c>
    </row>
    <row r="998" spans="6:8" x14ac:dyDescent="0.3">
      <c r="F998" s="19">
        <v>993</v>
      </c>
      <c r="G998" s="22">
        <v>44938</v>
      </c>
      <c r="H998" s="30">
        <f t="shared" si="15"/>
        <v>78.540000000000006</v>
      </c>
    </row>
    <row r="999" spans="6:8" x14ac:dyDescent="0.3">
      <c r="F999" s="19">
        <v>994</v>
      </c>
      <c r="G999" s="22">
        <v>44937</v>
      </c>
      <c r="H999" s="30">
        <f t="shared" si="15"/>
        <v>78.540000000000006</v>
      </c>
    </row>
    <row r="1000" spans="6:8" x14ac:dyDescent="0.3">
      <c r="F1000" s="19">
        <v>995</v>
      </c>
      <c r="G1000" s="22">
        <v>44936</v>
      </c>
      <c r="H1000" s="30">
        <f t="shared" si="15"/>
        <v>78.540000000000006</v>
      </c>
    </row>
    <row r="1001" spans="6:8" x14ac:dyDescent="0.3">
      <c r="F1001" s="19">
        <v>996</v>
      </c>
      <c r="G1001" s="22">
        <v>44935</v>
      </c>
      <c r="H1001" s="30">
        <f t="shared" si="15"/>
        <v>78.540000000000006</v>
      </c>
    </row>
    <row r="1002" spans="6:8" x14ac:dyDescent="0.3">
      <c r="F1002" s="19">
        <v>997</v>
      </c>
      <c r="G1002" s="22">
        <v>44934</v>
      </c>
      <c r="H1002" s="30">
        <f t="shared" si="15"/>
        <v>78.540000000000006</v>
      </c>
    </row>
    <row r="1003" spans="6:8" x14ac:dyDescent="0.3">
      <c r="F1003" s="19">
        <v>998</v>
      </c>
      <c r="G1003" s="22">
        <v>44933</v>
      </c>
      <c r="H1003" s="30">
        <f t="shared" si="15"/>
        <v>78.540000000000006</v>
      </c>
    </row>
    <row r="1004" spans="6:8" x14ac:dyDescent="0.3">
      <c r="F1004" s="19">
        <v>999</v>
      </c>
      <c r="G1004" s="22">
        <v>44932</v>
      </c>
      <c r="H1004" s="30">
        <f t="shared" si="15"/>
        <v>78.540000000000006</v>
      </c>
    </row>
    <row r="1005" spans="6:8" x14ac:dyDescent="0.3">
      <c r="F1005" s="19">
        <v>1000</v>
      </c>
      <c r="G1005" s="22">
        <v>44931</v>
      </c>
      <c r="H1005" s="30">
        <f t="shared" si="15"/>
        <v>78.540000000000006</v>
      </c>
    </row>
    <row r="1006" spans="6:8" x14ac:dyDescent="0.3">
      <c r="F1006" s="19">
        <v>1001</v>
      </c>
      <c r="G1006" s="22">
        <v>44930</v>
      </c>
      <c r="H1006" s="30">
        <f t="shared" si="15"/>
        <v>78.540000000000006</v>
      </c>
    </row>
    <row r="1007" spans="6:8" x14ac:dyDescent="0.3">
      <c r="F1007" s="19">
        <v>1002</v>
      </c>
      <c r="G1007" s="22">
        <v>44929</v>
      </c>
      <c r="H1007" s="30">
        <f t="shared" si="15"/>
        <v>78.540000000000006</v>
      </c>
    </row>
    <row r="1008" spans="6:8" x14ac:dyDescent="0.3">
      <c r="F1008" s="19">
        <v>1003</v>
      </c>
      <c r="G1008" s="22">
        <v>44928</v>
      </c>
      <c r="H1008" s="30">
        <f t="shared" si="15"/>
        <v>78.540000000000006</v>
      </c>
    </row>
    <row r="1009" spans="6:8" x14ac:dyDescent="0.3">
      <c r="F1009" s="19">
        <v>1004</v>
      </c>
      <c r="G1009" s="22">
        <v>44927</v>
      </c>
      <c r="H1009" s="30">
        <f t="shared" si="15"/>
        <v>78.540000000000006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AF70-D510-4FC0-88B1-62D5305820EB}">
  <dimension ref="A3:I1009"/>
  <sheetViews>
    <sheetView topLeftCell="A3" zoomScale="79" zoomScaleNormal="109" workbookViewId="0">
      <selection activeCell="H20" sqref="H20"/>
    </sheetView>
  </sheetViews>
  <sheetFormatPr defaultRowHeight="15.6" x14ac:dyDescent="0.3"/>
  <cols>
    <col min="1" max="1" width="11.33203125" bestFit="1" customWidth="1"/>
    <col min="2" max="2" width="13.44140625" bestFit="1" customWidth="1"/>
    <col min="3" max="4" width="14.6640625" bestFit="1" customWidth="1"/>
    <col min="5" max="5" width="9.33203125" bestFit="1" customWidth="1"/>
    <col min="6" max="6" width="6.5546875" style="18" bestFit="1" customWidth="1"/>
    <col min="7" max="7" width="13.5546875" bestFit="1" customWidth="1"/>
    <col min="8" max="9" width="19.88671875" bestFit="1" customWidth="1"/>
    <col min="11" max="11" width="6.44140625" bestFit="1" customWidth="1"/>
    <col min="12" max="12" width="13.44140625" bestFit="1" customWidth="1"/>
    <col min="13" max="14" width="19.6640625" bestFit="1" customWidth="1"/>
    <col min="18" max="18" width="10" customWidth="1"/>
  </cols>
  <sheetData>
    <row r="3" spans="1:9" ht="20.399999999999999" x14ac:dyDescent="0.35">
      <c r="A3" s="44" t="s">
        <v>9</v>
      </c>
      <c r="B3" s="40" t="s">
        <v>3</v>
      </c>
      <c r="C3" s="40" t="s">
        <v>3</v>
      </c>
      <c r="D3" s="40" t="s">
        <v>3</v>
      </c>
    </row>
    <row r="5" spans="1:9" x14ac:dyDescent="0.3">
      <c r="A5" s="9" t="s">
        <v>7</v>
      </c>
      <c r="B5" s="9" t="s">
        <v>5</v>
      </c>
      <c r="C5" s="25" t="s">
        <v>6</v>
      </c>
      <c r="D5" s="9" t="s">
        <v>8</v>
      </c>
      <c r="F5" s="16" t="str">
        <f>A5</f>
        <v>No.</v>
      </c>
      <c r="G5" s="16" t="str">
        <f t="shared" ref="G5" si="0">B5</f>
        <v>Tanggal</v>
      </c>
      <c r="H5" s="9" t="s">
        <v>6</v>
      </c>
      <c r="I5" s="9" t="s">
        <v>8</v>
      </c>
    </row>
    <row r="6" spans="1:9" x14ac:dyDescent="0.3">
      <c r="A6" s="3">
        <v>1</v>
      </c>
      <c r="B6" s="23">
        <v>45930</v>
      </c>
      <c r="C6" s="6">
        <v>2146000</v>
      </c>
      <c r="D6" s="4">
        <v>2097000</v>
      </c>
      <c r="F6" s="19">
        <v>1</v>
      </c>
      <c r="G6" s="22">
        <v>45930</v>
      </c>
      <c r="H6" s="31">
        <f t="shared" ref="H6:H69" si="1">_xlfn.XLOOKUP(G6,$B$6:$B$994,$C$6:$C$994,,-1)</f>
        <v>2146000</v>
      </c>
      <c r="I6" s="31">
        <f t="shared" ref="I6:I69" si="2">_xlfn.XLOOKUP(G6,$B$6:$B$994,$D$6:$D$994,,-1)</f>
        <v>2097000</v>
      </c>
    </row>
    <row r="7" spans="1:9" x14ac:dyDescent="0.3">
      <c r="A7" s="3">
        <v>2</v>
      </c>
      <c r="B7" s="24">
        <v>45929</v>
      </c>
      <c r="C7" s="7">
        <v>2137000</v>
      </c>
      <c r="D7" s="5">
        <v>2089000</v>
      </c>
      <c r="F7" s="19">
        <v>2</v>
      </c>
      <c r="G7" s="22">
        <v>45929</v>
      </c>
      <c r="H7" s="31">
        <f t="shared" si="1"/>
        <v>2137000</v>
      </c>
      <c r="I7" s="31">
        <f t="shared" si="2"/>
        <v>2089000</v>
      </c>
    </row>
    <row r="8" spans="1:9" x14ac:dyDescent="0.3">
      <c r="A8" s="3">
        <v>3</v>
      </c>
      <c r="B8" s="23">
        <v>45928</v>
      </c>
      <c r="C8" s="6">
        <v>2100000</v>
      </c>
      <c r="D8" s="4">
        <v>2053000</v>
      </c>
      <c r="F8" s="19">
        <v>3</v>
      </c>
      <c r="G8" s="22">
        <v>45928</v>
      </c>
      <c r="H8" s="31">
        <f t="shared" si="1"/>
        <v>2100000</v>
      </c>
      <c r="I8" s="31">
        <f t="shared" si="2"/>
        <v>2053000</v>
      </c>
    </row>
    <row r="9" spans="1:9" x14ac:dyDescent="0.3">
      <c r="A9" s="3">
        <v>4</v>
      </c>
      <c r="B9" s="24">
        <v>45927</v>
      </c>
      <c r="C9" s="7">
        <v>2100000</v>
      </c>
      <c r="D9" s="5">
        <v>2053000</v>
      </c>
      <c r="F9" s="19">
        <v>4</v>
      </c>
      <c r="G9" s="22">
        <v>45927</v>
      </c>
      <c r="H9" s="31">
        <f t="shared" si="1"/>
        <v>2100000</v>
      </c>
      <c r="I9" s="31">
        <f t="shared" si="2"/>
        <v>2053000</v>
      </c>
    </row>
    <row r="10" spans="1:9" x14ac:dyDescent="0.3">
      <c r="A10" s="3">
        <v>5</v>
      </c>
      <c r="B10" s="23">
        <v>45926</v>
      </c>
      <c r="C10" s="6">
        <v>2119000</v>
      </c>
      <c r="D10" s="4">
        <v>2071000</v>
      </c>
      <c r="F10" s="19">
        <v>5</v>
      </c>
      <c r="G10" s="22">
        <v>45926</v>
      </c>
      <c r="H10" s="31">
        <f t="shared" si="1"/>
        <v>2119000</v>
      </c>
      <c r="I10" s="31">
        <f t="shared" si="2"/>
        <v>2071000</v>
      </c>
    </row>
    <row r="11" spans="1:9" x14ac:dyDescent="0.3">
      <c r="A11" s="3">
        <v>6</v>
      </c>
      <c r="B11" s="24">
        <v>45925</v>
      </c>
      <c r="C11" s="7">
        <v>2083000</v>
      </c>
      <c r="D11" s="5">
        <v>2036000</v>
      </c>
      <c r="F11" s="19">
        <v>6</v>
      </c>
      <c r="G11" s="22">
        <v>45925</v>
      </c>
      <c r="H11" s="31">
        <f t="shared" si="1"/>
        <v>2083000</v>
      </c>
      <c r="I11" s="31">
        <f t="shared" si="2"/>
        <v>2036000</v>
      </c>
    </row>
    <row r="12" spans="1:9" x14ac:dyDescent="0.3">
      <c r="A12" s="3">
        <v>7</v>
      </c>
      <c r="B12" s="23">
        <v>45924</v>
      </c>
      <c r="C12" s="6">
        <v>2089000</v>
      </c>
      <c r="D12" s="4">
        <v>2042000</v>
      </c>
      <c r="F12" s="19">
        <v>7</v>
      </c>
      <c r="G12" s="22">
        <v>45924</v>
      </c>
      <c r="H12" s="31">
        <f t="shared" si="1"/>
        <v>2089000</v>
      </c>
      <c r="I12" s="31">
        <f t="shared" si="2"/>
        <v>2042000</v>
      </c>
    </row>
    <row r="13" spans="1:9" x14ac:dyDescent="0.3">
      <c r="A13" s="3">
        <v>8</v>
      </c>
      <c r="B13" s="24">
        <v>45923</v>
      </c>
      <c r="C13" s="7">
        <v>2098000</v>
      </c>
      <c r="D13" s="5">
        <v>2051000</v>
      </c>
      <c r="F13" s="19">
        <v>8</v>
      </c>
      <c r="G13" s="22">
        <v>45923</v>
      </c>
      <c r="H13" s="31">
        <f t="shared" si="1"/>
        <v>2098000</v>
      </c>
      <c r="I13" s="31">
        <f t="shared" si="2"/>
        <v>2051000</v>
      </c>
    </row>
    <row r="14" spans="1:9" x14ac:dyDescent="0.3">
      <c r="A14" s="3">
        <v>9</v>
      </c>
      <c r="B14" s="23">
        <v>45922</v>
      </c>
      <c r="C14" s="6">
        <v>2074000</v>
      </c>
      <c r="D14" s="4">
        <v>2027000</v>
      </c>
      <c r="F14" s="19">
        <v>9</v>
      </c>
      <c r="G14" s="22">
        <v>45922</v>
      </c>
      <c r="H14" s="31">
        <f t="shared" si="1"/>
        <v>2074000</v>
      </c>
      <c r="I14" s="31">
        <f t="shared" si="2"/>
        <v>2027000</v>
      </c>
    </row>
    <row r="15" spans="1:9" x14ac:dyDescent="0.3">
      <c r="A15" s="3">
        <v>10</v>
      </c>
      <c r="B15" s="24">
        <v>45921</v>
      </c>
      <c r="C15" s="7">
        <v>2052000</v>
      </c>
      <c r="D15" s="5">
        <v>2006000</v>
      </c>
      <c r="F15" s="19">
        <v>10</v>
      </c>
      <c r="G15" s="22">
        <v>45921</v>
      </c>
      <c r="H15" s="31">
        <f t="shared" si="1"/>
        <v>2052000</v>
      </c>
      <c r="I15" s="31">
        <f t="shared" si="2"/>
        <v>2006000</v>
      </c>
    </row>
    <row r="16" spans="1:9" x14ac:dyDescent="0.3">
      <c r="A16" s="3">
        <v>11</v>
      </c>
      <c r="B16" s="23">
        <v>45920</v>
      </c>
      <c r="C16" s="6">
        <v>2052000</v>
      </c>
      <c r="D16" s="4">
        <v>2006000</v>
      </c>
      <c r="F16" s="19">
        <v>11</v>
      </c>
      <c r="G16" s="22">
        <v>45920</v>
      </c>
      <c r="H16" s="31">
        <f t="shared" si="1"/>
        <v>2052000</v>
      </c>
      <c r="I16" s="31">
        <f t="shared" si="2"/>
        <v>2006000</v>
      </c>
    </row>
    <row r="17" spans="1:9" x14ac:dyDescent="0.3">
      <c r="A17" s="3">
        <v>12</v>
      </c>
      <c r="B17" s="24">
        <v>45919</v>
      </c>
      <c r="C17" s="7">
        <v>2030000</v>
      </c>
      <c r="D17" s="5">
        <v>1984000</v>
      </c>
      <c r="F17" s="19">
        <v>12</v>
      </c>
      <c r="G17" s="22">
        <v>45919</v>
      </c>
      <c r="H17" s="31">
        <f t="shared" si="1"/>
        <v>2030000</v>
      </c>
      <c r="I17" s="31">
        <f t="shared" si="2"/>
        <v>1984000</v>
      </c>
    </row>
    <row r="18" spans="1:9" x14ac:dyDescent="0.3">
      <c r="A18" s="3">
        <v>13</v>
      </c>
      <c r="B18" s="23">
        <v>45918</v>
      </c>
      <c r="C18" s="6">
        <v>2005000</v>
      </c>
      <c r="D18" s="4">
        <v>1960000</v>
      </c>
      <c r="F18" s="19">
        <v>13</v>
      </c>
      <c r="G18" s="22">
        <v>45918</v>
      </c>
      <c r="H18" s="31">
        <f t="shared" si="1"/>
        <v>2005000</v>
      </c>
      <c r="I18" s="31">
        <f t="shared" si="2"/>
        <v>1960000</v>
      </c>
    </row>
    <row r="19" spans="1:9" x14ac:dyDescent="0.3">
      <c r="A19" s="3">
        <v>14</v>
      </c>
      <c r="B19" s="24">
        <v>45917</v>
      </c>
      <c r="C19" s="7">
        <v>2023000</v>
      </c>
      <c r="D19" s="5">
        <v>1977000</v>
      </c>
      <c r="F19" s="19">
        <v>14</v>
      </c>
      <c r="G19" s="22">
        <v>45917</v>
      </c>
      <c r="H19" s="31">
        <f t="shared" si="1"/>
        <v>2023000</v>
      </c>
      <c r="I19" s="31">
        <f t="shared" si="2"/>
        <v>1977000</v>
      </c>
    </row>
    <row r="20" spans="1:9" x14ac:dyDescent="0.3">
      <c r="A20" s="3">
        <v>15</v>
      </c>
      <c r="B20" s="23">
        <v>45916</v>
      </c>
      <c r="C20" s="6">
        <v>2025000</v>
      </c>
      <c r="D20" s="4">
        <v>1979000</v>
      </c>
      <c r="F20" s="19">
        <v>15</v>
      </c>
      <c r="G20" s="22">
        <v>45916</v>
      </c>
      <c r="H20" s="31">
        <f t="shared" si="1"/>
        <v>2025000</v>
      </c>
      <c r="I20" s="31">
        <f t="shared" si="2"/>
        <v>1979000</v>
      </c>
    </row>
    <row r="21" spans="1:9" x14ac:dyDescent="0.3">
      <c r="A21" s="3">
        <v>16</v>
      </c>
      <c r="B21" s="24">
        <v>45915</v>
      </c>
      <c r="C21" s="7">
        <v>2015000</v>
      </c>
      <c r="D21" s="5">
        <v>1970000</v>
      </c>
      <c r="F21" s="19">
        <v>16</v>
      </c>
      <c r="G21" s="22">
        <v>45915</v>
      </c>
      <c r="H21" s="31">
        <f t="shared" si="1"/>
        <v>2015000</v>
      </c>
      <c r="I21" s="31">
        <f t="shared" si="2"/>
        <v>1970000</v>
      </c>
    </row>
    <row r="22" spans="1:9" x14ac:dyDescent="0.3">
      <c r="A22" s="3">
        <v>17</v>
      </c>
      <c r="B22" s="23">
        <v>45914</v>
      </c>
      <c r="C22" s="6">
        <v>2005000</v>
      </c>
      <c r="D22" s="4">
        <v>1960000</v>
      </c>
      <c r="F22" s="19">
        <v>17</v>
      </c>
      <c r="G22" s="22">
        <v>45914</v>
      </c>
      <c r="H22" s="31">
        <f t="shared" si="1"/>
        <v>2005000</v>
      </c>
      <c r="I22" s="31">
        <f t="shared" si="2"/>
        <v>1960000</v>
      </c>
    </row>
    <row r="23" spans="1:9" x14ac:dyDescent="0.3">
      <c r="A23" s="3">
        <v>18</v>
      </c>
      <c r="B23" s="24">
        <v>45913</v>
      </c>
      <c r="C23" s="7">
        <v>2005000</v>
      </c>
      <c r="D23" s="5">
        <v>1960000</v>
      </c>
      <c r="F23" s="19">
        <v>18</v>
      </c>
      <c r="G23" s="22">
        <v>45913</v>
      </c>
      <c r="H23" s="31">
        <f t="shared" si="1"/>
        <v>2005000</v>
      </c>
      <c r="I23" s="31">
        <f t="shared" si="2"/>
        <v>1960000</v>
      </c>
    </row>
    <row r="24" spans="1:9" x14ac:dyDescent="0.3">
      <c r="A24" s="3">
        <v>19</v>
      </c>
      <c r="B24" s="23">
        <v>45912</v>
      </c>
      <c r="C24" s="6">
        <v>2012000</v>
      </c>
      <c r="D24" s="4">
        <v>1967000</v>
      </c>
      <c r="F24" s="19">
        <v>19</v>
      </c>
      <c r="G24" s="22">
        <v>45912</v>
      </c>
      <c r="H24" s="31">
        <f t="shared" si="1"/>
        <v>2012000</v>
      </c>
      <c r="I24" s="31">
        <f t="shared" si="2"/>
        <v>1967000</v>
      </c>
    </row>
    <row r="25" spans="1:9" x14ac:dyDescent="0.3">
      <c r="A25" s="3">
        <v>20</v>
      </c>
      <c r="B25" s="24">
        <v>45911</v>
      </c>
      <c r="C25" s="7">
        <v>2003000</v>
      </c>
      <c r="D25" s="5">
        <v>1958000</v>
      </c>
      <c r="F25" s="19">
        <v>20</v>
      </c>
      <c r="G25" s="22">
        <v>45911</v>
      </c>
      <c r="H25" s="31">
        <f t="shared" si="1"/>
        <v>2003000</v>
      </c>
      <c r="I25" s="31">
        <f t="shared" si="2"/>
        <v>1958000</v>
      </c>
    </row>
    <row r="26" spans="1:9" x14ac:dyDescent="0.3">
      <c r="A26" s="3">
        <v>21</v>
      </c>
      <c r="B26" s="23">
        <v>45910</v>
      </c>
      <c r="C26" s="6">
        <v>2017000</v>
      </c>
      <c r="D26" s="4">
        <v>1972000</v>
      </c>
      <c r="F26" s="19">
        <v>21</v>
      </c>
      <c r="G26" s="22">
        <v>45910</v>
      </c>
      <c r="H26" s="31">
        <f t="shared" si="1"/>
        <v>2017000</v>
      </c>
      <c r="I26" s="31">
        <f t="shared" si="2"/>
        <v>1972000</v>
      </c>
    </row>
    <row r="27" spans="1:9" x14ac:dyDescent="0.3">
      <c r="A27" s="3">
        <v>22</v>
      </c>
      <c r="B27" s="24">
        <v>45909</v>
      </c>
      <c r="C27" s="7">
        <v>2016000</v>
      </c>
      <c r="D27" s="5">
        <v>1971000</v>
      </c>
      <c r="F27" s="19">
        <v>22</v>
      </c>
      <c r="G27" s="22">
        <v>45909</v>
      </c>
      <c r="H27" s="31">
        <f t="shared" si="1"/>
        <v>2016000</v>
      </c>
      <c r="I27" s="31">
        <f t="shared" si="2"/>
        <v>1971000</v>
      </c>
    </row>
    <row r="28" spans="1:9" x14ac:dyDescent="0.3">
      <c r="A28" s="3">
        <v>23</v>
      </c>
      <c r="B28" s="23">
        <v>45908</v>
      </c>
      <c r="C28" s="6">
        <v>2001000</v>
      </c>
      <c r="D28" s="4">
        <v>1956000</v>
      </c>
      <c r="F28" s="19">
        <v>23</v>
      </c>
      <c r="G28" s="22">
        <v>45908</v>
      </c>
      <c r="H28" s="31">
        <f t="shared" si="1"/>
        <v>2001000</v>
      </c>
      <c r="I28" s="31">
        <f t="shared" si="2"/>
        <v>1956000</v>
      </c>
    </row>
    <row r="29" spans="1:9" x14ac:dyDescent="0.3">
      <c r="A29" s="3">
        <v>24</v>
      </c>
      <c r="B29" s="24">
        <v>45907</v>
      </c>
      <c r="C29" s="7">
        <v>1972000</v>
      </c>
      <c r="D29" s="5">
        <v>1928000</v>
      </c>
      <c r="F29" s="19">
        <v>24</v>
      </c>
      <c r="G29" s="22">
        <v>45907</v>
      </c>
      <c r="H29" s="31">
        <f t="shared" si="1"/>
        <v>1972000</v>
      </c>
      <c r="I29" s="31">
        <f t="shared" si="2"/>
        <v>1928000</v>
      </c>
    </row>
    <row r="30" spans="1:9" x14ac:dyDescent="0.3">
      <c r="A30" s="3">
        <v>25</v>
      </c>
      <c r="B30" s="23">
        <v>45906</v>
      </c>
      <c r="C30" s="6">
        <v>1972000</v>
      </c>
      <c r="D30" s="4">
        <v>1928000</v>
      </c>
      <c r="F30" s="19">
        <v>25</v>
      </c>
      <c r="G30" s="22">
        <v>45906</v>
      </c>
      <c r="H30" s="31">
        <f t="shared" si="1"/>
        <v>1972000</v>
      </c>
      <c r="I30" s="31">
        <f t="shared" si="2"/>
        <v>1928000</v>
      </c>
    </row>
    <row r="31" spans="1:9" x14ac:dyDescent="0.3">
      <c r="A31" s="3">
        <v>26</v>
      </c>
      <c r="B31" s="24">
        <v>45905</v>
      </c>
      <c r="C31" s="7">
        <v>1977000</v>
      </c>
      <c r="D31" s="5">
        <v>1932000</v>
      </c>
      <c r="F31" s="19">
        <v>26</v>
      </c>
      <c r="G31" s="22">
        <v>45905</v>
      </c>
      <c r="H31" s="31">
        <f t="shared" si="1"/>
        <v>1977000</v>
      </c>
      <c r="I31" s="31">
        <f t="shared" si="2"/>
        <v>1932000</v>
      </c>
    </row>
    <row r="32" spans="1:9" x14ac:dyDescent="0.3">
      <c r="A32" s="3">
        <v>27</v>
      </c>
      <c r="B32" s="23">
        <v>45904</v>
      </c>
      <c r="C32" s="6">
        <v>1954000</v>
      </c>
      <c r="D32" s="4">
        <v>1910000</v>
      </c>
      <c r="F32" s="19">
        <v>27</v>
      </c>
      <c r="G32" s="22">
        <v>45904</v>
      </c>
      <c r="H32" s="31">
        <f t="shared" si="1"/>
        <v>1954000</v>
      </c>
      <c r="I32" s="31">
        <f t="shared" si="2"/>
        <v>1910000</v>
      </c>
    </row>
    <row r="33" spans="1:9" x14ac:dyDescent="0.3">
      <c r="A33" s="3">
        <v>28</v>
      </c>
      <c r="B33" s="24">
        <v>45903</v>
      </c>
      <c r="C33" s="7">
        <v>1956000</v>
      </c>
      <c r="D33" s="5">
        <v>1912000</v>
      </c>
      <c r="F33" s="19">
        <v>28</v>
      </c>
      <c r="G33" s="22">
        <v>45903</v>
      </c>
      <c r="H33" s="31">
        <f t="shared" si="1"/>
        <v>1956000</v>
      </c>
      <c r="I33" s="31">
        <f t="shared" si="2"/>
        <v>1912000</v>
      </c>
    </row>
    <row r="34" spans="1:9" x14ac:dyDescent="0.3">
      <c r="A34" s="3">
        <v>29</v>
      </c>
      <c r="B34" s="23">
        <v>45902</v>
      </c>
      <c r="C34" s="6">
        <v>1933000</v>
      </c>
      <c r="D34" s="4">
        <v>1889000</v>
      </c>
      <c r="F34" s="19">
        <v>29</v>
      </c>
      <c r="G34" s="22">
        <v>45902</v>
      </c>
      <c r="H34" s="31">
        <f t="shared" si="1"/>
        <v>1933000</v>
      </c>
      <c r="I34" s="31">
        <f t="shared" si="2"/>
        <v>1889000</v>
      </c>
    </row>
    <row r="35" spans="1:9" x14ac:dyDescent="0.3">
      <c r="A35" s="3">
        <v>30</v>
      </c>
      <c r="B35" s="24">
        <v>45901</v>
      </c>
      <c r="C35" s="7">
        <v>1916000</v>
      </c>
      <c r="D35" s="5">
        <v>1873000</v>
      </c>
      <c r="F35" s="19">
        <v>30</v>
      </c>
      <c r="G35" s="22">
        <v>45901</v>
      </c>
      <c r="H35" s="31">
        <f t="shared" si="1"/>
        <v>1916000</v>
      </c>
      <c r="I35" s="31">
        <f t="shared" si="2"/>
        <v>1873000</v>
      </c>
    </row>
    <row r="36" spans="1:9" x14ac:dyDescent="0.3">
      <c r="A36" s="3">
        <v>31</v>
      </c>
      <c r="B36" s="23">
        <v>45900</v>
      </c>
      <c r="C36" s="6">
        <v>1905000</v>
      </c>
      <c r="D36" s="4">
        <v>1866000</v>
      </c>
      <c r="F36" s="19">
        <v>31</v>
      </c>
      <c r="G36" s="22">
        <v>45900</v>
      </c>
      <c r="H36" s="31">
        <f t="shared" si="1"/>
        <v>1905000</v>
      </c>
      <c r="I36" s="31">
        <f t="shared" si="2"/>
        <v>1866000</v>
      </c>
    </row>
    <row r="37" spans="1:9" x14ac:dyDescent="0.3">
      <c r="A37" s="3">
        <v>32</v>
      </c>
      <c r="B37" s="24">
        <v>45899</v>
      </c>
      <c r="C37" s="7">
        <v>1905000</v>
      </c>
      <c r="D37" s="5">
        <v>1866000</v>
      </c>
      <c r="F37" s="19">
        <v>32</v>
      </c>
      <c r="G37" s="22">
        <v>45899</v>
      </c>
      <c r="H37" s="31">
        <f t="shared" si="1"/>
        <v>1905000</v>
      </c>
      <c r="I37" s="31">
        <f t="shared" si="2"/>
        <v>1866000</v>
      </c>
    </row>
    <row r="38" spans="1:9" x14ac:dyDescent="0.3">
      <c r="A38" s="3">
        <v>33</v>
      </c>
      <c r="B38" s="23">
        <v>45898</v>
      </c>
      <c r="C38" s="6">
        <v>1884000</v>
      </c>
      <c r="D38" s="4">
        <v>1846000</v>
      </c>
      <c r="F38" s="19">
        <v>33</v>
      </c>
      <c r="G38" s="22">
        <v>45898</v>
      </c>
      <c r="H38" s="31">
        <f t="shared" si="1"/>
        <v>1884000</v>
      </c>
      <c r="I38" s="31">
        <f t="shared" si="2"/>
        <v>1846000</v>
      </c>
    </row>
    <row r="39" spans="1:9" x14ac:dyDescent="0.3">
      <c r="A39" s="3">
        <v>34</v>
      </c>
      <c r="B39" s="24">
        <v>45897</v>
      </c>
      <c r="C39" s="7">
        <v>1880000</v>
      </c>
      <c r="D39" s="5">
        <v>1842000</v>
      </c>
      <c r="F39" s="19">
        <v>34</v>
      </c>
      <c r="G39" s="22">
        <v>45897</v>
      </c>
      <c r="H39" s="31">
        <f t="shared" si="1"/>
        <v>1880000</v>
      </c>
      <c r="I39" s="31">
        <f t="shared" si="2"/>
        <v>1842000</v>
      </c>
    </row>
    <row r="40" spans="1:9" x14ac:dyDescent="0.3">
      <c r="A40" s="3">
        <v>35</v>
      </c>
      <c r="B40" s="23">
        <v>45896</v>
      </c>
      <c r="C40" s="6">
        <v>1854000</v>
      </c>
      <c r="D40" s="4">
        <v>1817000</v>
      </c>
      <c r="F40" s="19">
        <v>35</v>
      </c>
      <c r="G40" s="22">
        <v>45896</v>
      </c>
      <c r="H40" s="31">
        <f t="shared" si="1"/>
        <v>1854000</v>
      </c>
      <c r="I40" s="31">
        <f t="shared" si="2"/>
        <v>1817000</v>
      </c>
    </row>
    <row r="41" spans="1:9" x14ac:dyDescent="0.3">
      <c r="A41" s="3">
        <v>36</v>
      </c>
      <c r="B41" s="24">
        <v>45895</v>
      </c>
      <c r="C41" s="7">
        <v>1843000</v>
      </c>
      <c r="D41" s="5">
        <v>1806000</v>
      </c>
      <c r="F41" s="19">
        <v>36</v>
      </c>
      <c r="G41" s="22">
        <v>45895</v>
      </c>
      <c r="H41" s="31">
        <f t="shared" si="1"/>
        <v>1843000</v>
      </c>
      <c r="I41" s="31">
        <f t="shared" si="2"/>
        <v>1806000</v>
      </c>
    </row>
    <row r="42" spans="1:9" x14ac:dyDescent="0.3">
      <c r="A42" s="3">
        <v>37</v>
      </c>
      <c r="B42" s="23">
        <v>45894</v>
      </c>
      <c r="C42" s="6">
        <v>1854000</v>
      </c>
      <c r="D42" s="4">
        <v>1817000</v>
      </c>
      <c r="F42" s="19">
        <v>37</v>
      </c>
      <c r="G42" s="22">
        <v>45894</v>
      </c>
      <c r="H42" s="31">
        <f t="shared" si="1"/>
        <v>1854000</v>
      </c>
      <c r="I42" s="31">
        <f t="shared" si="2"/>
        <v>1817000</v>
      </c>
    </row>
    <row r="43" spans="1:9" x14ac:dyDescent="0.3">
      <c r="A43" s="3">
        <v>38</v>
      </c>
      <c r="B43" s="24">
        <v>45893</v>
      </c>
      <c r="C43" s="7">
        <v>1853000</v>
      </c>
      <c r="D43" s="5">
        <v>1816000</v>
      </c>
      <c r="F43" s="19">
        <v>38</v>
      </c>
      <c r="G43" s="22">
        <v>45893</v>
      </c>
      <c r="H43" s="31">
        <f t="shared" si="1"/>
        <v>1853000</v>
      </c>
      <c r="I43" s="31">
        <f t="shared" si="2"/>
        <v>1816000</v>
      </c>
    </row>
    <row r="44" spans="1:9" x14ac:dyDescent="0.3">
      <c r="A44" s="3">
        <v>39</v>
      </c>
      <c r="B44" s="23">
        <v>45892</v>
      </c>
      <c r="C44" s="6">
        <v>1853000</v>
      </c>
      <c r="D44" s="4">
        <v>1816000</v>
      </c>
      <c r="F44" s="19">
        <v>39</v>
      </c>
      <c r="G44" s="22">
        <v>45892</v>
      </c>
      <c r="H44" s="31">
        <f t="shared" si="1"/>
        <v>1853000</v>
      </c>
      <c r="I44" s="31">
        <f t="shared" si="2"/>
        <v>1816000</v>
      </c>
    </row>
    <row r="45" spans="1:9" x14ac:dyDescent="0.3">
      <c r="A45" s="3">
        <v>40</v>
      </c>
      <c r="B45" s="24">
        <v>45891</v>
      </c>
      <c r="C45" s="7">
        <v>1848000</v>
      </c>
      <c r="D45" s="5">
        <v>1811000</v>
      </c>
      <c r="F45" s="19">
        <v>40</v>
      </c>
      <c r="G45" s="22">
        <v>45891</v>
      </c>
      <c r="H45" s="31">
        <f t="shared" si="1"/>
        <v>1848000</v>
      </c>
      <c r="I45" s="31">
        <f t="shared" si="2"/>
        <v>1811000</v>
      </c>
    </row>
    <row r="46" spans="1:9" x14ac:dyDescent="0.3">
      <c r="A46" s="3">
        <v>41</v>
      </c>
      <c r="B46" s="23">
        <v>45890</v>
      </c>
      <c r="C46" s="6">
        <v>1828000</v>
      </c>
      <c r="D46" s="4">
        <v>1791000</v>
      </c>
      <c r="F46" s="19">
        <v>41</v>
      </c>
      <c r="G46" s="22">
        <v>45890</v>
      </c>
      <c r="H46" s="31">
        <f t="shared" si="1"/>
        <v>1828000</v>
      </c>
      <c r="I46" s="31">
        <f t="shared" si="2"/>
        <v>1791000</v>
      </c>
    </row>
    <row r="47" spans="1:9" x14ac:dyDescent="0.3">
      <c r="A47" s="3">
        <v>42</v>
      </c>
      <c r="B47" s="24">
        <v>45889</v>
      </c>
      <c r="C47" s="7">
        <v>1827000</v>
      </c>
      <c r="D47" s="5">
        <v>1790000</v>
      </c>
      <c r="F47" s="19">
        <v>42</v>
      </c>
      <c r="G47" s="22">
        <v>45889</v>
      </c>
      <c r="H47" s="31">
        <f t="shared" si="1"/>
        <v>1827000</v>
      </c>
      <c r="I47" s="31">
        <f t="shared" si="2"/>
        <v>1790000</v>
      </c>
    </row>
    <row r="48" spans="1:9" x14ac:dyDescent="0.3">
      <c r="A48" s="3">
        <v>43</v>
      </c>
      <c r="B48" s="23">
        <v>45888</v>
      </c>
      <c r="C48" s="6">
        <v>1812000</v>
      </c>
      <c r="D48" s="4">
        <v>1775000</v>
      </c>
      <c r="F48" s="19">
        <v>43</v>
      </c>
      <c r="G48" s="22">
        <v>45888</v>
      </c>
      <c r="H48" s="31">
        <f t="shared" si="1"/>
        <v>1812000</v>
      </c>
      <c r="I48" s="31">
        <f t="shared" si="2"/>
        <v>1775000</v>
      </c>
    </row>
    <row r="49" spans="1:9" x14ac:dyDescent="0.3">
      <c r="A49" s="3">
        <v>44</v>
      </c>
      <c r="B49" s="24">
        <v>45887</v>
      </c>
      <c r="C49" s="7">
        <v>1812000</v>
      </c>
      <c r="D49" s="5">
        <v>1775000</v>
      </c>
      <c r="F49" s="19">
        <v>44</v>
      </c>
      <c r="G49" s="22">
        <v>45887</v>
      </c>
      <c r="H49" s="31">
        <f t="shared" si="1"/>
        <v>1812000</v>
      </c>
      <c r="I49" s="31">
        <f t="shared" si="2"/>
        <v>1775000</v>
      </c>
    </row>
    <row r="50" spans="1:9" x14ac:dyDescent="0.3">
      <c r="A50" s="3">
        <v>45</v>
      </c>
      <c r="B50" s="23">
        <v>45886</v>
      </c>
      <c r="C50" s="6">
        <v>1813000</v>
      </c>
      <c r="D50" s="4">
        <v>1776000</v>
      </c>
      <c r="F50" s="19">
        <v>45</v>
      </c>
      <c r="G50" s="22">
        <v>45886</v>
      </c>
      <c r="H50" s="31">
        <f t="shared" si="1"/>
        <v>1813000</v>
      </c>
      <c r="I50" s="31">
        <f t="shared" si="2"/>
        <v>1776000</v>
      </c>
    </row>
    <row r="51" spans="1:9" x14ac:dyDescent="0.3">
      <c r="A51" s="3">
        <v>46</v>
      </c>
      <c r="B51" s="24">
        <v>45885</v>
      </c>
      <c r="C51" s="7">
        <v>1813000</v>
      </c>
      <c r="D51" s="5">
        <v>1776000</v>
      </c>
      <c r="F51" s="19">
        <v>46</v>
      </c>
      <c r="G51" s="22">
        <v>45885</v>
      </c>
      <c r="H51" s="31">
        <f t="shared" si="1"/>
        <v>1813000</v>
      </c>
      <c r="I51" s="31">
        <f t="shared" si="2"/>
        <v>1776000</v>
      </c>
    </row>
    <row r="52" spans="1:9" x14ac:dyDescent="0.3">
      <c r="A52" s="3">
        <v>47</v>
      </c>
      <c r="B52" s="23">
        <v>45884</v>
      </c>
      <c r="C52" s="6">
        <v>1808000</v>
      </c>
      <c r="D52" s="4">
        <v>1772000</v>
      </c>
      <c r="F52" s="19">
        <v>47</v>
      </c>
      <c r="G52" s="22">
        <v>45884</v>
      </c>
      <c r="H52" s="31">
        <f t="shared" si="1"/>
        <v>1808000</v>
      </c>
      <c r="I52" s="31">
        <f t="shared" si="2"/>
        <v>1772000</v>
      </c>
    </row>
    <row r="53" spans="1:9" x14ac:dyDescent="0.3">
      <c r="A53" s="3">
        <v>48</v>
      </c>
      <c r="B53" s="24">
        <v>45883</v>
      </c>
      <c r="C53" s="7">
        <v>1810000</v>
      </c>
      <c r="D53" s="5">
        <v>1773000</v>
      </c>
      <c r="F53" s="19">
        <v>48</v>
      </c>
      <c r="G53" s="22">
        <v>45883</v>
      </c>
      <c r="H53" s="31">
        <f t="shared" si="1"/>
        <v>1810000</v>
      </c>
      <c r="I53" s="31">
        <f t="shared" si="2"/>
        <v>1773000</v>
      </c>
    </row>
    <row r="54" spans="1:9" x14ac:dyDescent="0.3">
      <c r="A54" s="3">
        <v>49</v>
      </c>
      <c r="B54" s="23">
        <v>45882</v>
      </c>
      <c r="C54" s="6">
        <v>1841000</v>
      </c>
      <c r="D54" s="4">
        <v>1804000</v>
      </c>
      <c r="F54" s="19">
        <v>49</v>
      </c>
      <c r="G54" s="22">
        <v>45882</v>
      </c>
      <c r="H54" s="31">
        <f t="shared" si="1"/>
        <v>1841000</v>
      </c>
      <c r="I54" s="31">
        <f t="shared" si="2"/>
        <v>1804000</v>
      </c>
    </row>
    <row r="55" spans="1:9" x14ac:dyDescent="0.3">
      <c r="A55" s="3">
        <v>50</v>
      </c>
      <c r="B55" s="24">
        <v>45881</v>
      </c>
      <c r="C55" s="7">
        <v>1826000</v>
      </c>
      <c r="D55" s="5">
        <v>1789000</v>
      </c>
      <c r="F55" s="19">
        <v>50</v>
      </c>
      <c r="G55" s="22">
        <v>45881</v>
      </c>
      <c r="H55" s="31">
        <f t="shared" si="1"/>
        <v>1826000</v>
      </c>
      <c r="I55" s="31">
        <f t="shared" si="2"/>
        <v>1789000</v>
      </c>
    </row>
    <row r="56" spans="1:9" x14ac:dyDescent="0.3">
      <c r="A56" s="3">
        <v>51</v>
      </c>
      <c r="B56" s="23">
        <v>45880</v>
      </c>
      <c r="C56" s="6">
        <v>1827000</v>
      </c>
      <c r="D56" s="4">
        <v>1790000</v>
      </c>
      <c r="F56" s="19">
        <v>51</v>
      </c>
      <c r="G56" s="22">
        <v>45880</v>
      </c>
      <c r="H56" s="31">
        <f t="shared" si="1"/>
        <v>1827000</v>
      </c>
      <c r="I56" s="31">
        <f t="shared" si="2"/>
        <v>1790000</v>
      </c>
    </row>
    <row r="57" spans="1:9" x14ac:dyDescent="0.3">
      <c r="A57" s="3">
        <v>52</v>
      </c>
      <c r="B57" s="24">
        <v>45879</v>
      </c>
      <c r="C57" s="7">
        <v>1853000</v>
      </c>
      <c r="D57" s="5">
        <v>1816000</v>
      </c>
      <c r="F57" s="19">
        <v>52</v>
      </c>
      <c r="G57" s="22">
        <v>45879</v>
      </c>
      <c r="H57" s="31">
        <f t="shared" si="1"/>
        <v>1853000</v>
      </c>
      <c r="I57" s="31">
        <f t="shared" si="2"/>
        <v>1816000</v>
      </c>
    </row>
    <row r="58" spans="1:9" x14ac:dyDescent="0.3">
      <c r="A58" s="3">
        <v>53</v>
      </c>
      <c r="B58" s="23">
        <v>45878</v>
      </c>
      <c r="C58" s="6">
        <v>1853000</v>
      </c>
      <c r="D58" s="4">
        <v>1816000</v>
      </c>
      <c r="F58" s="19">
        <v>53</v>
      </c>
      <c r="G58" s="22">
        <v>45878</v>
      </c>
      <c r="H58" s="31">
        <f t="shared" si="1"/>
        <v>1853000</v>
      </c>
      <c r="I58" s="31">
        <f t="shared" si="2"/>
        <v>1816000</v>
      </c>
    </row>
    <row r="59" spans="1:9" x14ac:dyDescent="0.3">
      <c r="A59" s="3">
        <v>54</v>
      </c>
      <c r="B59" s="24">
        <v>45877</v>
      </c>
      <c r="C59" s="7">
        <v>1854000</v>
      </c>
      <c r="D59" s="5">
        <v>1817000</v>
      </c>
      <c r="F59" s="19">
        <v>54</v>
      </c>
      <c r="G59" s="22">
        <v>45877</v>
      </c>
      <c r="H59" s="31">
        <f t="shared" si="1"/>
        <v>1854000</v>
      </c>
      <c r="I59" s="31">
        <f t="shared" si="2"/>
        <v>1817000</v>
      </c>
    </row>
    <row r="60" spans="1:9" x14ac:dyDescent="0.3">
      <c r="A60" s="3">
        <v>55</v>
      </c>
      <c r="B60" s="23">
        <v>45876</v>
      </c>
      <c r="C60" s="6">
        <v>1858000</v>
      </c>
      <c r="D60" s="4">
        <v>1821000</v>
      </c>
      <c r="F60" s="19">
        <v>55</v>
      </c>
      <c r="G60" s="22">
        <v>45876</v>
      </c>
      <c r="H60" s="31">
        <f t="shared" si="1"/>
        <v>1858000</v>
      </c>
      <c r="I60" s="31">
        <f t="shared" si="2"/>
        <v>1821000</v>
      </c>
    </row>
    <row r="61" spans="1:9" x14ac:dyDescent="0.3">
      <c r="A61" s="3">
        <v>56</v>
      </c>
      <c r="B61" s="24">
        <v>45875</v>
      </c>
      <c r="C61" s="7">
        <v>1856000</v>
      </c>
      <c r="D61" s="5">
        <v>1819000</v>
      </c>
      <c r="F61" s="19">
        <v>56</v>
      </c>
      <c r="G61" s="22">
        <v>45875</v>
      </c>
      <c r="H61" s="31">
        <f t="shared" si="1"/>
        <v>1856000</v>
      </c>
      <c r="I61" s="31">
        <f t="shared" si="2"/>
        <v>1819000</v>
      </c>
    </row>
    <row r="62" spans="1:9" x14ac:dyDescent="0.3">
      <c r="A62" s="3">
        <v>57</v>
      </c>
      <c r="B62" s="23">
        <v>45874</v>
      </c>
      <c r="C62" s="6">
        <v>1859000</v>
      </c>
      <c r="D62" s="4">
        <v>1822000</v>
      </c>
      <c r="F62" s="19">
        <v>57</v>
      </c>
      <c r="G62" s="22">
        <v>45874</v>
      </c>
      <c r="H62" s="31">
        <f t="shared" si="1"/>
        <v>1859000</v>
      </c>
      <c r="I62" s="31">
        <f t="shared" si="2"/>
        <v>1822000</v>
      </c>
    </row>
    <row r="63" spans="1:9" x14ac:dyDescent="0.3">
      <c r="A63" s="3">
        <v>58</v>
      </c>
      <c r="B63" s="24">
        <v>45873</v>
      </c>
      <c r="C63" s="7">
        <v>1869000</v>
      </c>
      <c r="D63" s="5">
        <v>1832000</v>
      </c>
      <c r="F63" s="19">
        <v>58</v>
      </c>
      <c r="G63" s="22">
        <v>45873</v>
      </c>
      <c r="H63" s="31">
        <f t="shared" si="1"/>
        <v>1869000</v>
      </c>
      <c r="I63" s="31">
        <f t="shared" si="2"/>
        <v>1832000</v>
      </c>
    </row>
    <row r="64" spans="1:9" x14ac:dyDescent="0.3">
      <c r="A64" s="3">
        <v>59</v>
      </c>
      <c r="B64" s="23">
        <v>45872</v>
      </c>
      <c r="C64" s="6">
        <v>1863000</v>
      </c>
      <c r="D64" s="4">
        <v>1826000</v>
      </c>
      <c r="F64" s="19">
        <v>59</v>
      </c>
      <c r="G64" s="22">
        <v>45872</v>
      </c>
      <c r="H64" s="31">
        <f t="shared" si="1"/>
        <v>1863000</v>
      </c>
      <c r="I64" s="31">
        <f t="shared" si="2"/>
        <v>1826000</v>
      </c>
    </row>
    <row r="65" spans="1:9" x14ac:dyDescent="0.3">
      <c r="A65" s="3">
        <v>60</v>
      </c>
      <c r="B65" s="24">
        <v>45871</v>
      </c>
      <c r="C65" s="7">
        <v>1863000</v>
      </c>
      <c r="D65" s="5">
        <v>1826000</v>
      </c>
      <c r="F65" s="19">
        <v>60</v>
      </c>
      <c r="G65" s="22">
        <v>45871</v>
      </c>
      <c r="H65" s="31">
        <f t="shared" si="1"/>
        <v>1863000</v>
      </c>
      <c r="I65" s="31">
        <f t="shared" si="2"/>
        <v>1826000</v>
      </c>
    </row>
    <row r="66" spans="1:9" x14ac:dyDescent="0.3">
      <c r="A66" s="3">
        <v>61</v>
      </c>
      <c r="B66" s="23">
        <v>45870</v>
      </c>
      <c r="C66" s="6">
        <v>1850000</v>
      </c>
      <c r="D66" s="4">
        <v>1814000</v>
      </c>
      <c r="F66" s="19">
        <v>61</v>
      </c>
      <c r="G66" s="22">
        <v>45870</v>
      </c>
      <c r="H66" s="31">
        <f t="shared" si="1"/>
        <v>1850000</v>
      </c>
      <c r="I66" s="31">
        <f t="shared" si="2"/>
        <v>1814000</v>
      </c>
    </row>
    <row r="67" spans="1:9" x14ac:dyDescent="0.3">
      <c r="A67" s="3">
        <v>62</v>
      </c>
      <c r="B67" s="24">
        <v>45869</v>
      </c>
      <c r="C67" s="7">
        <v>1816000</v>
      </c>
      <c r="D67" s="5">
        <v>1780000</v>
      </c>
      <c r="F67" s="19">
        <v>62</v>
      </c>
      <c r="G67" s="22">
        <v>45869</v>
      </c>
      <c r="H67" s="31">
        <f t="shared" si="1"/>
        <v>1816000</v>
      </c>
      <c r="I67" s="31">
        <f t="shared" si="2"/>
        <v>1780000</v>
      </c>
    </row>
    <row r="68" spans="1:9" x14ac:dyDescent="0.3">
      <c r="A68" s="3">
        <v>63</v>
      </c>
      <c r="B68" s="23">
        <v>45868</v>
      </c>
      <c r="C68" s="6">
        <v>1819000</v>
      </c>
      <c r="D68" s="4">
        <v>1783000</v>
      </c>
      <c r="F68" s="19">
        <v>63</v>
      </c>
      <c r="G68" s="22">
        <v>45868</v>
      </c>
      <c r="H68" s="31">
        <f t="shared" si="1"/>
        <v>1819000</v>
      </c>
      <c r="I68" s="31">
        <f t="shared" si="2"/>
        <v>1783000</v>
      </c>
    </row>
    <row r="69" spans="1:9" x14ac:dyDescent="0.3">
      <c r="A69" s="3">
        <v>64</v>
      </c>
      <c r="B69" s="24">
        <v>45867</v>
      </c>
      <c r="C69" s="7">
        <v>1829000</v>
      </c>
      <c r="D69" s="5">
        <v>1793000</v>
      </c>
      <c r="F69" s="19">
        <v>64</v>
      </c>
      <c r="G69" s="22">
        <v>45867</v>
      </c>
      <c r="H69" s="31">
        <f t="shared" si="1"/>
        <v>1829000</v>
      </c>
      <c r="I69" s="31">
        <f t="shared" si="2"/>
        <v>1793000</v>
      </c>
    </row>
    <row r="70" spans="1:9" x14ac:dyDescent="0.3">
      <c r="A70" s="3">
        <v>65</v>
      </c>
      <c r="B70" s="23">
        <v>45866</v>
      </c>
      <c r="C70" s="6">
        <v>1814000</v>
      </c>
      <c r="D70" s="4">
        <v>1778000</v>
      </c>
      <c r="F70" s="19">
        <v>65</v>
      </c>
      <c r="G70" s="22">
        <v>45866</v>
      </c>
      <c r="H70" s="31">
        <f t="shared" ref="H70:H133" si="3">_xlfn.XLOOKUP(G70,$B$6:$B$994,$C$6:$C$994,,-1)</f>
        <v>1814000</v>
      </c>
      <c r="I70" s="31">
        <f t="shared" ref="I70:I133" si="4">_xlfn.XLOOKUP(G70,$B$6:$B$994,$D$6:$D$994,,-1)</f>
        <v>1778000</v>
      </c>
    </row>
    <row r="71" spans="1:9" x14ac:dyDescent="0.3">
      <c r="A71" s="3">
        <v>66</v>
      </c>
      <c r="B71" s="24">
        <v>45865</v>
      </c>
      <c r="C71" s="7">
        <v>1829000</v>
      </c>
      <c r="D71" s="5">
        <v>1793000</v>
      </c>
      <c r="F71" s="19">
        <v>66</v>
      </c>
      <c r="G71" s="22">
        <v>45865</v>
      </c>
      <c r="H71" s="31">
        <f t="shared" si="3"/>
        <v>1829000</v>
      </c>
      <c r="I71" s="31">
        <f t="shared" si="4"/>
        <v>1793000</v>
      </c>
    </row>
    <row r="72" spans="1:9" x14ac:dyDescent="0.3">
      <c r="A72" s="3">
        <v>67</v>
      </c>
      <c r="B72" s="23">
        <v>45864</v>
      </c>
      <c r="C72" s="6">
        <v>1829000</v>
      </c>
      <c r="D72" s="4">
        <v>1793000</v>
      </c>
      <c r="F72" s="19">
        <v>67</v>
      </c>
      <c r="G72" s="22">
        <v>45864</v>
      </c>
      <c r="H72" s="31">
        <f t="shared" si="3"/>
        <v>1829000</v>
      </c>
      <c r="I72" s="31">
        <f t="shared" si="4"/>
        <v>1793000</v>
      </c>
    </row>
    <row r="73" spans="1:9" x14ac:dyDescent="0.3">
      <c r="A73" s="3">
        <v>68</v>
      </c>
      <c r="B73" s="24">
        <v>45863</v>
      </c>
      <c r="C73" s="7">
        <v>1823000</v>
      </c>
      <c r="D73" s="5">
        <v>1787000</v>
      </c>
      <c r="F73" s="19">
        <v>68</v>
      </c>
      <c r="G73" s="22">
        <v>45863</v>
      </c>
      <c r="H73" s="31">
        <f t="shared" si="3"/>
        <v>1823000</v>
      </c>
      <c r="I73" s="31">
        <f t="shared" si="4"/>
        <v>1787000</v>
      </c>
    </row>
    <row r="74" spans="1:9" x14ac:dyDescent="0.3">
      <c r="A74" s="3">
        <v>69</v>
      </c>
      <c r="B74" s="23">
        <v>45862</v>
      </c>
      <c r="C74" s="6">
        <v>1845000</v>
      </c>
      <c r="D74" s="4">
        <v>1809000</v>
      </c>
      <c r="F74" s="19">
        <v>69</v>
      </c>
      <c r="G74" s="22">
        <v>45862</v>
      </c>
      <c r="H74" s="31">
        <f t="shared" si="3"/>
        <v>1845000</v>
      </c>
      <c r="I74" s="31">
        <f t="shared" si="4"/>
        <v>1809000</v>
      </c>
    </row>
    <row r="75" spans="1:9" x14ac:dyDescent="0.3">
      <c r="A75" s="3">
        <v>70</v>
      </c>
      <c r="B75" s="24">
        <v>45861</v>
      </c>
      <c r="C75" s="7">
        <v>1868000</v>
      </c>
      <c r="D75" s="5">
        <v>1831000</v>
      </c>
      <c r="F75" s="19">
        <v>70</v>
      </c>
      <c r="G75" s="22">
        <v>45861</v>
      </c>
      <c r="H75" s="31">
        <f t="shared" si="3"/>
        <v>1868000</v>
      </c>
      <c r="I75" s="31">
        <f t="shared" si="4"/>
        <v>1831000</v>
      </c>
    </row>
    <row r="76" spans="1:9" x14ac:dyDescent="0.3">
      <c r="A76" s="3">
        <v>71</v>
      </c>
      <c r="B76" s="23">
        <v>45860</v>
      </c>
      <c r="C76" s="6">
        <v>1875000</v>
      </c>
      <c r="D76" s="4">
        <v>1838000</v>
      </c>
      <c r="F76" s="19">
        <v>71</v>
      </c>
      <c r="G76" s="22">
        <v>45860</v>
      </c>
      <c r="H76" s="31">
        <f t="shared" si="3"/>
        <v>1875000</v>
      </c>
      <c r="I76" s="31">
        <f t="shared" si="4"/>
        <v>1838000</v>
      </c>
    </row>
    <row r="77" spans="1:9" x14ac:dyDescent="0.3">
      <c r="A77" s="3">
        <v>72</v>
      </c>
      <c r="B77" s="24">
        <v>45859</v>
      </c>
      <c r="C77" s="7">
        <v>1860000</v>
      </c>
      <c r="D77" s="5">
        <v>1842000</v>
      </c>
      <c r="F77" s="19">
        <v>72</v>
      </c>
      <c r="G77" s="22">
        <v>45859</v>
      </c>
      <c r="H77" s="31">
        <f t="shared" si="3"/>
        <v>1860000</v>
      </c>
      <c r="I77" s="31">
        <f t="shared" si="4"/>
        <v>1842000</v>
      </c>
    </row>
    <row r="78" spans="1:9" x14ac:dyDescent="0.3">
      <c r="A78" s="3">
        <v>73</v>
      </c>
      <c r="B78" s="23">
        <v>45858</v>
      </c>
      <c r="C78" s="6">
        <v>1833000</v>
      </c>
      <c r="D78" s="4">
        <v>1771000</v>
      </c>
      <c r="F78" s="19">
        <v>73</v>
      </c>
      <c r="G78" s="22">
        <v>45858</v>
      </c>
      <c r="H78" s="31">
        <f t="shared" si="3"/>
        <v>1833000</v>
      </c>
      <c r="I78" s="31">
        <f t="shared" si="4"/>
        <v>1771000</v>
      </c>
    </row>
    <row r="79" spans="1:9" x14ac:dyDescent="0.3">
      <c r="A79" s="3">
        <v>74</v>
      </c>
      <c r="B79" s="24">
        <v>45857</v>
      </c>
      <c r="C79" s="7">
        <v>1833000</v>
      </c>
      <c r="D79" s="5">
        <v>1771000</v>
      </c>
      <c r="F79" s="19">
        <v>74</v>
      </c>
      <c r="G79" s="22">
        <v>45857</v>
      </c>
      <c r="H79" s="31">
        <f t="shared" si="3"/>
        <v>1833000</v>
      </c>
      <c r="I79" s="31">
        <f t="shared" si="4"/>
        <v>1771000</v>
      </c>
    </row>
    <row r="80" spans="1:9" x14ac:dyDescent="0.3">
      <c r="A80" s="3">
        <v>75</v>
      </c>
      <c r="B80" s="23">
        <v>45856</v>
      </c>
      <c r="C80" s="6">
        <v>1840000</v>
      </c>
      <c r="D80" s="4">
        <v>1778000</v>
      </c>
      <c r="F80" s="19">
        <v>75</v>
      </c>
      <c r="G80" s="22">
        <v>45856</v>
      </c>
      <c r="H80" s="31">
        <f t="shared" si="3"/>
        <v>1840000</v>
      </c>
      <c r="I80" s="31">
        <f t="shared" si="4"/>
        <v>1778000</v>
      </c>
    </row>
    <row r="81" spans="1:9" x14ac:dyDescent="0.3">
      <c r="A81" s="3">
        <v>76</v>
      </c>
      <c r="B81" s="24">
        <v>45855</v>
      </c>
      <c r="C81" s="7">
        <v>1830000</v>
      </c>
      <c r="D81" s="5">
        <v>1768000</v>
      </c>
      <c r="F81" s="19">
        <v>76</v>
      </c>
      <c r="G81" s="22">
        <v>45855</v>
      </c>
      <c r="H81" s="31">
        <f t="shared" si="3"/>
        <v>1830000</v>
      </c>
      <c r="I81" s="31">
        <f t="shared" si="4"/>
        <v>1768000</v>
      </c>
    </row>
    <row r="82" spans="1:9" x14ac:dyDescent="0.3">
      <c r="A82" s="3">
        <v>77</v>
      </c>
      <c r="B82" s="23">
        <v>45854</v>
      </c>
      <c r="C82" s="6">
        <v>1821000</v>
      </c>
      <c r="D82" s="4">
        <v>1760000</v>
      </c>
      <c r="F82" s="19">
        <v>77</v>
      </c>
      <c r="G82" s="22">
        <v>45854</v>
      </c>
      <c r="H82" s="31">
        <f t="shared" si="3"/>
        <v>1821000</v>
      </c>
      <c r="I82" s="31">
        <f t="shared" si="4"/>
        <v>1760000</v>
      </c>
    </row>
    <row r="83" spans="1:9" x14ac:dyDescent="0.3">
      <c r="A83" s="3">
        <v>78</v>
      </c>
      <c r="B83" s="24">
        <v>45853</v>
      </c>
      <c r="C83" s="7">
        <v>1828000</v>
      </c>
      <c r="D83" s="5">
        <v>1766000</v>
      </c>
      <c r="F83" s="19">
        <v>78</v>
      </c>
      <c r="G83" s="22">
        <v>45853</v>
      </c>
      <c r="H83" s="31">
        <f t="shared" si="3"/>
        <v>1828000</v>
      </c>
      <c r="I83" s="31">
        <f t="shared" si="4"/>
        <v>1766000</v>
      </c>
    </row>
    <row r="84" spans="1:9" x14ac:dyDescent="0.3">
      <c r="A84" s="3">
        <v>79</v>
      </c>
      <c r="B84" s="23">
        <v>45852</v>
      </c>
      <c r="C84" s="6">
        <v>1819000</v>
      </c>
      <c r="D84" s="4">
        <v>1758000</v>
      </c>
      <c r="F84" s="19">
        <v>79</v>
      </c>
      <c r="G84" s="22">
        <v>45852</v>
      </c>
      <c r="H84" s="31">
        <f t="shared" si="3"/>
        <v>1819000</v>
      </c>
      <c r="I84" s="31">
        <f t="shared" si="4"/>
        <v>1758000</v>
      </c>
    </row>
    <row r="85" spans="1:9" x14ac:dyDescent="0.3">
      <c r="A85" s="3">
        <v>80</v>
      </c>
      <c r="B85" s="24">
        <v>45851</v>
      </c>
      <c r="C85" s="7">
        <v>1826000</v>
      </c>
      <c r="D85" s="5">
        <v>1764000</v>
      </c>
      <c r="F85" s="19">
        <v>80</v>
      </c>
      <c r="G85" s="22">
        <v>45851</v>
      </c>
      <c r="H85" s="31">
        <f t="shared" si="3"/>
        <v>1826000</v>
      </c>
      <c r="I85" s="31">
        <f t="shared" si="4"/>
        <v>1764000</v>
      </c>
    </row>
    <row r="86" spans="1:9" x14ac:dyDescent="0.3">
      <c r="A86" s="3">
        <v>81</v>
      </c>
      <c r="B86" s="23">
        <v>45850</v>
      </c>
      <c r="C86" s="6">
        <v>1826000</v>
      </c>
      <c r="D86" s="4">
        <v>1764000</v>
      </c>
      <c r="F86" s="19">
        <v>81</v>
      </c>
      <c r="G86" s="22">
        <v>45850</v>
      </c>
      <c r="H86" s="31">
        <f t="shared" si="3"/>
        <v>1826000</v>
      </c>
      <c r="I86" s="31">
        <f t="shared" si="4"/>
        <v>1764000</v>
      </c>
    </row>
    <row r="87" spans="1:9" x14ac:dyDescent="0.3">
      <c r="A87" s="3">
        <v>82</v>
      </c>
      <c r="B87" s="24">
        <v>45849</v>
      </c>
      <c r="C87" s="7">
        <v>1832000</v>
      </c>
      <c r="D87" s="5">
        <v>1770000</v>
      </c>
      <c r="F87" s="19">
        <v>82</v>
      </c>
      <c r="G87" s="22">
        <v>45849</v>
      </c>
      <c r="H87" s="31">
        <f t="shared" si="3"/>
        <v>1832000</v>
      </c>
      <c r="I87" s="31">
        <f t="shared" si="4"/>
        <v>1770000</v>
      </c>
    </row>
    <row r="88" spans="1:9" x14ac:dyDescent="0.3">
      <c r="A88" s="3">
        <v>83</v>
      </c>
      <c r="B88" s="23">
        <v>45848</v>
      </c>
      <c r="C88" s="6">
        <v>1810000</v>
      </c>
      <c r="D88" s="4">
        <v>1749000</v>
      </c>
      <c r="F88" s="19">
        <v>83</v>
      </c>
      <c r="G88" s="22">
        <v>45848</v>
      </c>
      <c r="H88" s="31">
        <f t="shared" si="3"/>
        <v>1810000</v>
      </c>
      <c r="I88" s="31">
        <f t="shared" si="4"/>
        <v>1749000</v>
      </c>
    </row>
    <row r="89" spans="1:9" x14ac:dyDescent="0.3">
      <c r="A89" s="3">
        <v>84</v>
      </c>
      <c r="B89" s="24">
        <v>45847</v>
      </c>
      <c r="C89" s="7">
        <v>1810000</v>
      </c>
      <c r="D89" s="5">
        <v>1749000</v>
      </c>
      <c r="F89" s="19">
        <v>84</v>
      </c>
      <c r="G89" s="22">
        <v>45847</v>
      </c>
      <c r="H89" s="31">
        <f t="shared" si="3"/>
        <v>1810000</v>
      </c>
      <c r="I89" s="31">
        <f t="shared" si="4"/>
        <v>1749000</v>
      </c>
    </row>
    <row r="90" spans="1:9" x14ac:dyDescent="0.3">
      <c r="A90" s="3">
        <v>85</v>
      </c>
      <c r="B90" s="23">
        <v>45846</v>
      </c>
      <c r="C90" s="6">
        <v>1799000</v>
      </c>
      <c r="D90" s="4">
        <v>1738000</v>
      </c>
      <c r="F90" s="19">
        <v>85</v>
      </c>
      <c r="G90" s="22">
        <v>45846</v>
      </c>
      <c r="H90" s="31">
        <f t="shared" si="3"/>
        <v>1799000</v>
      </c>
      <c r="I90" s="31">
        <f t="shared" si="4"/>
        <v>1738000</v>
      </c>
    </row>
    <row r="91" spans="1:9" x14ac:dyDescent="0.3">
      <c r="A91" s="3">
        <v>86</v>
      </c>
      <c r="B91" s="24">
        <v>45845</v>
      </c>
      <c r="C91" s="7">
        <v>1805000</v>
      </c>
      <c r="D91" s="5">
        <v>1744000</v>
      </c>
      <c r="F91" s="19">
        <v>86</v>
      </c>
      <c r="G91" s="22">
        <v>45845</v>
      </c>
      <c r="H91" s="31">
        <f t="shared" si="3"/>
        <v>1805000</v>
      </c>
      <c r="I91" s="31">
        <f t="shared" si="4"/>
        <v>1744000</v>
      </c>
    </row>
    <row r="92" spans="1:9" x14ac:dyDescent="0.3">
      <c r="A92" s="3">
        <v>87</v>
      </c>
      <c r="B92" s="23">
        <v>45844</v>
      </c>
      <c r="C92" s="6">
        <v>1814000</v>
      </c>
      <c r="D92" s="4">
        <v>1753000</v>
      </c>
      <c r="F92" s="19">
        <v>87</v>
      </c>
      <c r="G92" s="22">
        <v>45844</v>
      </c>
      <c r="H92" s="31">
        <f t="shared" si="3"/>
        <v>1814000</v>
      </c>
      <c r="I92" s="31">
        <f t="shared" si="4"/>
        <v>1753000</v>
      </c>
    </row>
    <row r="93" spans="1:9" x14ac:dyDescent="0.3">
      <c r="A93" s="3">
        <v>88</v>
      </c>
      <c r="B93" s="24">
        <v>45843</v>
      </c>
      <c r="C93" s="7">
        <v>1814000</v>
      </c>
      <c r="D93" s="5">
        <v>1753000</v>
      </c>
      <c r="F93" s="19">
        <v>88</v>
      </c>
      <c r="G93" s="22">
        <v>45843</v>
      </c>
      <c r="H93" s="31">
        <f t="shared" si="3"/>
        <v>1814000</v>
      </c>
      <c r="I93" s="31">
        <f t="shared" si="4"/>
        <v>1753000</v>
      </c>
    </row>
    <row r="94" spans="1:9" x14ac:dyDescent="0.3">
      <c r="A94" s="3">
        <v>89</v>
      </c>
      <c r="B94" s="23">
        <v>45842</v>
      </c>
      <c r="C94" s="6">
        <v>1815000</v>
      </c>
      <c r="D94" s="4">
        <v>1754000</v>
      </c>
      <c r="F94" s="19">
        <v>89</v>
      </c>
      <c r="G94" s="22">
        <v>45842</v>
      </c>
      <c r="H94" s="31">
        <f t="shared" si="3"/>
        <v>1815000</v>
      </c>
      <c r="I94" s="31">
        <f t="shared" si="4"/>
        <v>1754000</v>
      </c>
    </row>
    <row r="95" spans="1:9" x14ac:dyDescent="0.3">
      <c r="A95" s="3">
        <v>90</v>
      </c>
      <c r="B95" s="24">
        <v>45841</v>
      </c>
      <c r="C95" s="7">
        <v>1813000</v>
      </c>
      <c r="D95" s="5">
        <v>1752000</v>
      </c>
      <c r="F95" s="19">
        <v>90</v>
      </c>
      <c r="G95" s="22">
        <v>45841</v>
      </c>
      <c r="H95" s="31">
        <f t="shared" si="3"/>
        <v>1813000</v>
      </c>
      <c r="I95" s="31">
        <f t="shared" si="4"/>
        <v>1752000</v>
      </c>
    </row>
    <row r="96" spans="1:9" x14ac:dyDescent="0.3">
      <c r="A96" s="3">
        <v>91</v>
      </c>
      <c r="B96" s="23">
        <v>45840</v>
      </c>
      <c r="C96" s="6">
        <v>1818000</v>
      </c>
      <c r="D96" s="4">
        <v>1757000</v>
      </c>
      <c r="F96" s="19">
        <v>91</v>
      </c>
      <c r="G96" s="22">
        <v>45840</v>
      </c>
      <c r="H96" s="31">
        <f t="shared" si="3"/>
        <v>1818000</v>
      </c>
      <c r="I96" s="31">
        <f t="shared" si="4"/>
        <v>1757000</v>
      </c>
    </row>
    <row r="97" spans="1:9" x14ac:dyDescent="0.3">
      <c r="A97" s="3">
        <v>92</v>
      </c>
      <c r="B97" s="24">
        <v>45839</v>
      </c>
      <c r="C97" s="7">
        <v>1822000</v>
      </c>
      <c r="D97" s="5">
        <v>1761000</v>
      </c>
      <c r="F97" s="19">
        <v>92</v>
      </c>
      <c r="G97" s="22">
        <v>45839</v>
      </c>
      <c r="H97" s="31">
        <f t="shared" si="3"/>
        <v>1822000</v>
      </c>
      <c r="I97" s="31">
        <f t="shared" si="4"/>
        <v>1761000</v>
      </c>
    </row>
    <row r="98" spans="1:9" x14ac:dyDescent="0.3">
      <c r="A98" s="3">
        <v>93</v>
      </c>
      <c r="B98" s="23">
        <v>45838</v>
      </c>
      <c r="C98" s="6">
        <v>1790000</v>
      </c>
      <c r="D98" s="4">
        <v>1730000</v>
      </c>
      <c r="F98" s="19">
        <v>93</v>
      </c>
      <c r="G98" s="22">
        <v>45838</v>
      </c>
      <c r="H98" s="31">
        <f t="shared" si="3"/>
        <v>1790000</v>
      </c>
      <c r="I98" s="31">
        <f t="shared" si="4"/>
        <v>1730000</v>
      </c>
    </row>
    <row r="99" spans="1:9" x14ac:dyDescent="0.3">
      <c r="A99" s="3">
        <v>94</v>
      </c>
      <c r="B99" s="24">
        <v>45837</v>
      </c>
      <c r="C99" s="7">
        <v>1783000</v>
      </c>
      <c r="D99" s="5">
        <v>1723000</v>
      </c>
      <c r="F99" s="19">
        <v>94</v>
      </c>
      <c r="G99" s="22">
        <v>45837</v>
      </c>
      <c r="H99" s="31">
        <f t="shared" si="3"/>
        <v>1783000</v>
      </c>
      <c r="I99" s="31">
        <f t="shared" si="4"/>
        <v>1723000</v>
      </c>
    </row>
    <row r="100" spans="1:9" x14ac:dyDescent="0.3">
      <c r="A100" s="3">
        <v>95</v>
      </c>
      <c r="B100" s="23">
        <v>45836</v>
      </c>
      <c r="C100" s="6">
        <v>1783000</v>
      </c>
      <c r="D100" s="4">
        <v>1723000</v>
      </c>
      <c r="F100" s="19">
        <v>95</v>
      </c>
      <c r="G100" s="22">
        <v>45836</v>
      </c>
      <c r="H100" s="31">
        <f t="shared" si="3"/>
        <v>1783000</v>
      </c>
      <c r="I100" s="31">
        <f t="shared" si="4"/>
        <v>1723000</v>
      </c>
    </row>
    <row r="101" spans="1:9" x14ac:dyDescent="0.3">
      <c r="A101" s="3">
        <v>96</v>
      </c>
      <c r="B101" s="24">
        <v>45835</v>
      </c>
      <c r="C101" s="7">
        <v>1782000</v>
      </c>
      <c r="D101" s="5">
        <v>1722000</v>
      </c>
      <c r="F101" s="19">
        <v>96</v>
      </c>
      <c r="G101" s="22">
        <v>45835</v>
      </c>
      <c r="H101" s="31">
        <f t="shared" si="3"/>
        <v>1782000</v>
      </c>
      <c r="I101" s="31">
        <f t="shared" si="4"/>
        <v>1722000</v>
      </c>
    </row>
    <row r="102" spans="1:9" x14ac:dyDescent="0.3">
      <c r="A102" s="3">
        <v>97</v>
      </c>
      <c r="B102" s="23">
        <v>45834</v>
      </c>
      <c r="C102" s="6">
        <v>1817000</v>
      </c>
      <c r="D102" s="4">
        <v>1756000</v>
      </c>
      <c r="F102" s="19">
        <v>97</v>
      </c>
      <c r="G102" s="22">
        <v>45834</v>
      </c>
      <c r="H102" s="31">
        <f t="shared" si="3"/>
        <v>1817000</v>
      </c>
      <c r="I102" s="31">
        <f t="shared" si="4"/>
        <v>1756000</v>
      </c>
    </row>
    <row r="103" spans="1:9" x14ac:dyDescent="0.3">
      <c r="A103" s="3">
        <v>98</v>
      </c>
      <c r="B103" s="24">
        <v>45833</v>
      </c>
      <c r="C103" s="7">
        <v>1821000</v>
      </c>
      <c r="D103" s="5">
        <v>1760000</v>
      </c>
      <c r="F103" s="19">
        <v>98</v>
      </c>
      <c r="G103" s="22">
        <v>45833</v>
      </c>
      <c r="H103" s="31">
        <f t="shared" si="3"/>
        <v>1821000</v>
      </c>
      <c r="I103" s="31">
        <f t="shared" si="4"/>
        <v>1760000</v>
      </c>
    </row>
    <row r="104" spans="1:9" x14ac:dyDescent="0.3">
      <c r="A104" s="3">
        <v>99</v>
      </c>
      <c r="B104" s="23">
        <v>45832</v>
      </c>
      <c r="C104" s="6">
        <v>1831000</v>
      </c>
      <c r="D104" s="4">
        <v>1769000</v>
      </c>
      <c r="F104" s="19">
        <v>99</v>
      </c>
      <c r="G104" s="22">
        <v>45832</v>
      </c>
      <c r="H104" s="31">
        <f t="shared" si="3"/>
        <v>1831000</v>
      </c>
      <c r="I104" s="31">
        <f t="shared" si="4"/>
        <v>1769000</v>
      </c>
    </row>
    <row r="105" spans="1:9" x14ac:dyDescent="0.3">
      <c r="A105" s="3">
        <v>100</v>
      </c>
      <c r="B105" s="24">
        <v>45831</v>
      </c>
      <c r="C105" s="7">
        <v>1863000</v>
      </c>
      <c r="D105" s="5">
        <v>1800000</v>
      </c>
      <c r="F105" s="19">
        <v>100</v>
      </c>
      <c r="G105" s="22">
        <v>45831</v>
      </c>
      <c r="H105" s="31">
        <f t="shared" si="3"/>
        <v>1863000</v>
      </c>
      <c r="I105" s="31">
        <f t="shared" si="4"/>
        <v>1800000</v>
      </c>
    </row>
    <row r="106" spans="1:9" x14ac:dyDescent="0.3">
      <c r="A106" s="3">
        <v>101</v>
      </c>
      <c r="B106" s="23">
        <v>45830</v>
      </c>
      <c r="C106" s="6">
        <v>1853000</v>
      </c>
      <c r="D106" s="4">
        <v>1790000</v>
      </c>
      <c r="F106" s="19">
        <v>101</v>
      </c>
      <c r="G106" s="22">
        <v>45830</v>
      </c>
      <c r="H106" s="31">
        <f t="shared" si="3"/>
        <v>1853000</v>
      </c>
      <c r="I106" s="31">
        <f t="shared" si="4"/>
        <v>1790000</v>
      </c>
    </row>
    <row r="107" spans="1:9" x14ac:dyDescent="0.3">
      <c r="A107" s="3">
        <v>102</v>
      </c>
      <c r="B107" s="24">
        <v>45829</v>
      </c>
      <c r="C107" s="7">
        <v>1853000</v>
      </c>
      <c r="D107" s="5">
        <v>1790000</v>
      </c>
      <c r="F107" s="19">
        <v>102</v>
      </c>
      <c r="G107" s="22">
        <v>45829</v>
      </c>
      <c r="H107" s="31">
        <f t="shared" si="3"/>
        <v>1853000</v>
      </c>
      <c r="I107" s="31">
        <f t="shared" si="4"/>
        <v>1790000</v>
      </c>
    </row>
    <row r="108" spans="1:9" x14ac:dyDescent="0.3">
      <c r="A108" s="3">
        <v>103</v>
      </c>
      <c r="B108" s="23">
        <v>45828</v>
      </c>
      <c r="C108" s="6">
        <v>1852000</v>
      </c>
      <c r="D108" s="4">
        <v>1790000</v>
      </c>
      <c r="F108" s="19">
        <v>103</v>
      </c>
      <c r="G108" s="22">
        <v>45828</v>
      </c>
      <c r="H108" s="31">
        <f t="shared" si="3"/>
        <v>1852000</v>
      </c>
      <c r="I108" s="31">
        <f t="shared" si="4"/>
        <v>1790000</v>
      </c>
    </row>
    <row r="109" spans="1:9" x14ac:dyDescent="0.3">
      <c r="A109" s="3">
        <v>104</v>
      </c>
      <c r="B109" s="24">
        <v>45827</v>
      </c>
      <c r="C109" s="7">
        <v>1847000</v>
      </c>
      <c r="D109" s="5">
        <v>1785000</v>
      </c>
      <c r="F109" s="19">
        <v>104</v>
      </c>
      <c r="G109" s="22">
        <v>45827</v>
      </c>
      <c r="H109" s="31">
        <f t="shared" si="3"/>
        <v>1847000</v>
      </c>
      <c r="I109" s="31">
        <f t="shared" si="4"/>
        <v>1785000</v>
      </c>
    </row>
    <row r="110" spans="1:9" x14ac:dyDescent="0.3">
      <c r="A110" s="3">
        <v>105</v>
      </c>
      <c r="B110" s="23">
        <v>45826</v>
      </c>
      <c r="C110" s="6">
        <v>1852000</v>
      </c>
      <c r="D110" s="4">
        <v>1790000</v>
      </c>
      <c r="F110" s="19">
        <v>105</v>
      </c>
      <c r="G110" s="22">
        <v>45826</v>
      </c>
      <c r="H110" s="31">
        <f t="shared" si="3"/>
        <v>1852000</v>
      </c>
      <c r="I110" s="31">
        <f t="shared" si="4"/>
        <v>1790000</v>
      </c>
    </row>
    <row r="111" spans="1:9" x14ac:dyDescent="0.3">
      <c r="A111" s="3">
        <v>106</v>
      </c>
      <c r="B111" s="24">
        <v>45825</v>
      </c>
      <c r="C111" s="7">
        <v>1849000</v>
      </c>
      <c r="D111" s="5">
        <v>1787000</v>
      </c>
      <c r="F111" s="19">
        <v>106</v>
      </c>
      <c r="G111" s="22">
        <v>45825</v>
      </c>
      <c r="H111" s="31">
        <f t="shared" si="3"/>
        <v>1849000</v>
      </c>
      <c r="I111" s="31">
        <f t="shared" si="4"/>
        <v>1787000</v>
      </c>
    </row>
    <row r="112" spans="1:9" x14ac:dyDescent="0.3">
      <c r="A112" s="3">
        <v>107</v>
      </c>
      <c r="B112" s="23">
        <v>45824</v>
      </c>
      <c r="C112" s="6">
        <v>1859000</v>
      </c>
      <c r="D112" s="4">
        <v>1796000</v>
      </c>
      <c r="F112" s="19">
        <v>107</v>
      </c>
      <c r="G112" s="22">
        <v>45824</v>
      </c>
      <c r="H112" s="31">
        <f t="shared" si="3"/>
        <v>1859000</v>
      </c>
      <c r="I112" s="31">
        <f t="shared" si="4"/>
        <v>1796000</v>
      </c>
    </row>
    <row r="113" spans="1:9" x14ac:dyDescent="0.3">
      <c r="A113" s="3">
        <v>108</v>
      </c>
      <c r="B113" s="24">
        <v>45823</v>
      </c>
      <c r="C113" s="7">
        <v>1878000</v>
      </c>
      <c r="D113" s="5">
        <v>1815000</v>
      </c>
      <c r="F113" s="19">
        <v>108</v>
      </c>
      <c r="G113" s="22">
        <v>45823</v>
      </c>
      <c r="H113" s="31">
        <f t="shared" si="3"/>
        <v>1878000</v>
      </c>
      <c r="I113" s="31">
        <f t="shared" si="4"/>
        <v>1815000</v>
      </c>
    </row>
    <row r="114" spans="1:9" x14ac:dyDescent="0.3">
      <c r="A114" s="3">
        <v>109</v>
      </c>
      <c r="B114" s="23">
        <v>45822</v>
      </c>
      <c r="C114" s="6">
        <v>1878000</v>
      </c>
      <c r="D114" s="4">
        <v>1815000</v>
      </c>
      <c r="F114" s="19">
        <v>109</v>
      </c>
      <c r="G114" s="22">
        <v>45822</v>
      </c>
      <c r="H114" s="31">
        <f t="shared" si="3"/>
        <v>1878000</v>
      </c>
      <c r="I114" s="31">
        <f t="shared" si="4"/>
        <v>1815000</v>
      </c>
    </row>
    <row r="115" spans="1:9" x14ac:dyDescent="0.3">
      <c r="A115" s="3">
        <v>110</v>
      </c>
      <c r="B115" s="24">
        <v>45821</v>
      </c>
      <c r="C115" s="7">
        <v>1865000</v>
      </c>
      <c r="D115" s="5">
        <v>1802000</v>
      </c>
      <c r="F115" s="19">
        <v>110</v>
      </c>
      <c r="G115" s="22">
        <v>45821</v>
      </c>
      <c r="H115" s="31">
        <f t="shared" si="3"/>
        <v>1865000</v>
      </c>
      <c r="I115" s="31">
        <f t="shared" si="4"/>
        <v>1802000</v>
      </c>
    </row>
    <row r="116" spans="1:9" x14ac:dyDescent="0.3">
      <c r="A116" s="3">
        <v>111</v>
      </c>
      <c r="B116" s="23">
        <v>45820</v>
      </c>
      <c r="C116" s="6">
        <v>1850000</v>
      </c>
      <c r="D116" s="4">
        <v>1788000</v>
      </c>
      <c r="F116" s="19">
        <v>111</v>
      </c>
      <c r="G116" s="22">
        <v>45820</v>
      </c>
      <c r="H116" s="31">
        <f t="shared" si="3"/>
        <v>1850000</v>
      </c>
      <c r="I116" s="31">
        <f t="shared" si="4"/>
        <v>1788000</v>
      </c>
    </row>
    <row r="117" spans="1:9" x14ac:dyDescent="0.3">
      <c r="A117" s="3">
        <v>112</v>
      </c>
      <c r="B117" s="24">
        <v>45819</v>
      </c>
      <c r="C117" s="7">
        <v>1823000</v>
      </c>
      <c r="D117" s="5">
        <v>1762000</v>
      </c>
      <c r="F117" s="19">
        <v>112</v>
      </c>
      <c r="G117" s="22">
        <v>45819</v>
      </c>
      <c r="H117" s="31">
        <f t="shared" si="3"/>
        <v>1823000</v>
      </c>
      <c r="I117" s="31">
        <f t="shared" si="4"/>
        <v>1762000</v>
      </c>
    </row>
    <row r="118" spans="1:9" x14ac:dyDescent="0.3">
      <c r="A118" s="3">
        <v>113</v>
      </c>
      <c r="B118" s="23">
        <v>45818</v>
      </c>
      <c r="C118" s="6">
        <v>1820000</v>
      </c>
      <c r="D118" s="4">
        <v>1759000</v>
      </c>
      <c r="F118" s="19">
        <v>113</v>
      </c>
      <c r="G118" s="22">
        <v>45818</v>
      </c>
      <c r="H118" s="31">
        <f t="shared" si="3"/>
        <v>1820000</v>
      </c>
      <c r="I118" s="31">
        <f t="shared" si="4"/>
        <v>1759000</v>
      </c>
    </row>
    <row r="119" spans="1:9" x14ac:dyDescent="0.3">
      <c r="A119" s="3">
        <v>114</v>
      </c>
      <c r="B119" s="24">
        <v>45817</v>
      </c>
      <c r="C119" s="7">
        <v>1818000</v>
      </c>
      <c r="D119" s="5">
        <v>1757000</v>
      </c>
      <c r="F119" s="19">
        <v>114</v>
      </c>
      <c r="G119" s="22">
        <v>45817</v>
      </c>
      <c r="H119" s="31">
        <f t="shared" si="3"/>
        <v>1818000</v>
      </c>
      <c r="I119" s="31">
        <f t="shared" si="4"/>
        <v>1757000</v>
      </c>
    </row>
    <row r="120" spans="1:9" x14ac:dyDescent="0.3">
      <c r="A120" s="3">
        <v>115</v>
      </c>
      <c r="B120" s="23">
        <v>45816</v>
      </c>
      <c r="C120" s="6">
        <v>1813000</v>
      </c>
      <c r="D120" s="4">
        <v>1752000</v>
      </c>
      <c r="F120" s="19">
        <v>115</v>
      </c>
      <c r="G120" s="22">
        <v>45816</v>
      </c>
      <c r="H120" s="31">
        <f t="shared" si="3"/>
        <v>1813000</v>
      </c>
      <c r="I120" s="31">
        <f t="shared" si="4"/>
        <v>1752000</v>
      </c>
    </row>
    <row r="121" spans="1:9" x14ac:dyDescent="0.3">
      <c r="A121" s="3">
        <v>116</v>
      </c>
      <c r="B121" s="24">
        <v>45815</v>
      </c>
      <c r="C121" s="7">
        <v>1813000</v>
      </c>
      <c r="D121" s="5">
        <v>1752000</v>
      </c>
      <c r="F121" s="19">
        <v>116</v>
      </c>
      <c r="G121" s="22">
        <v>45815</v>
      </c>
      <c r="H121" s="31">
        <f t="shared" si="3"/>
        <v>1813000</v>
      </c>
      <c r="I121" s="31">
        <f t="shared" si="4"/>
        <v>1752000</v>
      </c>
    </row>
    <row r="122" spans="1:9" x14ac:dyDescent="0.3">
      <c r="A122" s="3">
        <v>117</v>
      </c>
      <c r="B122" s="23">
        <v>45814</v>
      </c>
      <c r="C122" s="6">
        <v>1815000</v>
      </c>
      <c r="D122" s="4">
        <v>1754000</v>
      </c>
      <c r="F122" s="19">
        <v>117</v>
      </c>
      <c r="G122" s="22">
        <v>45814</v>
      </c>
      <c r="H122" s="31">
        <f t="shared" si="3"/>
        <v>1815000</v>
      </c>
      <c r="I122" s="31">
        <f t="shared" si="4"/>
        <v>1754000</v>
      </c>
    </row>
    <row r="123" spans="1:9" x14ac:dyDescent="0.3">
      <c r="A123" s="3">
        <v>118</v>
      </c>
      <c r="B123" s="24">
        <v>45813</v>
      </c>
      <c r="C123" s="7">
        <v>1843000</v>
      </c>
      <c r="D123" s="5">
        <v>1781000</v>
      </c>
      <c r="F123" s="19">
        <v>118</v>
      </c>
      <c r="G123" s="22">
        <v>45813</v>
      </c>
      <c r="H123" s="31">
        <f t="shared" si="3"/>
        <v>1843000</v>
      </c>
      <c r="I123" s="31">
        <f t="shared" si="4"/>
        <v>1781000</v>
      </c>
    </row>
    <row r="124" spans="1:9" x14ac:dyDescent="0.3">
      <c r="A124" s="3">
        <v>119</v>
      </c>
      <c r="B124" s="23">
        <v>45812</v>
      </c>
      <c r="C124" s="6">
        <v>1850000</v>
      </c>
      <c r="D124" s="4">
        <v>1788000</v>
      </c>
      <c r="F124" s="19">
        <v>119</v>
      </c>
      <c r="G124" s="22">
        <v>45812</v>
      </c>
      <c r="H124" s="31">
        <f t="shared" si="3"/>
        <v>1850000</v>
      </c>
      <c r="I124" s="31">
        <f t="shared" si="4"/>
        <v>1788000</v>
      </c>
    </row>
    <row r="125" spans="1:9" x14ac:dyDescent="0.3">
      <c r="A125" s="3">
        <v>120</v>
      </c>
      <c r="B125" s="24">
        <v>45811</v>
      </c>
      <c r="C125" s="7">
        <v>1829000</v>
      </c>
      <c r="D125" s="5">
        <v>1767000</v>
      </c>
      <c r="F125" s="19">
        <v>120</v>
      </c>
      <c r="G125" s="22">
        <v>45811</v>
      </c>
      <c r="H125" s="31">
        <f t="shared" si="3"/>
        <v>1829000</v>
      </c>
      <c r="I125" s="31">
        <f t="shared" si="4"/>
        <v>1767000</v>
      </c>
    </row>
    <row r="126" spans="1:9" x14ac:dyDescent="0.3">
      <c r="A126" s="3">
        <v>121</v>
      </c>
      <c r="B126" s="23">
        <v>45810</v>
      </c>
      <c r="C126" s="6">
        <v>1815000</v>
      </c>
      <c r="D126" s="4">
        <v>1735900</v>
      </c>
      <c r="F126" s="19">
        <v>121</v>
      </c>
      <c r="G126" s="22">
        <v>45810</v>
      </c>
      <c r="H126" s="31">
        <f t="shared" si="3"/>
        <v>1815000</v>
      </c>
      <c r="I126" s="31">
        <f t="shared" si="4"/>
        <v>1735900</v>
      </c>
    </row>
    <row r="127" spans="1:9" x14ac:dyDescent="0.3">
      <c r="A127" s="3">
        <v>122</v>
      </c>
      <c r="B127" s="24">
        <v>45809</v>
      </c>
      <c r="C127" s="7">
        <v>1748800</v>
      </c>
      <c r="D127" s="5">
        <v>1691100</v>
      </c>
      <c r="F127" s="19">
        <v>122</v>
      </c>
      <c r="G127" s="22">
        <v>45809</v>
      </c>
      <c r="H127" s="31">
        <f t="shared" si="3"/>
        <v>1748800</v>
      </c>
      <c r="I127" s="31">
        <f t="shared" si="4"/>
        <v>1691100</v>
      </c>
    </row>
    <row r="128" spans="1:9" x14ac:dyDescent="0.3">
      <c r="A128" s="3">
        <v>123</v>
      </c>
      <c r="B128" s="23">
        <v>45808</v>
      </c>
      <c r="C128" s="6">
        <v>1748800</v>
      </c>
      <c r="D128" s="4">
        <v>1691100</v>
      </c>
      <c r="F128" s="19">
        <v>123</v>
      </c>
      <c r="G128" s="22">
        <v>45808</v>
      </c>
      <c r="H128" s="31">
        <f t="shared" si="3"/>
        <v>1748800</v>
      </c>
      <c r="I128" s="31">
        <f t="shared" si="4"/>
        <v>1691100</v>
      </c>
    </row>
    <row r="129" spans="1:9" x14ac:dyDescent="0.3">
      <c r="A129" s="3">
        <v>124</v>
      </c>
      <c r="B129" s="24">
        <v>45807</v>
      </c>
      <c r="C129" s="7">
        <v>1740600</v>
      </c>
      <c r="D129" s="5">
        <v>1683100</v>
      </c>
      <c r="F129" s="19">
        <v>124</v>
      </c>
      <c r="G129" s="22">
        <v>45807</v>
      </c>
      <c r="H129" s="31">
        <f t="shared" si="3"/>
        <v>1740600</v>
      </c>
      <c r="I129" s="31">
        <f t="shared" si="4"/>
        <v>1683100</v>
      </c>
    </row>
    <row r="130" spans="1:9" x14ac:dyDescent="0.3">
      <c r="A130" s="3">
        <v>125</v>
      </c>
      <c r="B130" s="23">
        <v>45806</v>
      </c>
      <c r="C130" s="6">
        <v>1759200</v>
      </c>
      <c r="D130" s="4">
        <v>1701100</v>
      </c>
      <c r="F130" s="19">
        <v>125</v>
      </c>
      <c r="G130" s="22">
        <v>45806</v>
      </c>
      <c r="H130" s="31">
        <f t="shared" si="3"/>
        <v>1759200</v>
      </c>
      <c r="I130" s="31">
        <f t="shared" si="4"/>
        <v>1701100</v>
      </c>
    </row>
    <row r="131" spans="1:9" x14ac:dyDescent="0.3">
      <c r="A131" s="3">
        <v>126</v>
      </c>
      <c r="B131" s="24">
        <v>45805</v>
      </c>
      <c r="C131" s="7">
        <v>1749700</v>
      </c>
      <c r="D131" s="5">
        <v>1691900</v>
      </c>
      <c r="F131" s="19">
        <v>126</v>
      </c>
      <c r="G131" s="22">
        <v>45805</v>
      </c>
      <c r="H131" s="31">
        <f t="shared" si="3"/>
        <v>1749700</v>
      </c>
      <c r="I131" s="31">
        <f t="shared" si="4"/>
        <v>1691900</v>
      </c>
    </row>
    <row r="132" spans="1:9" x14ac:dyDescent="0.3">
      <c r="A132" s="3">
        <v>127</v>
      </c>
      <c r="B132" s="23">
        <v>45804</v>
      </c>
      <c r="C132" s="6">
        <v>1746400</v>
      </c>
      <c r="D132" s="4">
        <v>1688700</v>
      </c>
      <c r="F132" s="19">
        <v>127</v>
      </c>
      <c r="G132" s="22">
        <v>45804</v>
      </c>
      <c r="H132" s="31">
        <f t="shared" si="3"/>
        <v>1746400</v>
      </c>
      <c r="I132" s="31">
        <f t="shared" si="4"/>
        <v>1688700</v>
      </c>
    </row>
    <row r="133" spans="1:9" x14ac:dyDescent="0.3">
      <c r="A133" s="3">
        <v>128</v>
      </c>
      <c r="B133" s="24">
        <v>45803</v>
      </c>
      <c r="C133" s="7">
        <v>1766700</v>
      </c>
      <c r="D133" s="5">
        <v>1708400</v>
      </c>
      <c r="F133" s="19">
        <v>128</v>
      </c>
      <c r="G133" s="22">
        <v>45803</v>
      </c>
      <c r="H133" s="31">
        <f t="shared" si="3"/>
        <v>1766700</v>
      </c>
      <c r="I133" s="31">
        <f t="shared" si="4"/>
        <v>1708400</v>
      </c>
    </row>
    <row r="134" spans="1:9" x14ac:dyDescent="0.3">
      <c r="A134" s="3">
        <v>129</v>
      </c>
      <c r="B134" s="23">
        <v>45802</v>
      </c>
      <c r="C134" s="6">
        <v>1777600</v>
      </c>
      <c r="D134" s="4">
        <v>1719000</v>
      </c>
      <c r="F134" s="19">
        <v>129</v>
      </c>
      <c r="G134" s="22">
        <v>45802</v>
      </c>
      <c r="H134" s="31">
        <f t="shared" ref="H134:H197" si="5">_xlfn.XLOOKUP(G134,$B$6:$B$994,$C$6:$C$994,,-1)</f>
        <v>1777600</v>
      </c>
      <c r="I134" s="31">
        <f t="shared" ref="I134:I197" si="6">_xlfn.XLOOKUP(G134,$B$6:$B$994,$D$6:$D$994,,-1)</f>
        <v>1719000</v>
      </c>
    </row>
    <row r="135" spans="1:9" x14ac:dyDescent="0.3">
      <c r="A135" s="3">
        <v>130</v>
      </c>
      <c r="B135" s="24">
        <v>45801</v>
      </c>
      <c r="C135" s="7">
        <v>1777600</v>
      </c>
      <c r="D135" s="5">
        <v>1719000</v>
      </c>
      <c r="F135" s="19">
        <v>130</v>
      </c>
      <c r="G135" s="22">
        <v>45801</v>
      </c>
      <c r="H135" s="31">
        <f t="shared" si="5"/>
        <v>1777600</v>
      </c>
      <c r="I135" s="31">
        <f t="shared" si="6"/>
        <v>1719000</v>
      </c>
    </row>
    <row r="136" spans="1:9" x14ac:dyDescent="0.3">
      <c r="A136" s="3">
        <v>131</v>
      </c>
      <c r="B136" s="23">
        <v>45800</v>
      </c>
      <c r="C136" s="6">
        <v>1785700</v>
      </c>
      <c r="D136" s="4">
        <v>1726800</v>
      </c>
      <c r="F136" s="19">
        <v>131</v>
      </c>
      <c r="G136" s="22">
        <v>45800</v>
      </c>
      <c r="H136" s="31">
        <f t="shared" si="5"/>
        <v>1785700</v>
      </c>
      <c r="I136" s="31">
        <f t="shared" si="6"/>
        <v>1726800</v>
      </c>
    </row>
    <row r="137" spans="1:9" x14ac:dyDescent="0.3">
      <c r="A137" s="3">
        <v>132</v>
      </c>
      <c r="B137" s="24">
        <v>45799</v>
      </c>
      <c r="C137" s="7">
        <v>1755000</v>
      </c>
      <c r="D137" s="5">
        <v>1697100</v>
      </c>
      <c r="F137" s="19">
        <v>132</v>
      </c>
      <c r="G137" s="22">
        <v>45799</v>
      </c>
      <c r="H137" s="31">
        <f t="shared" si="5"/>
        <v>1755000</v>
      </c>
      <c r="I137" s="31">
        <f t="shared" si="6"/>
        <v>1697100</v>
      </c>
    </row>
    <row r="138" spans="1:9" x14ac:dyDescent="0.3">
      <c r="A138" s="3">
        <v>133</v>
      </c>
      <c r="B138" s="23">
        <v>45798</v>
      </c>
      <c r="C138" s="6">
        <v>1767400</v>
      </c>
      <c r="D138" s="4">
        <v>1709100</v>
      </c>
      <c r="F138" s="19">
        <v>133</v>
      </c>
      <c r="G138" s="22">
        <v>45798</v>
      </c>
      <c r="H138" s="31">
        <f t="shared" si="5"/>
        <v>1767400</v>
      </c>
      <c r="I138" s="31">
        <f t="shared" si="6"/>
        <v>1709100</v>
      </c>
    </row>
    <row r="139" spans="1:9" x14ac:dyDescent="0.3">
      <c r="A139" s="3">
        <v>134</v>
      </c>
      <c r="B139" s="24">
        <v>45797</v>
      </c>
      <c r="C139" s="7">
        <v>1758000</v>
      </c>
      <c r="D139" s="5">
        <v>1700000</v>
      </c>
      <c r="F139" s="19">
        <v>134</v>
      </c>
      <c r="G139" s="22">
        <v>45797</v>
      </c>
      <c r="H139" s="31">
        <f t="shared" si="5"/>
        <v>1758000</v>
      </c>
      <c r="I139" s="31">
        <f t="shared" si="6"/>
        <v>1700000</v>
      </c>
    </row>
    <row r="140" spans="1:9" x14ac:dyDescent="0.3">
      <c r="A140" s="3">
        <v>135</v>
      </c>
      <c r="B140" s="23">
        <v>45796</v>
      </c>
      <c r="C140" s="6">
        <v>1733100</v>
      </c>
      <c r="D140" s="4">
        <v>1675800</v>
      </c>
      <c r="F140" s="19">
        <v>135</v>
      </c>
      <c r="G140" s="22">
        <v>45796</v>
      </c>
      <c r="H140" s="31">
        <f t="shared" si="5"/>
        <v>1733100</v>
      </c>
      <c r="I140" s="31">
        <f t="shared" si="6"/>
        <v>1675800</v>
      </c>
    </row>
    <row r="141" spans="1:9" x14ac:dyDescent="0.3">
      <c r="A141" s="3">
        <v>136</v>
      </c>
      <c r="B141" s="24">
        <v>45795</v>
      </c>
      <c r="C141" s="7">
        <v>1715400</v>
      </c>
      <c r="D141" s="5">
        <v>1658700</v>
      </c>
      <c r="F141" s="19">
        <v>136</v>
      </c>
      <c r="G141" s="22">
        <v>45795</v>
      </c>
      <c r="H141" s="31">
        <f t="shared" si="5"/>
        <v>1715400</v>
      </c>
      <c r="I141" s="31">
        <f t="shared" si="6"/>
        <v>1658700</v>
      </c>
    </row>
    <row r="142" spans="1:9" x14ac:dyDescent="0.3">
      <c r="A142" s="3">
        <v>137</v>
      </c>
      <c r="B142" s="23">
        <v>45794</v>
      </c>
      <c r="C142" s="6">
        <v>1715400</v>
      </c>
      <c r="D142" s="4">
        <v>1658700</v>
      </c>
      <c r="F142" s="19">
        <v>137</v>
      </c>
      <c r="G142" s="22">
        <v>45794</v>
      </c>
      <c r="H142" s="31">
        <f t="shared" si="5"/>
        <v>1715400</v>
      </c>
      <c r="I142" s="31">
        <f t="shared" si="6"/>
        <v>1658700</v>
      </c>
    </row>
    <row r="143" spans="1:9" x14ac:dyDescent="0.3">
      <c r="A143" s="3">
        <v>138</v>
      </c>
      <c r="B143" s="24">
        <v>45793</v>
      </c>
      <c r="C143" s="7">
        <v>1708700</v>
      </c>
      <c r="D143" s="5">
        <v>1652200</v>
      </c>
      <c r="F143" s="19">
        <v>138</v>
      </c>
      <c r="G143" s="22">
        <v>45793</v>
      </c>
      <c r="H143" s="31">
        <f t="shared" si="5"/>
        <v>1708700</v>
      </c>
      <c r="I143" s="31">
        <f t="shared" si="6"/>
        <v>1652200</v>
      </c>
    </row>
    <row r="144" spans="1:9" x14ac:dyDescent="0.3">
      <c r="A144" s="3">
        <v>139</v>
      </c>
      <c r="B144" s="23">
        <v>45792</v>
      </c>
      <c r="C144" s="6">
        <v>1722900</v>
      </c>
      <c r="D144" s="4">
        <v>1665900</v>
      </c>
      <c r="F144" s="19">
        <v>139</v>
      </c>
      <c r="G144" s="22">
        <v>45792</v>
      </c>
      <c r="H144" s="31">
        <f t="shared" si="5"/>
        <v>1722900</v>
      </c>
      <c r="I144" s="31">
        <f t="shared" si="6"/>
        <v>1665900</v>
      </c>
    </row>
    <row r="145" spans="1:9" x14ac:dyDescent="0.3">
      <c r="A145" s="3">
        <v>140</v>
      </c>
      <c r="B145" s="24">
        <v>45791</v>
      </c>
      <c r="C145" s="7">
        <v>1726000</v>
      </c>
      <c r="D145" s="5">
        <v>1681000</v>
      </c>
      <c r="F145" s="19">
        <v>140</v>
      </c>
      <c r="G145" s="22">
        <v>45791</v>
      </c>
      <c r="H145" s="31">
        <f t="shared" si="5"/>
        <v>1726000</v>
      </c>
      <c r="I145" s="31">
        <f t="shared" si="6"/>
        <v>1681000</v>
      </c>
    </row>
    <row r="146" spans="1:9" x14ac:dyDescent="0.3">
      <c r="A146" s="3">
        <v>141</v>
      </c>
      <c r="B146" s="23">
        <v>45790</v>
      </c>
      <c r="C146" s="6">
        <v>1758400</v>
      </c>
      <c r="D146" s="4">
        <v>1712600</v>
      </c>
      <c r="F146" s="19">
        <v>141</v>
      </c>
      <c r="G146" s="22">
        <v>45790</v>
      </c>
      <c r="H146" s="31">
        <f t="shared" si="5"/>
        <v>1758400</v>
      </c>
      <c r="I146" s="31">
        <f t="shared" si="6"/>
        <v>1712600</v>
      </c>
    </row>
    <row r="147" spans="1:9" x14ac:dyDescent="0.3">
      <c r="A147" s="3">
        <v>142</v>
      </c>
      <c r="B147" s="24">
        <v>45789</v>
      </c>
      <c r="C147" s="7">
        <v>1742400</v>
      </c>
      <c r="D147" s="5">
        <v>1697000</v>
      </c>
      <c r="F147" s="19">
        <v>142</v>
      </c>
      <c r="G147" s="22">
        <v>45789</v>
      </c>
      <c r="H147" s="31">
        <f t="shared" si="5"/>
        <v>1742400</v>
      </c>
      <c r="I147" s="31">
        <f t="shared" si="6"/>
        <v>1697000</v>
      </c>
    </row>
    <row r="148" spans="1:9" x14ac:dyDescent="0.3">
      <c r="A148" s="3">
        <v>143</v>
      </c>
      <c r="B148" s="23">
        <v>45788</v>
      </c>
      <c r="C148" s="6">
        <v>1790000</v>
      </c>
      <c r="D148" s="4">
        <v>1743500</v>
      </c>
      <c r="F148" s="19">
        <v>143</v>
      </c>
      <c r="G148" s="22">
        <v>45788</v>
      </c>
      <c r="H148" s="31">
        <f t="shared" si="5"/>
        <v>1790000</v>
      </c>
      <c r="I148" s="31">
        <f t="shared" si="6"/>
        <v>1743500</v>
      </c>
    </row>
    <row r="149" spans="1:9" x14ac:dyDescent="0.3">
      <c r="A149" s="3">
        <v>144</v>
      </c>
      <c r="B149" s="24">
        <v>45787</v>
      </c>
      <c r="C149" s="7">
        <v>1790000</v>
      </c>
      <c r="D149" s="5">
        <v>1743500</v>
      </c>
      <c r="F149" s="19">
        <v>144</v>
      </c>
      <c r="G149" s="22">
        <v>45787</v>
      </c>
      <c r="H149" s="31">
        <f t="shared" si="5"/>
        <v>1790000</v>
      </c>
      <c r="I149" s="31">
        <f t="shared" si="6"/>
        <v>1743500</v>
      </c>
    </row>
    <row r="150" spans="1:9" x14ac:dyDescent="0.3">
      <c r="A150" s="3">
        <v>145</v>
      </c>
      <c r="B150" s="23">
        <v>45786</v>
      </c>
      <c r="C150" s="6">
        <v>1792300</v>
      </c>
      <c r="D150" s="4">
        <v>1745800</v>
      </c>
      <c r="F150" s="19">
        <v>145</v>
      </c>
      <c r="G150" s="22">
        <v>45786</v>
      </c>
      <c r="H150" s="31">
        <f t="shared" si="5"/>
        <v>1792300</v>
      </c>
      <c r="I150" s="31">
        <f t="shared" si="6"/>
        <v>1745800</v>
      </c>
    </row>
    <row r="151" spans="1:9" x14ac:dyDescent="0.3">
      <c r="A151" s="3">
        <v>146</v>
      </c>
      <c r="B151" s="24">
        <v>45785</v>
      </c>
      <c r="C151" s="7">
        <v>1806100</v>
      </c>
      <c r="D151" s="5">
        <v>1759200</v>
      </c>
      <c r="F151" s="19">
        <v>146</v>
      </c>
      <c r="G151" s="22">
        <v>45785</v>
      </c>
      <c r="H151" s="31">
        <f t="shared" si="5"/>
        <v>1806100</v>
      </c>
      <c r="I151" s="31">
        <f t="shared" si="6"/>
        <v>1759200</v>
      </c>
    </row>
    <row r="152" spans="1:9" x14ac:dyDescent="0.3">
      <c r="A152" s="3">
        <v>147</v>
      </c>
      <c r="B152" s="23">
        <v>45784</v>
      </c>
      <c r="C152" s="6">
        <v>1808800</v>
      </c>
      <c r="D152" s="4">
        <v>1761900</v>
      </c>
      <c r="F152" s="19">
        <v>147</v>
      </c>
      <c r="G152" s="22">
        <v>45784</v>
      </c>
      <c r="H152" s="31">
        <f t="shared" si="5"/>
        <v>1808800</v>
      </c>
      <c r="I152" s="31">
        <f t="shared" si="6"/>
        <v>1761900</v>
      </c>
    </row>
    <row r="153" spans="1:9" x14ac:dyDescent="0.3">
      <c r="A153" s="3">
        <v>148</v>
      </c>
      <c r="B153" s="24">
        <v>45783</v>
      </c>
      <c r="C153" s="7">
        <v>1810800</v>
      </c>
      <c r="D153" s="5">
        <v>1763800</v>
      </c>
      <c r="F153" s="19">
        <v>148</v>
      </c>
      <c r="G153" s="22">
        <v>45783</v>
      </c>
      <c r="H153" s="31">
        <f t="shared" si="5"/>
        <v>1810800</v>
      </c>
      <c r="I153" s="31">
        <f t="shared" si="6"/>
        <v>1763800</v>
      </c>
    </row>
    <row r="154" spans="1:9" x14ac:dyDescent="0.3">
      <c r="A154" s="3">
        <v>149</v>
      </c>
      <c r="B154" s="23">
        <v>45782</v>
      </c>
      <c r="C154" s="6">
        <v>1774000</v>
      </c>
      <c r="D154" s="4">
        <v>1727900</v>
      </c>
      <c r="F154" s="19">
        <v>149</v>
      </c>
      <c r="G154" s="22">
        <v>45782</v>
      </c>
      <c r="H154" s="31">
        <f t="shared" si="5"/>
        <v>1774000</v>
      </c>
      <c r="I154" s="31">
        <f t="shared" si="6"/>
        <v>1727900</v>
      </c>
    </row>
    <row r="155" spans="1:9" x14ac:dyDescent="0.3">
      <c r="A155" s="3">
        <v>150</v>
      </c>
      <c r="B155" s="24">
        <v>45781</v>
      </c>
      <c r="C155" s="7">
        <v>1734800</v>
      </c>
      <c r="D155" s="5">
        <v>1689600</v>
      </c>
      <c r="F155" s="19">
        <v>150</v>
      </c>
      <c r="G155" s="22">
        <v>45781</v>
      </c>
      <c r="H155" s="31">
        <f t="shared" si="5"/>
        <v>1734800</v>
      </c>
      <c r="I155" s="31">
        <f t="shared" si="6"/>
        <v>1689600</v>
      </c>
    </row>
    <row r="156" spans="1:9" x14ac:dyDescent="0.3">
      <c r="A156" s="3">
        <v>151</v>
      </c>
      <c r="B156" s="23">
        <v>45780</v>
      </c>
      <c r="C156" s="6">
        <v>1734800</v>
      </c>
      <c r="D156" s="4">
        <v>1689600</v>
      </c>
      <c r="F156" s="19">
        <v>151</v>
      </c>
      <c r="G156" s="22">
        <v>45780</v>
      </c>
      <c r="H156" s="31">
        <f t="shared" si="5"/>
        <v>1734800</v>
      </c>
      <c r="I156" s="31">
        <f t="shared" si="6"/>
        <v>1689600</v>
      </c>
    </row>
    <row r="157" spans="1:9" x14ac:dyDescent="0.3">
      <c r="A157" s="3">
        <v>152</v>
      </c>
      <c r="B157" s="24">
        <v>45779</v>
      </c>
      <c r="C157" s="7">
        <v>1765300</v>
      </c>
      <c r="D157" s="5">
        <v>1719400</v>
      </c>
      <c r="F157" s="19">
        <v>152</v>
      </c>
      <c r="G157" s="22">
        <v>45779</v>
      </c>
      <c r="H157" s="31">
        <f t="shared" si="5"/>
        <v>1765300</v>
      </c>
      <c r="I157" s="31">
        <f t="shared" si="6"/>
        <v>1719400</v>
      </c>
    </row>
    <row r="158" spans="1:9" x14ac:dyDescent="0.3">
      <c r="A158" s="3">
        <v>153</v>
      </c>
      <c r="B158" s="23">
        <v>45778</v>
      </c>
      <c r="C158" s="6">
        <v>1742200</v>
      </c>
      <c r="D158" s="4">
        <v>1696800</v>
      </c>
      <c r="F158" s="19">
        <v>153</v>
      </c>
      <c r="G158" s="22">
        <v>45778</v>
      </c>
      <c r="H158" s="31">
        <f t="shared" si="5"/>
        <v>1742200</v>
      </c>
      <c r="I158" s="31">
        <f t="shared" si="6"/>
        <v>1696800</v>
      </c>
    </row>
    <row r="159" spans="1:9" x14ac:dyDescent="0.3">
      <c r="A159" s="3">
        <v>154</v>
      </c>
      <c r="B159" s="24">
        <v>45777</v>
      </c>
      <c r="C159" s="7">
        <v>1801900</v>
      </c>
      <c r="D159" s="5">
        <v>1755100</v>
      </c>
      <c r="F159" s="19">
        <v>154</v>
      </c>
      <c r="G159" s="22">
        <v>45777</v>
      </c>
      <c r="H159" s="31">
        <f t="shared" si="5"/>
        <v>1801900</v>
      </c>
      <c r="I159" s="31">
        <f t="shared" si="6"/>
        <v>1755100</v>
      </c>
    </row>
    <row r="160" spans="1:9" x14ac:dyDescent="0.3">
      <c r="A160" s="3">
        <v>155</v>
      </c>
      <c r="B160" s="23">
        <v>45776</v>
      </c>
      <c r="C160" s="6">
        <v>1813400</v>
      </c>
      <c r="D160" s="4">
        <v>1766400</v>
      </c>
      <c r="F160" s="19">
        <v>155</v>
      </c>
      <c r="G160" s="22">
        <v>45776</v>
      </c>
      <c r="H160" s="31">
        <f t="shared" si="5"/>
        <v>1813400</v>
      </c>
      <c r="I160" s="31">
        <f t="shared" si="6"/>
        <v>1766400</v>
      </c>
    </row>
    <row r="161" spans="1:9" x14ac:dyDescent="0.3">
      <c r="A161" s="3">
        <v>156</v>
      </c>
      <c r="B161" s="24">
        <v>45775</v>
      </c>
      <c r="C161" s="7">
        <v>1825500</v>
      </c>
      <c r="D161" s="5">
        <v>1778200</v>
      </c>
      <c r="F161" s="19">
        <v>156</v>
      </c>
      <c r="G161" s="22">
        <v>45775</v>
      </c>
      <c r="H161" s="31">
        <f t="shared" si="5"/>
        <v>1825500</v>
      </c>
      <c r="I161" s="31">
        <f t="shared" si="6"/>
        <v>1778200</v>
      </c>
    </row>
    <row r="162" spans="1:9" x14ac:dyDescent="0.3">
      <c r="A162" s="3">
        <v>157</v>
      </c>
      <c r="B162" s="23">
        <v>45774</v>
      </c>
      <c r="C162" s="6">
        <v>1819700</v>
      </c>
      <c r="D162" s="4">
        <v>1772500</v>
      </c>
      <c r="F162" s="19">
        <v>157</v>
      </c>
      <c r="G162" s="22">
        <v>45774</v>
      </c>
      <c r="H162" s="31">
        <f t="shared" si="5"/>
        <v>1819700</v>
      </c>
      <c r="I162" s="31">
        <f t="shared" si="6"/>
        <v>1772500</v>
      </c>
    </row>
    <row r="163" spans="1:9" x14ac:dyDescent="0.3">
      <c r="A163" s="3">
        <v>158</v>
      </c>
      <c r="B163" s="24">
        <v>45773</v>
      </c>
      <c r="C163" s="7">
        <v>1819700</v>
      </c>
      <c r="D163" s="5">
        <v>1772500</v>
      </c>
      <c r="F163" s="19">
        <v>158</v>
      </c>
      <c r="G163" s="22">
        <v>45773</v>
      </c>
      <c r="H163" s="31">
        <f t="shared" si="5"/>
        <v>1819700</v>
      </c>
      <c r="I163" s="31">
        <f t="shared" si="6"/>
        <v>1772500</v>
      </c>
    </row>
    <row r="164" spans="1:9" x14ac:dyDescent="0.3">
      <c r="A164" s="3">
        <v>159</v>
      </c>
      <c r="B164" s="23">
        <v>45772</v>
      </c>
      <c r="C164" s="6">
        <v>1796800</v>
      </c>
      <c r="D164" s="4">
        <v>1750200</v>
      </c>
      <c r="F164" s="19">
        <v>159</v>
      </c>
      <c r="G164" s="22">
        <v>45772</v>
      </c>
      <c r="H164" s="31">
        <f t="shared" si="5"/>
        <v>1796800</v>
      </c>
      <c r="I164" s="31">
        <f t="shared" si="6"/>
        <v>1750200</v>
      </c>
    </row>
    <row r="165" spans="1:9" x14ac:dyDescent="0.3">
      <c r="A165" s="3">
        <v>160</v>
      </c>
      <c r="B165" s="24">
        <v>45771</v>
      </c>
      <c r="C165" s="7">
        <v>1827400</v>
      </c>
      <c r="D165" s="5">
        <v>1780000</v>
      </c>
      <c r="F165" s="19">
        <v>160</v>
      </c>
      <c r="G165" s="22">
        <v>45771</v>
      </c>
      <c r="H165" s="31">
        <f t="shared" si="5"/>
        <v>1827400</v>
      </c>
      <c r="I165" s="31">
        <f t="shared" si="6"/>
        <v>1780000</v>
      </c>
    </row>
    <row r="166" spans="1:9" x14ac:dyDescent="0.3">
      <c r="A166" s="3">
        <v>161</v>
      </c>
      <c r="B166" s="23">
        <v>45770</v>
      </c>
      <c r="C166" s="6">
        <v>1802900</v>
      </c>
      <c r="D166" s="4">
        <v>1761500</v>
      </c>
      <c r="F166" s="19">
        <v>161</v>
      </c>
      <c r="G166" s="22">
        <v>45770</v>
      </c>
      <c r="H166" s="31">
        <f t="shared" si="5"/>
        <v>1802900</v>
      </c>
      <c r="I166" s="31">
        <f t="shared" si="6"/>
        <v>1761500</v>
      </c>
    </row>
    <row r="167" spans="1:9" x14ac:dyDescent="0.3">
      <c r="A167" s="3">
        <v>162</v>
      </c>
      <c r="B167" s="24">
        <v>45769</v>
      </c>
      <c r="C167" s="7">
        <v>1880100</v>
      </c>
      <c r="D167" s="5">
        <v>1837200</v>
      </c>
      <c r="F167" s="19">
        <v>162</v>
      </c>
      <c r="G167" s="22">
        <v>45769</v>
      </c>
      <c r="H167" s="31">
        <f t="shared" si="5"/>
        <v>1880100</v>
      </c>
      <c r="I167" s="31">
        <f t="shared" si="6"/>
        <v>1837200</v>
      </c>
    </row>
    <row r="168" spans="1:9" x14ac:dyDescent="0.3">
      <c r="A168" s="3">
        <v>163</v>
      </c>
      <c r="B168" s="23">
        <v>45768</v>
      </c>
      <c r="C168" s="6">
        <v>1873000</v>
      </c>
      <c r="D168" s="4">
        <v>1830200</v>
      </c>
      <c r="F168" s="19">
        <v>163</v>
      </c>
      <c r="G168" s="22">
        <v>45768</v>
      </c>
      <c r="H168" s="31">
        <f t="shared" si="5"/>
        <v>1873000</v>
      </c>
      <c r="I168" s="31">
        <f t="shared" si="6"/>
        <v>1830200</v>
      </c>
    </row>
    <row r="169" spans="1:9" x14ac:dyDescent="0.3">
      <c r="A169" s="3">
        <v>164</v>
      </c>
      <c r="B169" s="24">
        <v>45767</v>
      </c>
      <c r="C169" s="7">
        <v>1819500</v>
      </c>
      <c r="D169" s="5">
        <v>1777800</v>
      </c>
      <c r="F169" s="19">
        <v>164</v>
      </c>
      <c r="G169" s="22">
        <v>45767</v>
      </c>
      <c r="H169" s="31">
        <f t="shared" si="5"/>
        <v>1819500</v>
      </c>
      <c r="I169" s="31">
        <f t="shared" si="6"/>
        <v>1777800</v>
      </c>
    </row>
    <row r="170" spans="1:9" x14ac:dyDescent="0.3">
      <c r="A170" s="3">
        <v>165</v>
      </c>
      <c r="B170" s="23">
        <v>45766</v>
      </c>
      <c r="C170" s="6">
        <v>1819500</v>
      </c>
      <c r="D170" s="4">
        <v>1777800</v>
      </c>
      <c r="F170" s="19">
        <v>165</v>
      </c>
      <c r="G170" s="22">
        <v>45766</v>
      </c>
      <c r="H170" s="31">
        <f t="shared" si="5"/>
        <v>1819500</v>
      </c>
      <c r="I170" s="31">
        <f t="shared" si="6"/>
        <v>1777800</v>
      </c>
    </row>
    <row r="171" spans="1:9" x14ac:dyDescent="0.3">
      <c r="A171" s="3">
        <v>166</v>
      </c>
      <c r="B171" s="24">
        <v>45765</v>
      </c>
      <c r="C171" s="7">
        <v>1819500</v>
      </c>
      <c r="D171" s="5">
        <v>1777800</v>
      </c>
      <c r="F171" s="19">
        <v>166</v>
      </c>
      <c r="G171" s="22">
        <v>45765</v>
      </c>
      <c r="H171" s="31">
        <f t="shared" si="5"/>
        <v>1819500</v>
      </c>
      <c r="I171" s="31">
        <f t="shared" si="6"/>
        <v>1777800</v>
      </c>
    </row>
    <row r="172" spans="1:9" x14ac:dyDescent="0.3">
      <c r="A172" s="3">
        <v>167</v>
      </c>
      <c r="B172" s="23">
        <v>45764</v>
      </c>
      <c r="C172" s="6">
        <v>1798300</v>
      </c>
      <c r="D172" s="4">
        <v>1757000</v>
      </c>
      <c r="F172" s="19">
        <v>167</v>
      </c>
      <c r="G172" s="22">
        <v>45764</v>
      </c>
      <c r="H172" s="31">
        <f t="shared" si="5"/>
        <v>1798300</v>
      </c>
      <c r="I172" s="31">
        <f t="shared" si="6"/>
        <v>1757000</v>
      </c>
    </row>
    <row r="173" spans="1:9" x14ac:dyDescent="0.3">
      <c r="A173" s="3">
        <v>168</v>
      </c>
      <c r="B173" s="24">
        <v>45763</v>
      </c>
      <c r="C173" s="7">
        <v>1814300</v>
      </c>
      <c r="D173" s="5">
        <v>1772700</v>
      </c>
      <c r="F173" s="19">
        <v>168</v>
      </c>
      <c r="G173" s="22">
        <v>45763</v>
      </c>
      <c r="H173" s="31">
        <f t="shared" si="5"/>
        <v>1814300</v>
      </c>
      <c r="I173" s="31">
        <f t="shared" si="6"/>
        <v>1772700</v>
      </c>
    </row>
    <row r="174" spans="1:9" x14ac:dyDescent="0.3">
      <c r="A174" s="3">
        <v>169</v>
      </c>
      <c r="B174" s="23">
        <v>45762</v>
      </c>
      <c r="C174" s="6">
        <v>1763400</v>
      </c>
      <c r="D174" s="4">
        <v>1722800</v>
      </c>
      <c r="F174" s="19">
        <v>169</v>
      </c>
      <c r="G174" s="22">
        <v>45762</v>
      </c>
      <c r="H174" s="31">
        <f t="shared" si="5"/>
        <v>1763400</v>
      </c>
      <c r="I174" s="31">
        <f t="shared" si="6"/>
        <v>1722800</v>
      </c>
    </row>
    <row r="175" spans="1:9" x14ac:dyDescent="0.3">
      <c r="A175" s="3">
        <v>170</v>
      </c>
      <c r="B175" s="24">
        <v>45761</v>
      </c>
      <c r="C175" s="7">
        <v>1761600</v>
      </c>
      <c r="D175" s="5">
        <v>1721000</v>
      </c>
      <c r="F175" s="19">
        <v>170</v>
      </c>
      <c r="G175" s="22">
        <v>45761</v>
      </c>
      <c r="H175" s="31">
        <f t="shared" si="5"/>
        <v>1761600</v>
      </c>
      <c r="I175" s="31">
        <f t="shared" si="6"/>
        <v>1721000</v>
      </c>
    </row>
    <row r="176" spans="1:9" x14ac:dyDescent="0.3">
      <c r="A176" s="3">
        <v>171</v>
      </c>
      <c r="B176" s="23">
        <v>45760</v>
      </c>
      <c r="C176" s="6">
        <v>1776400</v>
      </c>
      <c r="D176" s="4">
        <v>1735500</v>
      </c>
      <c r="F176" s="19">
        <v>171</v>
      </c>
      <c r="G176" s="22">
        <v>45760</v>
      </c>
      <c r="H176" s="31">
        <f t="shared" si="5"/>
        <v>1776400</v>
      </c>
      <c r="I176" s="31">
        <f t="shared" si="6"/>
        <v>1735500</v>
      </c>
    </row>
    <row r="177" spans="1:9" x14ac:dyDescent="0.3">
      <c r="A177" s="3">
        <v>172</v>
      </c>
      <c r="B177" s="24">
        <v>45759</v>
      </c>
      <c r="C177" s="7">
        <v>1776400</v>
      </c>
      <c r="D177" s="5">
        <v>1735500</v>
      </c>
      <c r="F177" s="19">
        <v>172</v>
      </c>
      <c r="G177" s="22">
        <v>45759</v>
      </c>
      <c r="H177" s="31">
        <f t="shared" si="5"/>
        <v>1776400</v>
      </c>
      <c r="I177" s="31">
        <f t="shared" si="6"/>
        <v>1735500</v>
      </c>
    </row>
    <row r="178" spans="1:9" x14ac:dyDescent="0.3">
      <c r="A178" s="3">
        <v>173</v>
      </c>
      <c r="B178" s="23">
        <v>45758</v>
      </c>
      <c r="C178" s="6">
        <v>1768600</v>
      </c>
      <c r="D178" s="4">
        <v>1727900</v>
      </c>
      <c r="F178" s="19">
        <v>173</v>
      </c>
      <c r="G178" s="22">
        <v>45758</v>
      </c>
      <c r="H178" s="31">
        <f t="shared" si="5"/>
        <v>1768600</v>
      </c>
      <c r="I178" s="31">
        <f t="shared" si="6"/>
        <v>1727900</v>
      </c>
    </row>
    <row r="179" spans="1:9" x14ac:dyDescent="0.3">
      <c r="A179" s="3">
        <v>174</v>
      </c>
      <c r="B179" s="24">
        <v>45757</v>
      </c>
      <c r="C179" s="7">
        <v>1738100</v>
      </c>
      <c r="D179" s="5">
        <v>1698000</v>
      </c>
      <c r="F179" s="19">
        <v>174</v>
      </c>
      <c r="G179" s="22">
        <v>45757</v>
      </c>
      <c r="H179" s="31">
        <f t="shared" si="5"/>
        <v>1738100</v>
      </c>
      <c r="I179" s="31">
        <f t="shared" si="6"/>
        <v>1698000</v>
      </c>
    </row>
    <row r="180" spans="1:9" x14ac:dyDescent="0.3">
      <c r="A180" s="3">
        <v>175</v>
      </c>
      <c r="B180" s="23">
        <v>45756</v>
      </c>
      <c r="C180" s="6">
        <v>1688200</v>
      </c>
      <c r="D180" s="4">
        <v>1652000</v>
      </c>
      <c r="F180" s="19">
        <v>175</v>
      </c>
      <c r="G180" s="22">
        <v>45756</v>
      </c>
      <c r="H180" s="31">
        <f t="shared" si="5"/>
        <v>1688200</v>
      </c>
      <c r="I180" s="31">
        <f t="shared" si="6"/>
        <v>1652000</v>
      </c>
    </row>
    <row r="181" spans="1:9" x14ac:dyDescent="0.3">
      <c r="A181" s="3">
        <v>176</v>
      </c>
      <c r="B181" s="24">
        <v>45755</v>
      </c>
      <c r="C181" s="7">
        <v>1657700</v>
      </c>
      <c r="D181" s="5">
        <v>1622100</v>
      </c>
      <c r="F181" s="19">
        <v>176</v>
      </c>
      <c r="G181" s="22">
        <v>45755</v>
      </c>
      <c r="H181" s="31">
        <f t="shared" si="5"/>
        <v>1657700</v>
      </c>
      <c r="I181" s="31">
        <f t="shared" si="6"/>
        <v>1622100</v>
      </c>
    </row>
    <row r="182" spans="1:9" x14ac:dyDescent="0.3">
      <c r="A182" s="3">
        <v>177</v>
      </c>
      <c r="B182" s="23">
        <v>45754</v>
      </c>
      <c r="C182" s="6">
        <v>1653400</v>
      </c>
      <c r="D182" s="4">
        <v>1617900</v>
      </c>
      <c r="F182" s="19">
        <v>177</v>
      </c>
      <c r="G182" s="22">
        <v>45754</v>
      </c>
      <c r="H182" s="31">
        <f t="shared" si="5"/>
        <v>1653400</v>
      </c>
      <c r="I182" s="31">
        <f t="shared" si="6"/>
        <v>1617900</v>
      </c>
    </row>
    <row r="183" spans="1:9" x14ac:dyDescent="0.3">
      <c r="A183" s="3">
        <v>178</v>
      </c>
      <c r="B183" s="24">
        <v>45753</v>
      </c>
      <c r="C183" s="7">
        <v>1673500</v>
      </c>
      <c r="D183" s="5">
        <v>1637600</v>
      </c>
      <c r="F183" s="19">
        <v>178</v>
      </c>
      <c r="G183" s="22">
        <v>45753</v>
      </c>
      <c r="H183" s="31">
        <f t="shared" si="5"/>
        <v>1673500</v>
      </c>
      <c r="I183" s="31">
        <f t="shared" si="6"/>
        <v>1637600</v>
      </c>
    </row>
    <row r="184" spans="1:9" x14ac:dyDescent="0.3">
      <c r="A184" s="3">
        <v>179</v>
      </c>
      <c r="B184" s="23">
        <v>45752</v>
      </c>
      <c r="C184" s="6">
        <v>1673500</v>
      </c>
      <c r="D184" s="4">
        <v>1637600</v>
      </c>
      <c r="F184" s="19">
        <v>179</v>
      </c>
      <c r="G184" s="22">
        <v>45752</v>
      </c>
      <c r="H184" s="31">
        <f t="shared" si="5"/>
        <v>1673500</v>
      </c>
      <c r="I184" s="31">
        <f t="shared" si="6"/>
        <v>1637600</v>
      </c>
    </row>
    <row r="185" spans="1:9" x14ac:dyDescent="0.3">
      <c r="A185" s="3">
        <v>180</v>
      </c>
      <c r="B185" s="24">
        <v>45751</v>
      </c>
      <c r="C185" s="7">
        <v>1653600</v>
      </c>
      <c r="D185" s="5">
        <v>1618100</v>
      </c>
      <c r="F185" s="19">
        <v>180</v>
      </c>
      <c r="G185" s="22">
        <v>45751</v>
      </c>
      <c r="H185" s="31">
        <f t="shared" si="5"/>
        <v>1653600</v>
      </c>
      <c r="I185" s="31">
        <f t="shared" si="6"/>
        <v>1618100</v>
      </c>
    </row>
    <row r="186" spans="1:9" x14ac:dyDescent="0.3">
      <c r="A186" s="3">
        <v>181</v>
      </c>
      <c r="B186" s="23">
        <v>45750</v>
      </c>
      <c r="C186" s="6">
        <v>1701000</v>
      </c>
      <c r="D186" s="4">
        <v>1664600</v>
      </c>
      <c r="F186" s="19">
        <v>181</v>
      </c>
      <c r="G186" s="22">
        <v>45750</v>
      </c>
      <c r="H186" s="31">
        <f t="shared" si="5"/>
        <v>1701000</v>
      </c>
      <c r="I186" s="31">
        <f t="shared" si="6"/>
        <v>1664600</v>
      </c>
    </row>
    <row r="187" spans="1:9" x14ac:dyDescent="0.3">
      <c r="A187" s="3">
        <v>182</v>
      </c>
      <c r="B187" s="24">
        <v>45749</v>
      </c>
      <c r="C187" s="7">
        <v>1701000</v>
      </c>
      <c r="D187" s="5">
        <v>1664600</v>
      </c>
      <c r="F187" s="19">
        <v>182</v>
      </c>
      <c r="G187" s="22">
        <v>45749</v>
      </c>
      <c r="H187" s="31">
        <f t="shared" si="5"/>
        <v>1701000</v>
      </c>
      <c r="I187" s="31">
        <f t="shared" si="6"/>
        <v>1664600</v>
      </c>
    </row>
    <row r="188" spans="1:9" x14ac:dyDescent="0.3">
      <c r="A188" s="3">
        <v>183</v>
      </c>
      <c r="B188" s="23">
        <v>45748</v>
      </c>
      <c r="C188" s="6">
        <v>1691500</v>
      </c>
      <c r="D188" s="4">
        <v>1655300</v>
      </c>
      <c r="F188" s="19">
        <v>183</v>
      </c>
      <c r="G188" s="22">
        <v>45748</v>
      </c>
      <c r="H188" s="31">
        <f t="shared" si="5"/>
        <v>1691500</v>
      </c>
      <c r="I188" s="31">
        <f t="shared" si="6"/>
        <v>1655300</v>
      </c>
    </row>
    <row r="189" spans="1:9" x14ac:dyDescent="0.3">
      <c r="A189" s="3">
        <v>184</v>
      </c>
      <c r="B189" s="24">
        <v>45747</v>
      </c>
      <c r="C189" s="7">
        <v>1682700</v>
      </c>
      <c r="D189" s="5">
        <v>1646600</v>
      </c>
      <c r="F189" s="19">
        <v>184</v>
      </c>
      <c r="G189" s="22">
        <v>45747</v>
      </c>
      <c r="H189" s="31">
        <f t="shared" si="5"/>
        <v>1682700</v>
      </c>
      <c r="I189" s="31">
        <f t="shared" si="6"/>
        <v>1646600</v>
      </c>
    </row>
    <row r="190" spans="1:9" x14ac:dyDescent="0.3">
      <c r="A190" s="3">
        <v>185</v>
      </c>
      <c r="B190" s="23">
        <v>45746</v>
      </c>
      <c r="C190" s="6">
        <v>1663000</v>
      </c>
      <c r="D190" s="4">
        <v>1627300</v>
      </c>
      <c r="F190" s="19">
        <v>185</v>
      </c>
      <c r="G190" s="22">
        <v>45746</v>
      </c>
      <c r="H190" s="31">
        <f t="shared" si="5"/>
        <v>1663000</v>
      </c>
      <c r="I190" s="31">
        <f t="shared" si="6"/>
        <v>1627300</v>
      </c>
    </row>
    <row r="191" spans="1:9" x14ac:dyDescent="0.3">
      <c r="A191" s="3">
        <v>186</v>
      </c>
      <c r="B191" s="24">
        <v>45745</v>
      </c>
      <c r="C191" s="7">
        <v>1663000</v>
      </c>
      <c r="D191" s="5">
        <v>1627300</v>
      </c>
      <c r="F191" s="19">
        <v>186</v>
      </c>
      <c r="G191" s="22">
        <v>45745</v>
      </c>
      <c r="H191" s="31">
        <f t="shared" si="5"/>
        <v>1663000</v>
      </c>
      <c r="I191" s="31">
        <f t="shared" si="6"/>
        <v>1627300</v>
      </c>
    </row>
    <row r="192" spans="1:9" x14ac:dyDescent="0.3">
      <c r="A192" s="3">
        <v>187</v>
      </c>
      <c r="B192" s="23">
        <v>45744</v>
      </c>
      <c r="C192" s="6">
        <v>1654400</v>
      </c>
      <c r="D192" s="4">
        <v>1618900</v>
      </c>
      <c r="F192" s="19">
        <v>187</v>
      </c>
      <c r="G192" s="22">
        <v>45744</v>
      </c>
      <c r="H192" s="31">
        <f t="shared" si="5"/>
        <v>1654400</v>
      </c>
      <c r="I192" s="31">
        <f t="shared" si="6"/>
        <v>1618900</v>
      </c>
    </row>
    <row r="193" spans="1:9" x14ac:dyDescent="0.3">
      <c r="A193" s="3">
        <v>188</v>
      </c>
      <c r="B193" s="24">
        <v>45743</v>
      </c>
      <c r="C193" s="7">
        <v>1650400</v>
      </c>
      <c r="D193" s="5">
        <v>1615000</v>
      </c>
      <c r="F193" s="19">
        <v>188</v>
      </c>
      <c r="G193" s="22">
        <v>45743</v>
      </c>
      <c r="H193" s="31">
        <f t="shared" si="5"/>
        <v>1650400</v>
      </c>
      <c r="I193" s="31">
        <f t="shared" si="6"/>
        <v>1615000</v>
      </c>
    </row>
    <row r="194" spans="1:9" x14ac:dyDescent="0.3">
      <c r="A194" s="3">
        <v>189</v>
      </c>
      <c r="B194" s="23">
        <v>45742</v>
      </c>
      <c r="C194" s="6">
        <v>1624900</v>
      </c>
      <c r="D194" s="4">
        <v>1590000</v>
      </c>
      <c r="F194" s="19">
        <v>189</v>
      </c>
      <c r="G194" s="22">
        <v>45742</v>
      </c>
      <c r="H194" s="31">
        <f t="shared" si="5"/>
        <v>1624900</v>
      </c>
      <c r="I194" s="31">
        <f t="shared" si="6"/>
        <v>1590000</v>
      </c>
    </row>
    <row r="195" spans="1:9" x14ac:dyDescent="0.3">
      <c r="A195" s="3">
        <v>190</v>
      </c>
      <c r="B195" s="24">
        <v>45741</v>
      </c>
      <c r="C195" s="7">
        <v>1629000</v>
      </c>
      <c r="D195" s="5">
        <v>1594000</v>
      </c>
      <c r="F195" s="19">
        <v>190</v>
      </c>
      <c r="G195" s="22">
        <v>45741</v>
      </c>
      <c r="H195" s="31">
        <f t="shared" si="5"/>
        <v>1629000</v>
      </c>
      <c r="I195" s="31">
        <f t="shared" si="6"/>
        <v>1594000</v>
      </c>
    </row>
    <row r="196" spans="1:9" x14ac:dyDescent="0.3">
      <c r="A196" s="3">
        <v>191</v>
      </c>
      <c r="B196" s="23">
        <v>45740</v>
      </c>
      <c r="C196" s="6">
        <v>1616000</v>
      </c>
      <c r="D196" s="4">
        <v>1581300</v>
      </c>
      <c r="F196" s="19">
        <v>191</v>
      </c>
      <c r="G196" s="22">
        <v>45740</v>
      </c>
      <c r="H196" s="31">
        <f t="shared" si="5"/>
        <v>1616000</v>
      </c>
      <c r="I196" s="31">
        <f t="shared" si="6"/>
        <v>1581300</v>
      </c>
    </row>
    <row r="197" spans="1:9" x14ac:dyDescent="0.3">
      <c r="A197" s="3">
        <v>192</v>
      </c>
      <c r="B197" s="24">
        <v>45739</v>
      </c>
      <c r="C197" s="7">
        <v>1621900</v>
      </c>
      <c r="D197" s="5">
        <v>1587100</v>
      </c>
      <c r="F197" s="19">
        <v>192</v>
      </c>
      <c r="G197" s="22">
        <v>45739</v>
      </c>
      <c r="H197" s="31">
        <f t="shared" si="5"/>
        <v>1621900</v>
      </c>
      <c r="I197" s="31">
        <f t="shared" si="6"/>
        <v>1587100</v>
      </c>
    </row>
    <row r="198" spans="1:9" x14ac:dyDescent="0.3">
      <c r="A198" s="3">
        <v>193</v>
      </c>
      <c r="B198" s="23">
        <v>45738</v>
      </c>
      <c r="C198" s="6">
        <v>1621900</v>
      </c>
      <c r="D198" s="4">
        <v>1587100</v>
      </c>
      <c r="F198" s="19">
        <v>193</v>
      </c>
      <c r="G198" s="22">
        <v>45738</v>
      </c>
      <c r="H198" s="31">
        <f t="shared" ref="H198:H261" si="7">_xlfn.XLOOKUP(G198,$B$6:$B$994,$C$6:$C$994,,-1)</f>
        <v>1621900</v>
      </c>
      <c r="I198" s="31">
        <f t="shared" ref="I198:I261" si="8">_xlfn.XLOOKUP(G198,$B$6:$B$994,$D$6:$D$994,,-1)</f>
        <v>1587100</v>
      </c>
    </row>
    <row r="199" spans="1:9" x14ac:dyDescent="0.3">
      <c r="A199" s="3">
        <v>194</v>
      </c>
      <c r="B199" s="24">
        <v>45737</v>
      </c>
      <c r="C199" s="7">
        <v>1617900</v>
      </c>
      <c r="D199" s="5">
        <v>1583100</v>
      </c>
      <c r="F199" s="19">
        <v>194</v>
      </c>
      <c r="G199" s="22">
        <v>45737</v>
      </c>
      <c r="H199" s="31">
        <f t="shared" si="7"/>
        <v>1617900</v>
      </c>
      <c r="I199" s="31">
        <f t="shared" si="8"/>
        <v>1583100</v>
      </c>
    </row>
    <row r="200" spans="1:9" x14ac:dyDescent="0.3">
      <c r="A200" s="3">
        <v>195</v>
      </c>
      <c r="B200" s="23">
        <v>45736</v>
      </c>
      <c r="C200" s="6">
        <v>1632000</v>
      </c>
      <c r="D200" s="4">
        <v>1597000</v>
      </c>
      <c r="F200" s="19">
        <v>195</v>
      </c>
      <c r="G200" s="22">
        <v>45736</v>
      </c>
      <c r="H200" s="31">
        <f t="shared" si="7"/>
        <v>1632000</v>
      </c>
      <c r="I200" s="31">
        <f t="shared" si="8"/>
        <v>1597000</v>
      </c>
    </row>
    <row r="201" spans="1:9" x14ac:dyDescent="0.3">
      <c r="A201" s="3">
        <v>196</v>
      </c>
      <c r="B201" s="24">
        <v>45735</v>
      </c>
      <c r="C201" s="7">
        <v>1624500</v>
      </c>
      <c r="D201" s="5">
        <v>1589600</v>
      </c>
      <c r="F201" s="19">
        <v>196</v>
      </c>
      <c r="G201" s="22">
        <v>45735</v>
      </c>
      <c r="H201" s="31">
        <f t="shared" si="7"/>
        <v>1624500</v>
      </c>
      <c r="I201" s="31">
        <f t="shared" si="8"/>
        <v>1589600</v>
      </c>
    </row>
    <row r="202" spans="1:9" x14ac:dyDescent="0.3">
      <c r="A202" s="3">
        <v>197</v>
      </c>
      <c r="B202" s="23">
        <v>45734</v>
      </c>
      <c r="C202" s="6">
        <v>1612400</v>
      </c>
      <c r="D202" s="4">
        <v>1577800</v>
      </c>
      <c r="F202" s="19">
        <v>197</v>
      </c>
      <c r="G202" s="22">
        <v>45734</v>
      </c>
      <c r="H202" s="31">
        <f t="shared" si="7"/>
        <v>1612400</v>
      </c>
      <c r="I202" s="31">
        <f t="shared" si="8"/>
        <v>1577800</v>
      </c>
    </row>
    <row r="203" spans="1:9" x14ac:dyDescent="0.3">
      <c r="A203" s="3">
        <v>198</v>
      </c>
      <c r="B203" s="24">
        <v>45733</v>
      </c>
      <c r="C203" s="7">
        <v>1594400</v>
      </c>
      <c r="D203" s="5">
        <v>1560100</v>
      </c>
      <c r="F203" s="19">
        <v>198</v>
      </c>
      <c r="G203" s="22">
        <v>45733</v>
      </c>
      <c r="H203" s="31">
        <f t="shared" si="7"/>
        <v>1594400</v>
      </c>
      <c r="I203" s="31">
        <f t="shared" si="8"/>
        <v>1560100</v>
      </c>
    </row>
    <row r="204" spans="1:9" x14ac:dyDescent="0.3">
      <c r="A204" s="3">
        <v>199</v>
      </c>
      <c r="B204" s="23">
        <v>45732</v>
      </c>
      <c r="C204" s="6">
        <v>1587700</v>
      </c>
      <c r="D204" s="4">
        <v>1553500</v>
      </c>
      <c r="F204" s="19">
        <v>199</v>
      </c>
      <c r="G204" s="22">
        <v>45732</v>
      </c>
      <c r="H204" s="31">
        <f t="shared" si="7"/>
        <v>1587700</v>
      </c>
      <c r="I204" s="31">
        <f t="shared" si="8"/>
        <v>1553500</v>
      </c>
    </row>
    <row r="205" spans="1:9" x14ac:dyDescent="0.3">
      <c r="A205" s="3">
        <v>200</v>
      </c>
      <c r="B205" s="24">
        <v>45731</v>
      </c>
      <c r="C205" s="7">
        <v>1587700</v>
      </c>
      <c r="D205" s="5">
        <v>1553500</v>
      </c>
      <c r="F205" s="19">
        <v>200</v>
      </c>
      <c r="G205" s="22">
        <v>45731</v>
      </c>
      <c r="H205" s="31">
        <f t="shared" si="7"/>
        <v>1587700</v>
      </c>
      <c r="I205" s="31">
        <f t="shared" si="8"/>
        <v>1553500</v>
      </c>
    </row>
    <row r="206" spans="1:9" x14ac:dyDescent="0.3">
      <c r="A206" s="3">
        <v>201</v>
      </c>
      <c r="B206" s="23">
        <v>45730</v>
      </c>
      <c r="C206" s="6">
        <v>1594500</v>
      </c>
      <c r="D206" s="4">
        <v>1560200</v>
      </c>
      <c r="F206" s="19">
        <v>201</v>
      </c>
      <c r="G206" s="22">
        <v>45730</v>
      </c>
      <c r="H206" s="31">
        <f t="shared" si="7"/>
        <v>1594500</v>
      </c>
      <c r="I206" s="31">
        <f t="shared" si="8"/>
        <v>1560200</v>
      </c>
    </row>
    <row r="207" spans="1:9" x14ac:dyDescent="0.3">
      <c r="A207" s="3">
        <v>202</v>
      </c>
      <c r="B207" s="24">
        <v>45729</v>
      </c>
      <c r="C207" s="7">
        <v>1589300</v>
      </c>
      <c r="D207" s="5">
        <v>1555100</v>
      </c>
      <c r="F207" s="19">
        <v>202</v>
      </c>
      <c r="G207" s="22">
        <v>45729</v>
      </c>
      <c r="H207" s="31">
        <f t="shared" si="7"/>
        <v>1589300</v>
      </c>
      <c r="I207" s="31">
        <f t="shared" si="8"/>
        <v>1555100</v>
      </c>
    </row>
    <row r="208" spans="1:9" x14ac:dyDescent="0.3">
      <c r="A208" s="3">
        <v>203</v>
      </c>
      <c r="B208" s="23">
        <v>45728</v>
      </c>
      <c r="C208" s="6">
        <v>1559000</v>
      </c>
      <c r="D208" s="4">
        <v>1525400</v>
      </c>
      <c r="F208" s="19">
        <v>203</v>
      </c>
      <c r="G208" s="22">
        <v>45728</v>
      </c>
      <c r="H208" s="31">
        <f t="shared" si="7"/>
        <v>1559000</v>
      </c>
      <c r="I208" s="31">
        <f t="shared" si="8"/>
        <v>1525400</v>
      </c>
    </row>
    <row r="209" spans="1:9" x14ac:dyDescent="0.3">
      <c r="A209" s="3">
        <v>204</v>
      </c>
      <c r="B209" s="24">
        <v>45727</v>
      </c>
      <c r="C209" s="7">
        <v>1549600</v>
      </c>
      <c r="D209" s="5">
        <v>1516200</v>
      </c>
      <c r="F209" s="19">
        <v>204</v>
      </c>
      <c r="G209" s="22">
        <v>45727</v>
      </c>
      <c r="H209" s="31">
        <f t="shared" si="7"/>
        <v>1549600</v>
      </c>
      <c r="I209" s="31">
        <f t="shared" si="8"/>
        <v>1516200</v>
      </c>
    </row>
    <row r="210" spans="1:9" x14ac:dyDescent="0.3">
      <c r="A210" s="3">
        <v>205</v>
      </c>
      <c r="B210" s="23">
        <v>45726</v>
      </c>
      <c r="C210" s="6">
        <v>1536700</v>
      </c>
      <c r="D210" s="4">
        <v>1503600</v>
      </c>
      <c r="F210" s="19">
        <v>205</v>
      </c>
      <c r="G210" s="22">
        <v>45726</v>
      </c>
      <c r="H210" s="31">
        <f t="shared" si="7"/>
        <v>1536700</v>
      </c>
      <c r="I210" s="31">
        <f t="shared" si="8"/>
        <v>1503600</v>
      </c>
    </row>
    <row r="211" spans="1:9" x14ac:dyDescent="0.3">
      <c r="A211" s="3">
        <v>206</v>
      </c>
      <c r="B211" s="24">
        <v>45725</v>
      </c>
      <c r="C211" s="7">
        <v>1539500</v>
      </c>
      <c r="D211" s="5">
        <v>1506300</v>
      </c>
      <c r="F211" s="19">
        <v>206</v>
      </c>
      <c r="G211" s="22">
        <v>45725</v>
      </c>
      <c r="H211" s="31">
        <f t="shared" si="7"/>
        <v>1539500</v>
      </c>
      <c r="I211" s="31">
        <f t="shared" si="8"/>
        <v>1506300</v>
      </c>
    </row>
    <row r="212" spans="1:9" x14ac:dyDescent="0.3">
      <c r="A212" s="3">
        <v>207</v>
      </c>
      <c r="B212" s="23">
        <v>45724</v>
      </c>
      <c r="C212" s="6">
        <v>1539500</v>
      </c>
      <c r="D212" s="4">
        <v>1506300</v>
      </c>
      <c r="F212" s="19">
        <v>207</v>
      </c>
      <c r="G212" s="22">
        <v>45724</v>
      </c>
      <c r="H212" s="31">
        <f t="shared" si="7"/>
        <v>1539500</v>
      </c>
      <c r="I212" s="31">
        <f t="shared" si="8"/>
        <v>1506300</v>
      </c>
    </row>
    <row r="213" spans="1:9" x14ac:dyDescent="0.3">
      <c r="A213" s="3">
        <v>208</v>
      </c>
      <c r="B213" s="24">
        <v>45723</v>
      </c>
      <c r="C213" s="7">
        <v>1557400</v>
      </c>
      <c r="D213" s="5">
        <v>1523900</v>
      </c>
      <c r="F213" s="19">
        <v>208</v>
      </c>
      <c r="G213" s="22">
        <v>45723</v>
      </c>
      <c r="H213" s="31">
        <f t="shared" si="7"/>
        <v>1557400</v>
      </c>
      <c r="I213" s="31">
        <f t="shared" si="8"/>
        <v>1523900</v>
      </c>
    </row>
    <row r="214" spans="1:9" x14ac:dyDescent="0.3">
      <c r="A214" s="3">
        <v>209</v>
      </c>
      <c r="B214" s="23">
        <v>45722</v>
      </c>
      <c r="C214" s="6">
        <v>1550100</v>
      </c>
      <c r="D214" s="4">
        <v>1516700</v>
      </c>
      <c r="F214" s="19">
        <v>209</v>
      </c>
      <c r="G214" s="22">
        <v>45722</v>
      </c>
      <c r="H214" s="31">
        <f t="shared" si="7"/>
        <v>1550100</v>
      </c>
      <c r="I214" s="31">
        <f t="shared" si="8"/>
        <v>1516700</v>
      </c>
    </row>
    <row r="215" spans="1:9" x14ac:dyDescent="0.3">
      <c r="A215" s="3">
        <v>210</v>
      </c>
      <c r="B215" s="24">
        <v>45721</v>
      </c>
      <c r="C215" s="7">
        <v>1553500</v>
      </c>
      <c r="D215" s="5">
        <v>1520000</v>
      </c>
      <c r="F215" s="19">
        <v>210</v>
      </c>
      <c r="G215" s="22">
        <v>45721</v>
      </c>
      <c r="H215" s="31">
        <f t="shared" si="7"/>
        <v>1553500</v>
      </c>
      <c r="I215" s="31">
        <f t="shared" si="8"/>
        <v>1520000</v>
      </c>
    </row>
    <row r="216" spans="1:9" x14ac:dyDescent="0.3">
      <c r="A216" s="3">
        <v>211</v>
      </c>
      <c r="B216" s="23">
        <v>45720</v>
      </c>
      <c r="C216" s="6">
        <v>1554800</v>
      </c>
      <c r="D216" s="4">
        <v>1521300</v>
      </c>
      <c r="F216" s="19">
        <v>211</v>
      </c>
      <c r="G216" s="22">
        <v>45720</v>
      </c>
      <c r="H216" s="31">
        <f t="shared" si="7"/>
        <v>1554800</v>
      </c>
      <c r="I216" s="31">
        <f t="shared" si="8"/>
        <v>1521300</v>
      </c>
    </row>
    <row r="217" spans="1:9" x14ac:dyDescent="0.3">
      <c r="A217" s="3">
        <v>212</v>
      </c>
      <c r="B217" s="24">
        <v>45719</v>
      </c>
      <c r="C217" s="7">
        <v>1547600</v>
      </c>
      <c r="D217" s="5">
        <v>1514200</v>
      </c>
      <c r="F217" s="19">
        <v>212</v>
      </c>
      <c r="G217" s="22">
        <v>45719</v>
      </c>
      <c r="H217" s="31">
        <f t="shared" si="7"/>
        <v>1547600</v>
      </c>
      <c r="I217" s="31">
        <f t="shared" si="8"/>
        <v>1514200</v>
      </c>
    </row>
    <row r="218" spans="1:9" x14ac:dyDescent="0.3">
      <c r="A218" s="3">
        <v>213</v>
      </c>
      <c r="B218" s="23">
        <v>45718</v>
      </c>
      <c r="C218" s="6">
        <v>1536900</v>
      </c>
      <c r="D218" s="4">
        <v>1503800</v>
      </c>
      <c r="F218" s="19">
        <v>213</v>
      </c>
      <c r="G218" s="22">
        <v>45718</v>
      </c>
      <c r="H218" s="31">
        <f t="shared" si="7"/>
        <v>1536900</v>
      </c>
      <c r="I218" s="31">
        <f t="shared" si="8"/>
        <v>1503800</v>
      </c>
    </row>
    <row r="219" spans="1:9" x14ac:dyDescent="0.3">
      <c r="A219" s="3">
        <v>214</v>
      </c>
      <c r="B219" s="24">
        <v>45717</v>
      </c>
      <c r="C219" s="7">
        <v>1536900</v>
      </c>
      <c r="D219" s="5">
        <v>1503800</v>
      </c>
      <c r="F219" s="19">
        <v>214</v>
      </c>
      <c r="G219" s="22">
        <v>45717</v>
      </c>
      <c r="H219" s="31">
        <f t="shared" si="7"/>
        <v>1536900</v>
      </c>
      <c r="I219" s="31">
        <f t="shared" si="8"/>
        <v>1503800</v>
      </c>
    </row>
    <row r="220" spans="1:9" x14ac:dyDescent="0.3">
      <c r="A220" s="3">
        <v>215</v>
      </c>
      <c r="B220" s="23">
        <v>45716</v>
      </c>
      <c r="C220" s="6">
        <v>1516400</v>
      </c>
      <c r="D220" s="4">
        <v>1483700</v>
      </c>
      <c r="F220" s="19">
        <v>215</v>
      </c>
      <c r="G220" s="22">
        <v>45716</v>
      </c>
      <c r="H220" s="31">
        <f t="shared" si="7"/>
        <v>1516400</v>
      </c>
      <c r="I220" s="31">
        <f t="shared" si="8"/>
        <v>1483700</v>
      </c>
    </row>
    <row r="221" spans="1:9" x14ac:dyDescent="0.3">
      <c r="A221" s="3">
        <v>216</v>
      </c>
      <c r="B221" s="24">
        <v>45715</v>
      </c>
      <c r="C221" s="7">
        <v>1528500</v>
      </c>
      <c r="D221" s="5">
        <v>1495500</v>
      </c>
      <c r="F221" s="19">
        <v>216</v>
      </c>
      <c r="G221" s="22">
        <v>45715</v>
      </c>
      <c r="H221" s="31">
        <f t="shared" si="7"/>
        <v>1528500</v>
      </c>
      <c r="I221" s="31">
        <f t="shared" si="8"/>
        <v>1495500</v>
      </c>
    </row>
    <row r="222" spans="1:9" x14ac:dyDescent="0.3">
      <c r="A222" s="3">
        <v>217</v>
      </c>
      <c r="B222" s="23">
        <v>45714</v>
      </c>
      <c r="C222" s="6">
        <v>1542900</v>
      </c>
      <c r="D222" s="4">
        <v>1509600</v>
      </c>
      <c r="F222" s="19">
        <v>217</v>
      </c>
      <c r="G222" s="22">
        <v>45714</v>
      </c>
      <c r="H222" s="31">
        <f t="shared" si="7"/>
        <v>1542900</v>
      </c>
      <c r="I222" s="31">
        <f t="shared" si="8"/>
        <v>1509600</v>
      </c>
    </row>
    <row r="223" spans="1:9" x14ac:dyDescent="0.3">
      <c r="A223" s="3">
        <v>218</v>
      </c>
      <c r="B223" s="24">
        <v>45713</v>
      </c>
      <c r="C223" s="7">
        <v>1553700</v>
      </c>
      <c r="D223" s="5">
        <v>1520200</v>
      </c>
      <c r="F223" s="19">
        <v>218</v>
      </c>
      <c r="G223" s="22">
        <v>45713</v>
      </c>
      <c r="H223" s="31">
        <f t="shared" si="7"/>
        <v>1553700</v>
      </c>
      <c r="I223" s="31">
        <f t="shared" si="8"/>
        <v>1520200</v>
      </c>
    </row>
    <row r="224" spans="1:9" x14ac:dyDescent="0.3">
      <c r="A224" s="3">
        <v>219</v>
      </c>
      <c r="B224" s="23">
        <v>45712</v>
      </c>
      <c r="C224" s="6">
        <v>1559800</v>
      </c>
      <c r="D224" s="4">
        <v>1526200</v>
      </c>
      <c r="F224" s="19">
        <v>219</v>
      </c>
      <c r="G224" s="22">
        <v>45712</v>
      </c>
      <c r="H224" s="31">
        <f t="shared" si="7"/>
        <v>1559800</v>
      </c>
      <c r="I224" s="31">
        <f t="shared" si="8"/>
        <v>1526200</v>
      </c>
    </row>
    <row r="225" spans="1:9" x14ac:dyDescent="0.3">
      <c r="A225" s="3">
        <v>220</v>
      </c>
      <c r="B225" s="24">
        <v>45711</v>
      </c>
      <c r="C225" s="7">
        <v>1557100</v>
      </c>
      <c r="D225" s="5">
        <v>1523600</v>
      </c>
      <c r="F225" s="19">
        <v>220</v>
      </c>
      <c r="G225" s="22">
        <v>45711</v>
      </c>
      <c r="H225" s="31">
        <f t="shared" si="7"/>
        <v>1557100</v>
      </c>
      <c r="I225" s="31">
        <f t="shared" si="8"/>
        <v>1523600</v>
      </c>
    </row>
    <row r="226" spans="1:9" x14ac:dyDescent="0.3">
      <c r="A226" s="3">
        <v>221</v>
      </c>
      <c r="B226" s="23">
        <v>45710</v>
      </c>
      <c r="C226" s="6">
        <v>1557100</v>
      </c>
      <c r="D226" s="4">
        <v>1523600</v>
      </c>
      <c r="F226" s="19">
        <v>221</v>
      </c>
      <c r="G226" s="22">
        <v>45710</v>
      </c>
      <c r="H226" s="31">
        <f t="shared" si="7"/>
        <v>1557100</v>
      </c>
      <c r="I226" s="31">
        <f t="shared" si="8"/>
        <v>1523600</v>
      </c>
    </row>
    <row r="227" spans="1:9" x14ac:dyDescent="0.3">
      <c r="A227" s="3">
        <v>222</v>
      </c>
      <c r="B227" s="24">
        <v>45709</v>
      </c>
      <c r="C227" s="7">
        <v>1551800</v>
      </c>
      <c r="D227" s="5">
        <v>1518400</v>
      </c>
      <c r="F227" s="19">
        <v>222</v>
      </c>
      <c r="G227" s="22">
        <v>45709</v>
      </c>
      <c r="H227" s="31">
        <f t="shared" si="7"/>
        <v>1551800</v>
      </c>
      <c r="I227" s="31">
        <f t="shared" si="8"/>
        <v>1518400</v>
      </c>
    </row>
    <row r="228" spans="1:9" x14ac:dyDescent="0.3">
      <c r="A228" s="3">
        <v>223</v>
      </c>
      <c r="B228" s="23">
        <v>45708</v>
      </c>
      <c r="C228" s="6">
        <v>1562600</v>
      </c>
      <c r="D228" s="4">
        <v>1528900</v>
      </c>
      <c r="F228" s="19">
        <v>223</v>
      </c>
      <c r="G228" s="22">
        <v>45708</v>
      </c>
      <c r="H228" s="31">
        <f t="shared" si="7"/>
        <v>1562600</v>
      </c>
      <c r="I228" s="31">
        <f t="shared" si="8"/>
        <v>1528900</v>
      </c>
    </row>
    <row r="229" spans="1:9" x14ac:dyDescent="0.3">
      <c r="A229" s="3">
        <v>224</v>
      </c>
      <c r="B229" s="24">
        <v>45707</v>
      </c>
      <c r="C229" s="7">
        <v>1560800</v>
      </c>
      <c r="D229" s="5">
        <v>1527200</v>
      </c>
      <c r="F229" s="19">
        <v>224</v>
      </c>
      <c r="G229" s="22">
        <v>45707</v>
      </c>
      <c r="H229" s="31">
        <f t="shared" si="7"/>
        <v>1560800</v>
      </c>
      <c r="I229" s="31">
        <f t="shared" si="8"/>
        <v>1527200</v>
      </c>
    </row>
    <row r="230" spans="1:9" x14ac:dyDescent="0.3">
      <c r="A230" s="3">
        <v>225</v>
      </c>
      <c r="B230" s="23">
        <v>45706</v>
      </c>
      <c r="C230" s="6">
        <v>1543700</v>
      </c>
      <c r="D230" s="4">
        <v>1510400</v>
      </c>
      <c r="F230" s="19">
        <v>225</v>
      </c>
      <c r="G230" s="22">
        <v>45706</v>
      </c>
      <c r="H230" s="31">
        <f t="shared" si="7"/>
        <v>1543700</v>
      </c>
      <c r="I230" s="31">
        <f t="shared" si="8"/>
        <v>1510400</v>
      </c>
    </row>
    <row r="231" spans="1:9" x14ac:dyDescent="0.3">
      <c r="A231" s="3">
        <v>226</v>
      </c>
      <c r="B231" s="24">
        <v>45705</v>
      </c>
      <c r="C231" s="7">
        <v>1528100</v>
      </c>
      <c r="D231" s="5">
        <v>1495100</v>
      </c>
      <c r="F231" s="19">
        <v>226</v>
      </c>
      <c r="G231" s="22">
        <v>45705</v>
      </c>
      <c r="H231" s="31">
        <f t="shared" si="7"/>
        <v>1528100</v>
      </c>
      <c r="I231" s="31">
        <f t="shared" si="8"/>
        <v>1495100</v>
      </c>
    </row>
    <row r="232" spans="1:9" x14ac:dyDescent="0.3">
      <c r="A232" s="3">
        <v>227</v>
      </c>
      <c r="B232" s="23">
        <v>45704</v>
      </c>
      <c r="C232" s="6">
        <v>1518500</v>
      </c>
      <c r="D232" s="4">
        <v>1485700</v>
      </c>
      <c r="F232" s="19">
        <v>227</v>
      </c>
      <c r="G232" s="22">
        <v>45704</v>
      </c>
      <c r="H232" s="31">
        <f t="shared" si="7"/>
        <v>1518500</v>
      </c>
      <c r="I232" s="31">
        <f t="shared" si="8"/>
        <v>1485700</v>
      </c>
    </row>
    <row r="233" spans="1:9" x14ac:dyDescent="0.3">
      <c r="A233" s="3">
        <v>228</v>
      </c>
      <c r="B233" s="24">
        <v>45703</v>
      </c>
      <c r="C233" s="7">
        <v>1518500</v>
      </c>
      <c r="D233" s="5">
        <v>1485700</v>
      </c>
      <c r="F233" s="19">
        <v>228</v>
      </c>
      <c r="G233" s="22">
        <v>45703</v>
      </c>
      <c r="H233" s="31">
        <f t="shared" si="7"/>
        <v>1518500</v>
      </c>
      <c r="I233" s="31">
        <f t="shared" si="8"/>
        <v>1485700</v>
      </c>
    </row>
    <row r="234" spans="1:9" x14ac:dyDescent="0.3">
      <c r="A234" s="3">
        <v>229</v>
      </c>
      <c r="B234" s="23">
        <v>45702</v>
      </c>
      <c r="C234" s="6">
        <v>1556000</v>
      </c>
      <c r="D234" s="4">
        <v>1522500</v>
      </c>
      <c r="F234" s="19">
        <v>229</v>
      </c>
      <c r="G234" s="22">
        <v>45702</v>
      </c>
      <c r="H234" s="31">
        <f t="shared" si="7"/>
        <v>1556000</v>
      </c>
      <c r="I234" s="31">
        <f t="shared" si="8"/>
        <v>1522500</v>
      </c>
    </row>
    <row r="235" spans="1:9" x14ac:dyDescent="0.3">
      <c r="A235" s="3">
        <v>230</v>
      </c>
      <c r="B235" s="24">
        <v>45701</v>
      </c>
      <c r="C235" s="7">
        <v>1549000</v>
      </c>
      <c r="D235" s="5">
        <v>1515600</v>
      </c>
      <c r="F235" s="19">
        <v>230</v>
      </c>
      <c r="G235" s="22">
        <v>45701</v>
      </c>
      <c r="H235" s="31">
        <f t="shared" si="7"/>
        <v>1549000</v>
      </c>
      <c r="I235" s="31">
        <f t="shared" si="8"/>
        <v>1515600</v>
      </c>
    </row>
    <row r="236" spans="1:9" x14ac:dyDescent="0.3">
      <c r="A236" s="3">
        <v>231</v>
      </c>
      <c r="B236" s="23">
        <v>45700</v>
      </c>
      <c r="C236" s="6">
        <v>1539000</v>
      </c>
      <c r="D236" s="4">
        <v>1505800</v>
      </c>
      <c r="F236" s="19">
        <v>231</v>
      </c>
      <c r="G236" s="22">
        <v>45700</v>
      </c>
      <c r="H236" s="31">
        <f t="shared" si="7"/>
        <v>1539000</v>
      </c>
      <c r="I236" s="31">
        <f t="shared" si="8"/>
        <v>1505800</v>
      </c>
    </row>
    <row r="237" spans="1:9" x14ac:dyDescent="0.3">
      <c r="A237" s="3">
        <v>232</v>
      </c>
      <c r="B237" s="24">
        <v>45699</v>
      </c>
      <c r="C237" s="7">
        <v>1540300</v>
      </c>
      <c r="D237" s="5">
        <v>1507100</v>
      </c>
      <c r="F237" s="19">
        <v>232</v>
      </c>
      <c r="G237" s="22">
        <v>45699</v>
      </c>
      <c r="H237" s="31">
        <f t="shared" si="7"/>
        <v>1540300</v>
      </c>
      <c r="I237" s="31">
        <f t="shared" si="8"/>
        <v>1507100</v>
      </c>
    </row>
    <row r="238" spans="1:9" x14ac:dyDescent="0.3">
      <c r="A238" s="3">
        <v>233</v>
      </c>
      <c r="B238" s="23">
        <v>45698</v>
      </c>
      <c r="C238" s="6">
        <v>1542100</v>
      </c>
      <c r="D238" s="4">
        <v>1508900</v>
      </c>
      <c r="F238" s="19">
        <v>233</v>
      </c>
      <c r="G238" s="22">
        <v>45698</v>
      </c>
      <c r="H238" s="31">
        <f t="shared" si="7"/>
        <v>1542100</v>
      </c>
      <c r="I238" s="31">
        <f t="shared" si="8"/>
        <v>1508900</v>
      </c>
    </row>
    <row r="239" spans="1:9" x14ac:dyDescent="0.3">
      <c r="A239" s="3">
        <v>234</v>
      </c>
      <c r="B239" s="24">
        <v>45697</v>
      </c>
      <c r="C239" s="7">
        <v>1517500</v>
      </c>
      <c r="D239" s="5">
        <v>1484800</v>
      </c>
      <c r="F239" s="19">
        <v>234</v>
      </c>
      <c r="G239" s="22">
        <v>45697</v>
      </c>
      <c r="H239" s="31">
        <f t="shared" si="7"/>
        <v>1517500</v>
      </c>
      <c r="I239" s="31">
        <f t="shared" si="8"/>
        <v>1484800</v>
      </c>
    </row>
    <row r="240" spans="1:9" x14ac:dyDescent="0.3">
      <c r="A240" s="3">
        <v>235</v>
      </c>
      <c r="B240" s="23">
        <v>45696</v>
      </c>
      <c r="C240" s="6">
        <v>1517500</v>
      </c>
      <c r="D240" s="4">
        <v>1484800</v>
      </c>
      <c r="F240" s="19">
        <v>235</v>
      </c>
      <c r="G240" s="22">
        <v>45696</v>
      </c>
      <c r="H240" s="31">
        <f t="shared" si="7"/>
        <v>1517500</v>
      </c>
      <c r="I240" s="31">
        <f t="shared" si="8"/>
        <v>1484800</v>
      </c>
    </row>
    <row r="241" spans="1:9" x14ac:dyDescent="0.3">
      <c r="A241" s="3">
        <v>236</v>
      </c>
      <c r="B241" s="24">
        <v>45695</v>
      </c>
      <c r="C241" s="7">
        <v>1527800</v>
      </c>
      <c r="D241" s="5">
        <v>1494800</v>
      </c>
      <c r="F241" s="19">
        <v>236</v>
      </c>
      <c r="G241" s="22">
        <v>45695</v>
      </c>
      <c r="H241" s="31">
        <f t="shared" si="7"/>
        <v>1527800</v>
      </c>
      <c r="I241" s="31">
        <f t="shared" si="8"/>
        <v>1494800</v>
      </c>
    </row>
    <row r="242" spans="1:9" x14ac:dyDescent="0.3">
      <c r="A242" s="3">
        <v>237</v>
      </c>
      <c r="B242" s="23">
        <v>45694</v>
      </c>
      <c r="C242" s="6">
        <v>1509600</v>
      </c>
      <c r="D242" s="4">
        <v>1477000</v>
      </c>
      <c r="F242" s="19">
        <v>237</v>
      </c>
      <c r="G242" s="22">
        <v>45694</v>
      </c>
      <c r="H242" s="31">
        <f t="shared" si="7"/>
        <v>1509600</v>
      </c>
      <c r="I242" s="31">
        <f t="shared" si="8"/>
        <v>1477000</v>
      </c>
    </row>
    <row r="243" spans="1:9" x14ac:dyDescent="0.3">
      <c r="A243" s="3">
        <v>238</v>
      </c>
      <c r="B243" s="24">
        <v>45693</v>
      </c>
      <c r="C243" s="7">
        <v>1522700</v>
      </c>
      <c r="D243" s="5">
        <v>1489800</v>
      </c>
      <c r="F243" s="19">
        <v>238</v>
      </c>
      <c r="G243" s="22">
        <v>45693</v>
      </c>
      <c r="H243" s="31">
        <f t="shared" si="7"/>
        <v>1522700</v>
      </c>
      <c r="I243" s="31">
        <f t="shared" si="8"/>
        <v>1489800</v>
      </c>
    </row>
    <row r="244" spans="1:9" x14ac:dyDescent="0.3">
      <c r="A244" s="3">
        <v>239</v>
      </c>
      <c r="B244" s="23">
        <v>45692</v>
      </c>
      <c r="C244" s="6">
        <v>1522200</v>
      </c>
      <c r="D244" s="4">
        <v>1479300</v>
      </c>
      <c r="F244" s="19">
        <v>239</v>
      </c>
      <c r="G244" s="22">
        <v>45692</v>
      </c>
      <c r="H244" s="31">
        <f t="shared" si="7"/>
        <v>1522200</v>
      </c>
      <c r="I244" s="31">
        <f t="shared" si="8"/>
        <v>1479300</v>
      </c>
    </row>
    <row r="245" spans="1:9" x14ac:dyDescent="0.3">
      <c r="A245" s="3">
        <v>240</v>
      </c>
      <c r="B245" s="24">
        <v>45691</v>
      </c>
      <c r="C245" s="7">
        <v>1506000</v>
      </c>
      <c r="D245" s="5">
        <v>1463500</v>
      </c>
      <c r="F245" s="19">
        <v>240</v>
      </c>
      <c r="G245" s="22">
        <v>45691</v>
      </c>
      <c r="H245" s="31">
        <f t="shared" si="7"/>
        <v>1506000</v>
      </c>
      <c r="I245" s="31">
        <f t="shared" si="8"/>
        <v>1463500</v>
      </c>
    </row>
    <row r="246" spans="1:9" x14ac:dyDescent="0.3">
      <c r="A246" s="3">
        <v>241</v>
      </c>
      <c r="B246" s="23">
        <v>45690</v>
      </c>
      <c r="C246" s="6">
        <v>1489700</v>
      </c>
      <c r="D246" s="4">
        <v>1447600</v>
      </c>
      <c r="F246" s="19">
        <v>241</v>
      </c>
      <c r="G246" s="22">
        <v>45690</v>
      </c>
      <c r="H246" s="31">
        <f t="shared" si="7"/>
        <v>1489700</v>
      </c>
      <c r="I246" s="31">
        <f t="shared" si="8"/>
        <v>1447600</v>
      </c>
    </row>
    <row r="247" spans="1:9" x14ac:dyDescent="0.3">
      <c r="A247" s="3">
        <v>242</v>
      </c>
      <c r="B247" s="24">
        <v>45689</v>
      </c>
      <c r="C247" s="7">
        <v>1489700</v>
      </c>
      <c r="D247" s="5">
        <v>1447600</v>
      </c>
      <c r="F247" s="19">
        <v>242</v>
      </c>
      <c r="G247" s="22">
        <v>45689</v>
      </c>
      <c r="H247" s="31">
        <f t="shared" si="7"/>
        <v>1489700</v>
      </c>
      <c r="I247" s="31">
        <f t="shared" si="8"/>
        <v>1447600</v>
      </c>
    </row>
    <row r="248" spans="1:9" x14ac:dyDescent="0.3">
      <c r="A248" s="3">
        <v>243</v>
      </c>
      <c r="B248" s="23">
        <v>45688</v>
      </c>
      <c r="C248" s="6">
        <v>1490900</v>
      </c>
      <c r="D248" s="4">
        <v>1448800</v>
      </c>
      <c r="F248" s="19">
        <v>243</v>
      </c>
      <c r="G248" s="22">
        <v>45688</v>
      </c>
      <c r="H248" s="31">
        <f t="shared" si="7"/>
        <v>1490900</v>
      </c>
      <c r="I248" s="31">
        <f t="shared" si="8"/>
        <v>1448800</v>
      </c>
    </row>
    <row r="249" spans="1:9" x14ac:dyDescent="0.3">
      <c r="A249" s="3">
        <v>244</v>
      </c>
      <c r="B249" s="24">
        <v>45687</v>
      </c>
      <c r="C249" s="7">
        <v>1478700</v>
      </c>
      <c r="D249" s="5">
        <v>1436900</v>
      </c>
      <c r="F249" s="19">
        <v>244</v>
      </c>
      <c r="G249" s="22">
        <v>45687</v>
      </c>
      <c r="H249" s="31">
        <f t="shared" si="7"/>
        <v>1478700</v>
      </c>
      <c r="I249" s="31">
        <f t="shared" si="8"/>
        <v>1436900</v>
      </c>
    </row>
    <row r="250" spans="1:9" x14ac:dyDescent="0.3">
      <c r="A250" s="3">
        <v>245</v>
      </c>
      <c r="B250" s="23">
        <v>45686</v>
      </c>
      <c r="C250" s="6">
        <v>1462200</v>
      </c>
      <c r="D250" s="4">
        <v>1420800</v>
      </c>
      <c r="F250" s="19">
        <v>245</v>
      </c>
      <c r="G250" s="22">
        <v>45686</v>
      </c>
      <c r="H250" s="31">
        <f t="shared" si="7"/>
        <v>1462200</v>
      </c>
      <c r="I250" s="31">
        <f t="shared" si="8"/>
        <v>1420800</v>
      </c>
    </row>
    <row r="251" spans="1:9" x14ac:dyDescent="0.3">
      <c r="A251" s="3">
        <v>246</v>
      </c>
      <c r="B251" s="24">
        <v>45685</v>
      </c>
      <c r="C251" s="7">
        <v>1452700</v>
      </c>
      <c r="D251" s="5">
        <v>1411600</v>
      </c>
      <c r="F251" s="19">
        <v>246</v>
      </c>
      <c r="G251" s="22">
        <v>45685</v>
      </c>
      <c r="H251" s="31">
        <f t="shared" si="7"/>
        <v>1452700</v>
      </c>
      <c r="I251" s="31">
        <f t="shared" si="8"/>
        <v>1411600</v>
      </c>
    </row>
    <row r="252" spans="1:9" x14ac:dyDescent="0.3">
      <c r="A252" s="3">
        <v>247</v>
      </c>
      <c r="B252" s="23">
        <v>45684</v>
      </c>
      <c r="C252" s="6">
        <v>1450100</v>
      </c>
      <c r="D252" s="4">
        <v>1409000</v>
      </c>
      <c r="F252" s="19">
        <v>247</v>
      </c>
      <c r="G252" s="22">
        <v>45684</v>
      </c>
      <c r="H252" s="31">
        <f t="shared" si="7"/>
        <v>1450100</v>
      </c>
      <c r="I252" s="31">
        <f t="shared" si="8"/>
        <v>1409000</v>
      </c>
    </row>
    <row r="253" spans="1:9" x14ac:dyDescent="0.3">
      <c r="A253" s="3">
        <v>248</v>
      </c>
      <c r="B253" s="24">
        <v>45683</v>
      </c>
      <c r="C253" s="7">
        <v>1461100</v>
      </c>
      <c r="D253" s="5">
        <v>1419700</v>
      </c>
      <c r="F253" s="19">
        <v>248</v>
      </c>
      <c r="G253" s="22">
        <v>45683</v>
      </c>
      <c r="H253" s="31">
        <f t="shared" si="7"/>
        <v>1461100</v>
      </c>
      <c r="I253" s="31">
        <f t="shared" si="8"/>
        <v>1419700</v>
      </c>
    </row>
    <row r="254" spans="1:9" x14ac:dyDescent="0.3">
      <c r="A254" s="3">
        <v>249</v>
      </c>
      <c r="B254" s="23">
        <v>45682</v>
      </c>
      <c r="C254" s="6">
        <v>1461100</v>
      </c>
      <c r="D254" s="4">
        <v>1419700</v>
      </c>
      <c r="F254" s="19">
        <v>249</v>
      </c>
      <c r="G254" s="22">
        <v>45682</v>
      </c>
      <c r="H254" s="31">
        <f t="shared" si="7"/>
        <v>1461100</v>
      </c>
      <c r="I254" s="31">
        <f t="shared" si="8"/>
        <v>1419700</v>
      </c>
    </row>
    <row r="255" spans="1:9" x14ac:dyDescent="0.3">
      <c r="A255" s="3">
        <v>250</v>
      </c>
      <c r="B255" s="24">
        <v>45681</v>
      </c>
      <c r="C255" s="7">
        <v>1473600</v>
      </c>
      <c r="D255" s="5">
        <v>1431900</v>
      </c>
      <c r="F255" s="19">
        <v>250</v>
      </c>
      <c r="G255" s="22">
        <v>45681</v>
      </c>
      <c r="H255" s="31">
        <f t="shared" si="7"/>
        <v>1473600</v>
      </c>
      <c r="I255" s="31">
        <f t="shared" si="8"/>
        <v>1431900</v>
      </c>
    </row>
    <row r="256" spans="1:9" x14ac:dyDescent="0.3">
      <c r="A256" s="3">
        <v>251</v>
      </c>
      <c r="B256" s="23">
        <v>45680</v>
      </c>
      <c r="C256" s="6">
        <v>1453600</v>
      </c>
      <c r="D256" s="4">
        <v>1412400</v>
      </c>
      <c r="F256" s="19">
        <v>251</v>
      </c>
      <c r="G256" s="22">
        <v>45680</v>
      </c>
      <c r="H256" s="31">
        <f t="shared" si="7"/>
        <v>1453600</v>
      </c>
      <c r="I256" s="31">
        <f t="shared" si="8"/>
        <v>1412400</v>
      </c>
    </row>
    <row r="257" spans="1:9" x14ac:dyDescent="0.3">
      <c r="A257" s="3">
        <v>252</v>
      </c>
      <c r="B257" s="24">
        <v>45679</v>
      </c>
      <c r="C257" s="7">
        <v>1470300</v>
      </c>
      <c r="D257" s="5">
        <v>1428700</v>
      </c>
      <c r="F257" s="19">
        <v>252</v>
      </c>
      <c r="G257" s="22">
        <v>45679</v>
      </c>
      <c r="H257" s="31">
        <f t="shared" si="7"/>
        <v>1470300</v>
      </c>
      <c r="I257" s="31">
        <f t="shared" si="8"/>
        <v>1428700</v>
      </c>
    </row>
    <row r="258" spans="1:9" x14ac:dyDescent="0.3">
      <c r="A258" s="3">
        <v>253</v>
      </c>
      <c r="B258" s="23">
        <v>45678</v>
      </c>
      <c r="C258" s="6">
        <v>1465400</v>
      </c>
      <c r="D258" s="4">
        <v>1423900</v>
      </c>
      <c r="F258" s="19">
        <v>253</v>
      </c>
      <c r="G258" s="22">
        <v>45678</v>
      </c>
      <c r="H258" s="31">
        <f t="shared" si="7"/>
        <v>1465400</v>
      </c>
      <c r="I258" s="31">
        <f t="shared" si="8"/>
        <v>1423900</v>
      </c>
    </row>
    <row r="259" spans="1:9" x14ac:dyDescent="0.3">
      <c r="A259" s="3">
        <v>254</v>
      </c>
      <c r="B259" s="24">
        <v>45677</v>
      </c>
      <c r="C259" s="7">
        <v>1451200</v>
      </c>
      <c r="D259" s="5">
        <v>1410100</v>
      </c>
      <c r="F259" s="19">
        <v>254</v>
      </c>
      <c r="G259" s="22">
        <v>45677</v>
      </c>
      <c r="H259" s="31">
        <f t="shared" si="7"/>
        <v>1451200</v>
      </c>
      <c r="I259" s="31">
        <f t="shared" si="8"/>
        <v>1410100</v>
      </c>
    </row>
    <row r="260" spans="1:9" x14ac:dyDescent="0.3">
      <c r="A260" s="3">
        <v>255</v>
      </c>
      <c r="B260" s="23">
        <v>45676</v>
      </c>
      <c r="C260" s="6">
        <v>1447700</v>
      </c>
      <c r="D260" s="4">
        <v>1406700</v>
      </c>
      <c r="F260" s="19">
        <v>255</v>
      </c>
      <c r="G260" s="22">
        <v>45676</v>
      </c>
      <c r="H260" s="31">
        <f t="shared" si="7"/>
        <v>1447700</v>
      </c>
      <c r="I260" s="31">
        <f t="shared" si="8"/>
        <v>1406700</v>
      </c>
    </row>
    <row r="261" spans="1:9" x14ac:dyDescent="0.3">
      <c r="A261" s="3">
        <v>256</v>
      </c>
      <c r="B261" s="24">
        <v>45675</v>
      </c>
      <c r="C261" s="7">
        <v>1447700</v>
      </c>
      <c r="D261" s="5">
        <v>1406700</v>
      </c>
      <c r="F261" s="19">
        <v>256</v>
      </c>
      <c r="G261" s="22">
        <v>45675</v>
      </c>
      <c r="H261" s="31">
        <f t="shared" si="7"/>
        <v>1447700</v>
      </c>
      <c r="I261" s="31">
        <f t="shared" si="8"/>
        <v>1406700</v>
      </c>
    </row>
    <row r="262" spans="1:9" x14ac:dyDescent="0.3">
      <c r="A262" s="3">
        <v>257</v>
      </c>
      <c r="B262" s="23">
        <v>45674</v>
      </c>
      <c r="C262" s="6">
        <v>1452900</v>
      </c>
      <c r="D262" s="4">
        <v>1411800</v>
      </c>
      <c r="F262" s="19">
        <v>257</v>
      </c>
      <c r="G262" s="22">
        <v>45674</v>
      </c>
      <c r="H262" s="31">
        <f t="shared" ref="H262:H325" si="9">_xlfn.XLOOKUP(G262,$B$6:$B$994,$C$6:$C$994,,-1)</f>
        <v>1452900</v>
      </c>
      <c r="I262" s="31">
        <f t="shared" ref="I262:I325" si="10">_xlfn.XLOOKUP(G262,$B$6:$B$994,$D$6:$D$994,,-1)</f>
        <v>1411800</v>
      </c>
    </row>
    <row r="263" spans="1:9" x14ac:dyDescent="0.3">
      <c r="A263" s="3">
        <v>258</v>
      </c>
      <c r="B263" s="24">
        <v>45673</v>
      </c>
      <c r="C263" s="7">
        <v>1454300</v>
      </c>
      <c r="D263" s="5">
        <v>1413100</v>
      </c>
      <c r="F263" s="19">
        <v>258</v>
      </c>
      <c r="G263" s="22">
        <v>45673</v>
      </c>
      <c r="H263" s="31">
        <f t="shared" si="9"/>
        <v>1454300</v>
      </c>
      <c r="I263" s="31">
        <f t="shared" si="10"/>
        <v>1413100</v>
      </c>
    </row>
    <row r="264" spans="1:9" x14ac:dyDescent="0.3">
      <c r="A264" s="3">
        <v>259</v>
      </c>
      <c r="B264" s="23">
        <v>45672</v>
      </c>
      <c r="C264" s="6">
        <v>1429600</v>
      </c>
      <c r="D264" s="4">
        <v>1389000</v>
      </c>
      <c r="F264" s="19">
        <v>259</v>
      </c>
      <c r="G264" s="22">
        <v>45672</v>
      </c>
      <c r="H264" s="31">
        <f t="shared" si="9"/>
        <v>1429600</v>
      </c>
      <c r="I264" s="31">
        <f t="shared" si="10"/>
        <v>1389000</v>
      </c>
    </row>
    <row r="265" spans="1:9" x14ac:dyDescent="0.3">
      <c r="A265" s="3">
        <v>260</v>
      </c>
      <c r="B265" s="24">
        <v>45671</v>
      </c>
      <c r="C265" s="7">
        <v>1420500</v>
      </c>
      <c r="D265" s="5">
        <v>1380200</v>
      </c>
      <c r="F265" s="19">
        <v>260</v>
      </c>
      <c r="G265" s="22">
        <v>45671</v>
      </c>
      <c r="H265" s="31">
        <f t="shared" si="9"/>
        <v>1420500</v>
      </c>
      <c r="I265" s="31">
        <f t="shared" si="10"/>
        <v>1380200</v>
      </c>
    </row>
    <row r="266" spans="1:9" x14ac:dyDescent="0.3">
      <c r="A266" s="3">
        <v>261</v>
      </c>
      <c r="B266" s="23">
        <v>45670</v>
      </c>
      <c r="C266" s="6">
        <v>1413400</v>
      </c>
      <c r="D266" s="4">
        <v>1373200</v>
      </c>
      <c r="F266" s="19">
        <v>261</v>
      </c>
      <c r="G266" s="22">
        <v>45670</v>
      </c>
      <c r="H266" s="31">
        <f t="shared" si="9"/>
        <v>1413400</v>
      </c>
      <c r="I266" s="31">
        <f t="shared" si="10"/>
        <v>1373200</v>
      </c>
    </row>
    <row r="267" spans="1:9" x14ac:dyDescent="0.3">
      <c r="A267" s="3">
        <v>262</v>
      </c>
      <c r="B267" s="24">
        <v>45669</v>
      </c>
      <c r="C267" s="7">
        <v>1422100</v>
      </c>
      <c r="D267" s="5">
        <v>1381700</v>
      </c>
      <c r="F267" s="19">
        <v>262</v>
      </c>
      <c r="G267" s="22">
        <v>45669</v>
      </c>
      <c r="H267" s="31">
        <f t="shared" si="9"/>
        <v>1422100</v>
      </c>
      <c r="I267" s="31">
        <f t="shared" si="10"/>
        <v>1381700</v>
      </c>
    </row>
    <row r="268" spans="1:9" x14ac:dyDescent="0.3">
      <c r="A268" s="3">
        <v>263</v>
      </c>
      <c r="B268" s="23">
        <v>45668</v>
      </c>
      <c r="C268" s="6">
        <v>1422100</v>
      </c>
      <c r="D268" s="4">
        <v>1381700</v>
      </c>
      <c r="F268" s="19">
        <v>263</v>
      </c>
      <c r="G268" s="22">
        <v>45668</v>
      </c>
      <c r="H268" s="31">
        <f t="shared" si="9"/>
        <v>1422100</v>
      </c>
      <c r="I268" s="31">
        <f t="shared" si="10"/>
        <v>1381700</v>
      </c>
    </row>
    <row r="269" spans="1:9" x14ac:dyDescent="0.3">
      <c r="A269" s="3">
        <v>264</v>
      </c>
      <c r="B269" s="24">
        <v>45667</v>
      </c>
      <c r="C269" s="7">
        <v>1421900</v>
      </c>
      <c r="D269" s="5">
        <v>1381500</v>
      </c>
      <c r="F269" s="19">
        <v>264</v>
      </c>
      <c r="G269" s="22">
        <v>45667</v>
      </c>
      <c r="H269" s="31">
        <f t="shared" si="9"/>
        <v>1421900</v>
      </c>
      <c r="I269" s="31">
        <f t="shared" si="10"/>
        <v>1381500</v>
      </c>
    </row>
    <row r="270" spans="1:9" x14ac:dyDescent="0.3">
      <c r="A270" s="3">
        <v>265</v>
      </c>
      <c r="B270" s="23">
        <v>45666</v>
      </c>
      <c r="C270" s="6">
        <v>1420100</v>
      </c>
      <c r="D270" s="4">
        <v>1379800</v>
      </c>
      <c r="F270" s="19">
        <v>265</v>
      </c>
      <c r="G270" s="22">
        <v>45666</v>
      </c>
      <c r="H270" s="31">
        <f t="shared" si="9"/>
        <v>1420100</v>
      </c>
      <c r="I270" s="31">
        <f t="shared" si="10"/>
        <v>1379800</v>
      </c>
    </row>
    <row r="271" spans="1:9" x14ac:dyDescent="0.3">
      <c r="A271" s="3">
        <v>266</v>
      </c>
      <c r="B271" s="24">
        <v>45665</v>
      </c>
      <c r="C271" s="7">
        <v>1405200</v>
      </c>
      <c r="D271" s="5">
        <v>1365200</v>
      </c>
      <c r="F271" s="19">
        <v>266</v>
      </c>
      <c r="G271" s="22">
        <v>45665</v>
      </c>
      <c r="H271" s="31">
        <f t="shared" si="9"/>
        <v>1405200</v>
      </c>
      <c r="I271" s="31">
        <f t="shared" si="10"/>
        <v>1365200</v>
      </c>
    </row>
    <row r="272" spans="1:9" x14ac:dyDescent="0.3">
      <c r="A272" s="3">
        <v>267</v>
      </c>
      <c r="B272" s="23">
        <v>45664</v>
      </c>
      <c r="C272" s="6">
        <v>1402900</v>
      </c>
      <c r="D272" s="4">
        <v>1363000</v>
      </c>
      <c r="F272" s="19">
        <v>267</v>
      </c>
      <c r="G272" s="22">
        <v>45664</v>
      </c>
      <c r="H272" s="31">
        <f t="shared" si="9"/>
        <v>1402900</v>
      </c>
      <c r="I272" s="31">
        <f t="shared" si="10"/>
        <v>1363000</v>
      </c>
    </row>
    <row r="273" spans="1:9" x14ac:dyDescent="0.3">
      <c r="A273" s="3">
        <v>268</v>
      </c>
      <c r="B273" s="24">
        <v>45663</v>
      </c>
      <c r="C273" s="7">
        <v>1395100</v>
      </c>
      <c r="D273" s="5">
        <v>1355400</v>
      </c>
      <c r="F273" s="19">
        <v>268</v>
      </c>
      <c r="G273" s="22">
        <v>45663</v>
      </c>
      <c r="H273" s="31">
        <f t="shared" si="9"/>
        <v>1395100</v>
      </c>
      <c r="I273" s="31">
        <f t="shared" si="10"/>
        <v>1355400</v>
      </c>
    </row>
    <row r="274" spans="1:9" x14ac:dyDescent="0.3">
      <c r="A274" s="3">
        <v>269</v>
      </c>
      <c r="B274" s="23">
        <v>45662</v>
      </c>
      <c r="C274" s="6">
        <v>1399000</v>
      </c>
      <c r="D274" s="4">
        <v>1359200</v>
      </c>
      <c r="F274" s="19">
        <v>269</v>
      </c>
      <c r="G274" s="22">
        <v>45662</v>
      </c>
      <c r="H274" s="31">
        <f t="shared" si="9"/>
        <v>1399000</v>
      </c>
      <c r="I274" s="31">
        <f t="shared" si="10"/>
        <v>1359200</v>
      </c>
    </row>
    <row r="275" spans="1:9" x14ac:dyDescent="0.3">
      <c r="A275" s="3">
        <v>270</v>
      </c>
      <c r="B275" s="24">
        <v>45661</v>
      </c>
      <c r="C275" s="7">
        <v>1399000</v>
      </c>
      <c r="D275" s="5">
        <v>1359200</v>
      </c>
      <c r="F275" s="19">
        <v>270</v>
      </c>
      <c r="G275" s="22">
        <v>45661</v>
      </c>
      <c r="H275" s="31">
        <f t="shared" si="9"/>
        <v>1399000</v>
      </c>
      <c r="I275" s="31">
        <f t="shared" si="10"/>
        <v>1359200</v>
      </c>
    </row>
    <row r="276" spans="1:9" x14ac:dyDescent="0.3">
      <c r="A276" s="3">
        <v>271</v>
      </c>
      <c r="B276" s="23">
        <v>45660</v>
      </c>
      <c r="C276" s="6">
        <v>1401300</v>
      </c>
      <c r="D276" s="4">
        <v>1361400</v>
      </c>
      <c r="F276" s="19">
        <v>271</v>
      </c>
      <c r="G276" s="22">
        <v>45660</v>
      </c>
      <c r="H276" s="31">
        <f t="shared" si="9"/>
        <v>1401300</v>
      </c>
      <c r="I276" s="31">
        <f t="shared" si="10"/>
        <v>1361400</v>
      </c>
    </row>
    <row r="277" spans="1:9" x14ac:dyDescent="0.3">
      <c r="A277" s="3">
        <v>272</v>
      </c>
      <c r="B277" s="24">
        <v>45659</v>
      </c>
      <c r="C277" s="7">
        <v>1400900</v>
      </c>
      <c r="D277" s="5">
        <v>1361100</v>
      </c>
      <c r="F277" s="19">
        <v>272</v>
      </c>
      <c r="G277" s="22">
        <v>45659</v>
      </c>
      <c r="H277" s="31">
        <f t="shared" si="9"/>
        <v>1400900</v>
      </c>
      <c r="I277" s="31">
        <f t="shared" si="10"/>
        <v>1361100</v>
      </c>
    </row>
    <row r="278" spans="1:9" x14ac:dyDescent="0.3">
      <c r="A278" s="3">
        <v>273</v>
      </c>
      <c r="B278" s="23">
        <v>45658</v>
      </c>
      <c r="C278" s="6">
        <v>1388200</v>
      </c>
      <c r="D278" s="4">
        <v>1348700</v>
      </c>
      <c r="F278" s="19">
        <v>273</v>
      </c>
      <c r="G278" s="22">
        <v>45658</v>
      </c>
      <c r="H278" s="31">
        <f t="shared" si="9"/>
        <v>1388200</v>
      </c>
      <c r="I278" s="31">
        <f t="shared" si="10"/>
        <v>1348700</v>
      </c>
    </row>
    <row r="279" spans="1:9" x14ac:dyDescent="0.3">
      <c r="A279" s="3">
        <v>274</v>
      </c>
      <c r="B279" s="24">
        <v>45657</v>
      </c>
      <c r="C279" s="7">
        <v>1380300</v>
      </c>
      <c r="D279" s="5">
        <v>1341000</v>
      </c>
      <c r="F279" s="19">
        <v>274</v>
      </c>
      <c r="G279" s="22">
        <v>45657</v>
      </c>
      <c r="H279" s="31">
        <f t="shared" si="9"/>
        <v>1380300</v>
      </c>
      <c r="I279" s="31">
        <f t="shared" si="10"/>
        <v>1341000</v>
      </c>
    </row>
    <row r="280" spans="1:9" x14ac:dyDescent="0.3">
      <c r="A280" s="3">
        <v>275</v>
      </c>
      <c r="B280" s="23">
        <v>45656</v>
      </c>
      <c r="C280" s="6">
        <v>1383400</v>
      </c>
      <c r="D280" s="4">
        <v>1344000</v>
      </c>
      <c r="F280" s="19">
        <v>275</v>
      </c>
      <c r="G280" s="22">
        <v>45656</v>
      </c>
      <c r="H280" s="31">
        <f t="shared" si="9"/>
        <v>1383400</v>
      </c>
      <c r="I280" s="31">
        <f t="shared" si="10"/>
        <v>1344000</v>
      </c>
    </row>
    <row r="281" spans="1:9" x14ac:dyDescent="0.3">
      <c r="A281" s="3">
        <v>276</v>
      </c>
      <c r="B281" s="24">
        <v>45655</v>
      </c>
      <c r="C281" s="7">
        <v>1389200</v>
      </c>
      <c r="D281" s="5">
        <v>1349600</v>
      </c>
      <c r="F281" s="19">
        <v>276</v>
      </c>
      <c r="G281" s="22">
        <v>45655</v>
      </c>
      <c r="H281" s="31">
        <f t="shared" si="9"/>
        <v>1389200</v>
      </c>
      <c r="I281" s="31">
        <f t="shared" si="10"/>
        <v>1349600</v>
      </c>
    </row>
    <row r="282" spans="1:9" x14ac:dyDescent="0.3">
      <c r="A282" s="3">
        <v>277</v>
      </c>
      <c r="B282" s="23">
        <v>45654</v>
      </c>
      <c r="C282" s="6">
        <v>1389200</v>
      </c>
      <c r="D282" s="4">
        <v>1349600</v>
      </c>
      <c r="F282" s="19">
        <v>277</v>
      </c>
      <c r="G282" s="22">
        <v>45654</v>
      </c>
      <c r="H282" s="31">
        <f t="shared" si="9"/>
        <v>1389200</v>
      </c>
      <c r="I282" s="31">
        <f t="shared" si="10"/>
        <v>1349600</v>
      </c>
    </row>
    <row r="283" spans="1:9" x14ac:dyDescent="0.3">
      <c r="A283" s="3">
        <v>278</v>
      </c>
      <c r="B283" s="24">
        <v>45653</v>
      </c>
      <c r="C283" s="7">
        <v>1384900</v>
      </c>
      <c r="D283" s="5">
        <v>1345500</v>
      </c>
      <c r="F283" s="19">
        <v>278</v>
      </c>
      <c r="G283" s="22">
        <v>45653</v>
      </c>
      <c r="H283" s="31">
        <f t="shared" si="9"/>
        <v>1384900</v>
      </c>
      <c r="I283" s="31">
        <f t="shared" si="10"/>
        <v>1345500</v>
      </c>
    </row>
    <row r="284" spans="1:9" x14ac:dyDescent="0.3">
      <c r="A284" s="3">
        <v>279</v>
      </c>
      <c r="B284" s="23">
        <v>45652</v>
      </c>
      <c r="C284" s="6">
        <v>1391300</v>
      </c>
      <c r="D284" s="4">
        <v>1351700</v>
      </c>
      <c r="F284" s="19">
        <v>279</v>
      </c>
      <c r="G284" s="22">
        <v>45652</v>
      </c>
      <c r="H284" s="31">
        <f t="shared" si="9"/>
        <v>1391300</v>
      </c>
      <c r="I284" s="31">
        <f t="shared" si="10"/>
        <v>1351700</v>
      </c>
    </row>
    <row r="285" spans="1:9" x14ac:dyDescent="0.3">
      <c r="A285" s="3">
        <v>280</v>
      </c>
      <c r="B285" s="24">
        <v>45651</v>
      </c>
      <c r="C285" s="7">
        <v>1385000</v>
      </c>
      <c r="D285" s="5">
        <v>1345600</v>
      </c>
      <c r="F285" s="19">
        <v>280</v>
      </c>
      <c r="G285" s="22">
        <v>45651</v>
      </c>
      <c r="H285" s="31">
        <f t="shared" si="9"/>
        <v>1385000</v>
      </c>
      <c r="I285" s="31">
        <f t="shared" si="10"/>
        <v>1345600</v>
      </c>
    </row>
    <row r="286" spans="1:9" x14ac:dyDescent="0.3">
      <c r="A286" s="3">
        <v>281</v>
      </c>
      <c r="B286" s="23">
        <v>45650</v>
      </c>
      <c r="C286" s="6">
        <v>1379800</v>
      </c>
      <c r="D286" s="4">
        <v>1340500</v>
      </c>
      <c r="F286" s="19">
        <v>281</v>
      </c>
      <c r="G286" s="22">
        <v>45650</v>
      </c>
      <c r="H286" s="31">
        <f t="shared" si="9"/>
        <v>1379800</v>
      </c>
      <c r="I286" s="31">
        <f t="shared" si="10"/>
        <v>1340500</v>
      </c>
    </row>
    <row r="287" spans="1:9" x14ac:dyDescent="0.3">
      <c r="A287" s="3">
        <v>282</v>
      </c>
      <c r="B287" s="24">
        <v>45649</v>
      </c>
      <c r="C287" s="7">
        <v>1386900</v>
      </c>
      <c r="D287" s="5">
        <v>1347400</v>
      </c>
      <c r="F287" s="19">
        <v>282</v>
      </c>
      <c r="G287" s="22">
        <v>45649</v>
      </c>
      <c r="H287" s="31">
        <f t="shared" si="9"/>
        <v>1386900</v>
      </c>
      <c r="I287" s="31">
        <f t="shared" si="10"/>
        <v>1347400</v>
      </c>
    </row>
    <row r="288" spans="1:9" x14ac:dyDescent="0.3">
      <c r="A288" s="3">
        <v>283</v>
      </c>
      <c r="B288" s="23">
        <v>45648</v>
      </c>
      <c r="C288" s="6">
        <v>1390800</v>
      </c>
      <c r="D288" s="4">
        <v>1351200</v>
      </c>
      <c r="F288" s="19">
        <v>283</v>
      </c>
      <c r="G288" s="22">
        <v>45648</v>
      </c>
      <c r="H288" s="31">
        <f t="shared" si="9"/>
        <v>1390800</v>
      </c>
      <c r="I288" s="31">
        <f t="shared" si="10"/>
        <v>1351200</v>
      </c>
    </row>
    <row r="289" spans="1:9" x14ac:dyDescent="0.3">
      <c r="A289" s="3">
        <v>284</v>
      </c>
      <c r="B289" s="24">
        <v>45647</v>
      </c>
      <c r="C289" s="7">
        <v>1390800</v>
      </c>
      <c r="D289" s="5">
        <v>1351200</v>
      </c>
      <c r="F289" s="19">
        <v>284</v>
      </c>
      <c r="G289" s="22">
        <v>45647</v>
      </c>
      <c r="H289" s="31">
        <f t="shared" si="9"/>
        <v>1390800</v>
      </c>
      <c r="I289" s="31">
        <f t="shared" si="10"/>
        <v>1351200</v>
      </c>
    </row>
    <row r="290" spans="1:9" x14ac:dyDescent="0.3">
      <c r="A290" s="3">
        <v>285</v>
      </c>
      <c r="B290" s="23">
        <v>45646</v>
      </c>
      <c r="C290" s="6">
        <v>1394600</v>
      </c>
      <c r="D290" s="4">
        <v>1354900</v>
      </c>
      <c r="F290" s="19">
        <v>285</v>
      </c>
      <c r="G290" s="22">
        <v>45646</v>
      </c>
      <c r="H290" s="31">
        <f t="shared" si="9"/>
        <v>1394600</v>
      </c>
      <c r="I290" s="31">
        <f t="shared" si="10"/>
        <v>1354900</v>
      </c>
    </row>
    <row r="291" spans="1:9" x14ac:dyDescent="0.3">
      <c r="A291" s="3">
        <v>286</v>
      </c>
      <c r="B291" s="24">
        <v>45645</v>
      </c>
      <c r="C291" s="7">
        <v>1365400</v>
      </c>
      <c r="D291" s="5">
        <v>1326400</v>
      </c>
      <c r="F291" s="19">
        <v>286</v>
      </c>
      <c r="G291" s="22">
        <v>45645</v>
      </c>
      <c r="H291" s="31">
        <f t="shared" si="9"/>
        <v>1365400</v>
      </c>
      <c r="I291" s="31">
        <f t="shared" si="10"/>
        <v>1326400</v>
      </c>
    </row>
    <row r="292" spans="1:9" x14ac:dyDescent="0.3">
      <c r="A292" s="3">
        <v>287</v>
      </c>
      <c r="B292" s="23">
        <v>45644</v>
      </c>
      <c r="C292" s="6">
        <v>1391000</v>
      </c>
      <c r="D292" s="4">
        <v>1351400</v>
      </c>
      <c r="F292" s="19">
        <v>287</v>
      </c>
      <c r="G292" s="22">
        <v>45644</v>
      </c>
      <c r="H292" s="31">
        <f t="shared" si="9"/>
        <v>1391000</v>
      </c>
      <c r="I292" s="31">
        <f t="shared" si="10"/>
        <v>1351400</v>
      </c>
    </row>
    <row r="293" spans="1:9" x14ac:dyDescent="0.3">
      <c r="A293" s="3">
        <v>288</v>
      </c>
      <c r="B293" s="24">
        <v>45643</v>
      </c>
      <c r="C293" s="7">
        <v>1380100</v>
      </c>
      <c r="D293" s="5">
        <v>1340800</v>
      </c>
      <c r="F293" s="19">
        <v>288</v>
      </c>
      <c r="G293" s="22">
        <v>45643</v>
      </c>
      <c r="H293" s="31">
        <f t="shared" si="9"/>
        <v>1380100</v>
      </c>
      <c r="I293" s="31">
        <f t="shared" si="10"/>
        <v>1340800</v>
      </c>
    </row>
    <row r="294" spans="1:9" x14ac:dyDescent="0.3">
      <c r="A294" s="3">
        <v>289</v>
      </c>
      <c r="B294" s="23">
        <v>45642</v>
      </c>
      <c r="C294" s="6">
        <v>1389900</v>
      </c>
      <c r="D294" s="4">
        <v>1350300</v>
      </c>
      <c r="F294" s="19">
        <v>289</v>
      </c>
      <c r="G294" s="22">
        <v>45642</v>
      </c>
      <c r="H294" s="31">
        <f t="shared" si="9"/>
        <v>1389900</v>
      </c>
      <c r="I294" s="31">
        <f t="shared" si="10"/>
        <v>1350300</v>
      </c>
    </row>
    <row r="295" spans="1:9" x14ac:dyDescent="0.3">
      <c r="A295" s="3">
        <v>290</v>
      </c>
      <c r="B295" s="24">
        <v>45641</v>
      </c>
      <c r="C295" s="7">
        <v>1386500</v>
      </c>
      <c r="D295" s="5">
        <v>1347000</v>
      </c>
      <c r="F295" s="19">
        <v>290</v>
      </c>
      <c r="G295" s="22">
        <v>45641</v>
      </c>
      <c r="H295" s="31">
        <f t="shared" si="9"/>
        <v>1386500</v>
      </c>
      <c r="I295" s="31">
        <f t="shared" si="10"/>
        <v>1347000</v>
      </c>
    </row>
    <row r="296" spans="1:9" x14ac:dyDescent="0.3">
      <c r="A296" s="3">
        <v>291</v>
      </c>
      <c r="B296" s="23">
        <v>45640</v>
      </c>
      <c r="C296" s="6">
        <v>1386500</v>
      </c>
      <c r="D296" s="4">
        <v>1347000</v>
      </c>
      <c r="F296" s="19">
        <v>291</v>
      </c>
      <c r="G296" s="22">
        <v>45640</v>
      </c>
      <c r="H296" s="31">
        <f t="shared" si="9"/>
        <v>1386500</v>
      </c>
      <c r="I296" s="31">
        <f t="shared" si="10"/>
        <v>1347000</v>
      </c>
    </row>
    <row r="297" spans="1:9" x14ac:dyDescent="0.3">
      <c r="A297" s="3">
        <v>292</v>
      </c>
      <c r="B297" s="24">
        <v>45639</v>
      </c>
      <c r="C297" s="7">
        <v>1387400</v>
      </c>
      <c r="D297" s="5">
        <v>1347900</v>
      </c>
      <c r="F297" s="19">
        <v>292</v>
      </c>
      <c r="G297" s="22">
        <v>45639</v>
      </c>
      <c r="H297" s="31">
        <f t="shared" si="9"/>
        <v>1387400</v>
      </c>
      <c r="I297" s="31">
        <f t="shared" si="10"/>
        <v>1347900</v>
      </c>
    </row>
    <row r="298" spans="1:9" x14ac:dyDescent="0.3">
      <c r="A298" s="3">
        <v>293</v>
      </c>
      <c r="B298" s="23">
        <v>45638</v>
      </c>
      <c r="C298" s="6">
        <v>1398500</v>
      </c>
      <c r="D298" s="4">
        <v>1358700</v>
      </c>
      <c r="F298" s="19">
        <v>293</v>
      </c>
      <c r="G298" s="22">
        <v>45638</v>
      </c>
      <c r="H298" s="31">
        <f t="shared" si="9"/>
        <v>1398500</v>
      </c>
      <c r="I298" s="31">
        <f t="shared" si="10"/>
        <v>1358700</v>
      </c>
    </row>
    <row r="299" spans="1:9" x14ac:dyDescent="0.3">
      <c r="A299" s="3">
        <v>294</v>
      </c>
      <c r="B299" s="24">
        <v>45637</v>
      </c>
      <c r="C299" s="7">
        <v>1403200</v>
      </c>
      <c r="D299" s="5">
        <v>1363300</v>
      </c>
      <c r="F299" s="19">
        <v>294</v>
      </c>
      <c r="G299" s="22">
        <v>45637</v>
      </c>
      <c r="H299" s="31">
        <f t="shared" si="9"/>
        <v>1403200</v>
      </c>
      <c r="I299" s="31">
        <f t="shared" si="10"/>
        <v>1363300</v>
      </c>
    </row>
    <row r="300" spans="1:9" x14ac:dyDescent="0.3">
      <c r="A300" s="3">
        <v>295</v>
      </c>
      <c r="B300" s="23">
        <v>45636</v>
      </c>
      <c r="C300" s="6">
        <v>1396100</v>
      </c>
      <c r="D300" s="4">
        <v>1356400</v>
      </c>
      <c r="F300" s="19">
        <v>295</v>
      </c>
      <c r="G300" s="22">
        <v>45636</v>
      </c>
      <c r="H300" s="31">
        <f t="shared" si="9"/>
        <v>1396100</v>
      </c>
      <c r="I300" s="31">
        <f t="shared" si="10"/>
        <v>1356400</v>
      </c>
    </row>
    <row r="301" spans="1:9" x14ac:dyDescent="0.3">
      <c r="A301" s="3">
        <v>296</v>
      </c>
      <c r="B301" s="24">
        <v>45635</v>
      </c>
      <c r="C301" s="7">
        <v>1383200</v>
      </c>
      <c r="D301" s="5">
        <v>1343800</v>
      </c>
      <c r="F301" s="19">
        <v>296</v>
      </c>
      <c r="G301" s="22">
        <v>45635</v>
      </c>
      <c r="H301" s="31">
        <f t="shared" si="9"/>
        <v>1383200</v>
      </c>
      <c r="I301" s="31">
        <f t="shared" si="10"/>
        <v>1343800</v>
      </c>
    </row>
    <row r="302" spans="1:9" x14ac:dyDescent="0.3">
      <c r="A302" s="3">
        <v>297</v>
      </c>
      <c r="B302" s="23">
        <v>45634</v>
      </c>
      <c r="C302" s="6">
        <v>1361600</v>
      </c>
      <c r="D302" s="4">
        <v>1322700</v>
      </c>
      <c r="F302" s="19">
        <v>297</v>
      </c>
      <c r="G302" s="22">
        <v>45634</v>
      </c>
      <c r="H302" s="31">
        <f t="shared" si="9"/>
        <v>1361600</v>
      </c>
      <c r="I302" s="31">
        <f t="shared" si="10"/>
        <v>1322700</v>
      </c>
    </row>
    <row r="303" spans="1:9" x14ac:dyDescent="0.3">
      <c r="A303" s="3">
        <v>298</v>
      </c>
      <c r="B303" s="24">
        <v>45633</v>
      </c>
      <c r="C303" s="7">
        <v>1361600</v>
      </c>
      <c r="D303" s="5">
        <v>1322700</v>
      </c>
      <c r="F303" s="19">
        <v>298</v>
      </c>
      <c r="G303" s="22">
        <v>45633</v>
      </c>
      <c r="H303" s="31">
        <f t="shared" si="9"/>
        <v>1361600</v>
      </c>
      <c r="I303" s="31">
        <f t="shared" si="10"/>
        <v>1322700</v>
      </c>
    </row>
    <row r="304" spans="1:9" x14ac:dyDescent="0.3">
      <c r="A304" s="3">
        <v>299</v>
      </c>
      <c r="B304" s="23">
        <v>45632</v>
      </c>
      <c r="C304" s="6">
        <v>1364600</v>
      </c>
      <c r="D304" s="4">
        <v>1325700</v>
      </c>
      <c r="F304" s="19">
        <v>299</v>
      </c>
      <c r="G304" s="22">
        <v>45632</v>
      </c>
      <c r="H304" s="31">
        <f t="shared" si="9"/>
        <v>1364600</v>
      </c>
      <c r="I304" s="31">
        <f t="shared" si="10"/>
        <v>1325700</v>
      </c>
    </row>
    <row r="305" spans="1:9" x14ac:dyDescent="0.3">
      <c r="A305" s="3">
        <v>300</v>
      </c>
      <c r="B305" s="24">
        <v>45631</v>
      </c>
      <c r="C305" s="7">
        <v>1376300</v>
      </c>
      <c r="D305" s="5">
        <v>1337100</v>
      </c>
      <c r="F305" s="19">
        <v>300</v>
      </c>
      <c r="G305" s="22">
        <v>45631</v>
      </c>
      <c r="H305" s="31">
        <f t="shared" si="9"/>
        <v>1376300</v>
      </c>
      <c r="I305" s="31">
        <f t="shared" si="10"/>
        <v>1337100</v>
      </c>
    </row>
    <row r="306" spans="1:9" x14ac:dyDescent="0.3">
      <c r="A306" s="3">
        <v>301</v>
      </c>
      <c r="B306" s="23">
        <v>45630</v>
      </c>
      <c r="C306" s="6">
        <v>1380000</v>
      </c>
      <c r="D306" s="4">
        <v>1340700</v>
      </c>
      <c r="F306" s="19">
        <v>301</v>
      </c>
      <c r="G306" s="22">
        <v>45630</v>
      </c>
      <c r="H306" s="31">
        <f t="shared" si="9"/>
        <v>1380000</v>
      </c>
      <c r="I306" s="31">
        <f t="shared" si="10"/>
        <v>1340700</v>
      </c>
    </row>
    <row r="307" spans="1:9" x14ac:dyDescent="0.3">
      <c r="A307" s="3">
        <v>302</v>
      </c>
      <c r="B307" s="24">
        <v>45629</v>
      </c>
      <c r="C307" s="7">
        <v>1372500</v>
      </c>
      <c r="D307" s="5">
        <v>1333400</v>
      </c>
      <c r="F307" s="19">
        <v>302</v>
      </c>
      <c r="G307" s="22">
        <v>45629</v>
      </c>
      <c r="H307" s="31">
        <f t="shared" si="9"/>
        <v>1372500</v>
      </c>
      <c r="I307" s="31">
        <f t="shared" si="10"/>
        <v>1333400</v>
      </c>
    </row>
    <row r="308" spans="1:9" x14ac:dyDescent="0.3">
      <c r="A308" s="3">
        <v>303</v>
      </c>
      <c r="B308" s="23">
        <v>45628</v>
      </c>
      <c r="C308" s="6">
        <v>1371600</v>
      </c>
      <c r="D308" s="4">
        <v>1332500</v>
      </c>
      <c r="F308" s="19">
        <v>303</v>
      </c>
      <c r="G308" s="22">
        <v>45628</v>
      </c>
      <c r="H308" s="31">
        <f t="shared" si="9"/>
        <v>1371600</v>
      </c>
      <c r="I308" s="31">
        <f t="shared" si="10"/>
        <v>1332500</v>
      </c>
    </row>
    <row r="309" spans="1:9" x14ac:dyDescent="0.3">
      <c r="A309" s="3">
        <v>304</v>
      </c>
      <c r="B309" s="24">
        <v>45627</v>
      </c>
      <c r="C309" s="7">
        <v>1371500</v>
      </c>
      <c r="D309" s="5">
        <v>1334300</v>
      </c>
      <c r="F309" s="19">
        <v>304</v>
      </c>
      <c r="G309" s="22">
        <v>45627</v>
      </c>
      <c r="H309" s="31">
        <f t="shared" si="9"/>
        <v>1371500</v>
      </c>
      <c r="I309" s="31">
        <f t="shared" si="10"/>
        <v>1334300</v>
      </c>
    </row>
    <row r="310" spans="1:9" x14ac:dyDescent="0.3">
      <c r="A310" s="3">
        <v>305</v>
      </c>
      <c r="B310" s="23">
        <v>45626</v>
      </c>
      <c r="C310" s="6">
        <v>1371500</v>
      </c>
      <c r="D310" s="4">
        <v>1334300</v>
      </c>
      <c r="F310" s="19">
        <v>305</v>
      </c>
      <c r="G310" s="22">
        <v>45626</v>
      </c>
      <c r="H310" s="31">
        <f t="shared" si="9"/>
        <v>1371500</v>
      </c>
      <c r="I310" s="31">
        <f t="shared" si="10"/>
        <v>1334300</v>
      </c>
    </row>
    <row r="311" spans="1:9" x14ac:dyDescent="0.3">
      <c r="A311" s="3">
        <v>306</v>
      </c>
      <c r="B311" s="24">
        <v>45625</v>
      </c>
      <c r="C311" s="7">
        <v>1375400</v>
      </c>
      <c r="D311" s="5">
        <v>1338100</v>
      </c>
      <c r="F311" s="19">
        <v>306</v>
      </c>
      <c r="G311" s="22">
        <v>45625</v>
      </c>
      <c r="H311" s="31">
        <f t="shared" si="9"/>
        <v>1375400</v>
      </c>
      <c r="I311" s="31">
        <f t="shared" si="10"/>
        <v>1338100</v>
      </c>
    </row>
    <row r="312" spans="1:9" x14ac:dyDescent="0.3">
      <c r="A312" s="3">
        <v>307</v>
      </c>
      <c r="B312" s="23">
        <v>45624</v>
      </c>
      <c r="C312" s="6">
        <v>1367600</v>
      </c>
      <c r="D312" s="4">
        <v>1330500</v>
      </c>
      <c r="F312" s="19">
        <v>307</v>
      </c>
      <c r="G312" s="22">
        <v>45624</v>
      </c>
      <c r="H312" s="31">
        <f t="shared" si="9"/>
        <v>1367600</v>
      </c>
      <c r="I312" s="31">
        <f t="shared" si="10"/>
        <v>1330500</v>
      </c>
    </row>
    <row r="313" spans="1:9" x14ac:dyDescent="0.3">
      <c r="A313" s="3">
        <v>308</v>
      </c>
      <c r="B313" s="24">
        <v>45623</v>
      </c>
      <c r="C313" s="7">
        <v>1373600</v>
      </c>
      <c r="D313" s="5">
        <v>1336400</v>
      </c>
      <c r="F313" s="19">
        <v>308</v>
      </c>
      <c r="G313" s="22">
        <v>45623</v>
      </c>
      <c r="H313" s="31">
        <f t="shared" si="9"/>
        <v>1373600</v>
      </c>
      <c r="I313" s="31">
        <f t="shared" si="10"/>
        <v>1336400</v>
      </c>
    </row>
    <row r="314" spans="1:9" x14ac:dyDescent="0.3">
      <c r="A314" s="3">
        <v>309</v>
      </c>
      <c r="B314" s="23">
        <v>45622</v>
      </c>
      <c r="C314" s="6">
        <v>1357300</v>
      </c>
      <c r="D314" s="4">
        <v>1320500</v>
      </c>
      <c r="F314" s="19">
        <v>309</v>
      </c>
      <c r="G314" s="22">
        <v>45622</v>
      </c>
      <c r="H314" s="31">
        <f t="shared" si="9"/>
        <v>1357300</v>
      </c>
      <c r="I314" s="31">
        <f t="shared" si="10"/>
        <v>1320500</v>
      </c>
    </row>
    <row r="315" spans="1:9" x14ac:dyDescent="0.3">
      <c r="A315" s="3">
        <v>310</v>
      </c>
      <c r="B315" s="24">
        <v>45621</v>
      </c>
      <c r="C315" s="7">
        <v>1370300</v>
      </c>
      <c r="D315" s="5">
        <v>1333200</v>
      </c>
      <c r="F315" s="19">
        <v>310</v>
      </c>
      <c r="G315" s="22">
        <v>45621</v>
      </c>
      <c r="H315" s="31">
        <f t="shared" si="9"/>
        <v>1370300</v>
      </c>
      <c r="I315" s="31">
        <f t="shared" si="10"/>
        <v>1333200</v>
      </c>
    </row>
    <row r="316" spans="1:9" x14ac:dyDescent="0.3">
      <c r="A316" s="3">
        <v>311</v>
      </c>
      <c r="B316" s="23">
        <v>45620</v>
      </c>
      <c r="C316" s="6">
        <v>1409800</v>
      </c>
      <c r="D316" s="4">
        <v>1371700</v>
      </c>
      <c r="F316" s="19">
        <v>311</v>
      </c>
      <c r="G316" s="22">
        <v>45620</v>
      </c>
      <c r="H316" s="31">
        <f t="shared" si="9"/>
        <v>1409800</v>
      </c>
      <c r="I316" s="31">
        <f t="shared" si="10"/>
        <v>1371700</v>
      </c>
    </row>
    <row r="317" spans="1:9" x14ac:dyDescent="0.3">
      <c r="A317" s="3">
        <v>312</v>
      </c>
      <c r="B317" s="24">
        <v>45619</v>
      </c>
      <c r="C317" s="7">
        <v>1409800</v>
      </c>
      <c r="D317" s="5">
        <v>1371700</v>
      </c>
      <c r="F317" s="19">
        <v>312</v>
      </c>
      <c r="G317" s="22">
        <v>45619</v>
      </c>
      <c r="H317" s="31">
        <f t="shared" si="9"/>
        <v>1409800</v>
      </c>
      <c r="I317" s="31">
        <f t="shared" si="10"/>
        <v>1371700</v>
      </c>
    </row>
    <row r="318" spans="1:9" x14ac:dyDescent="0.3">
      <c r="A318" s="3">
        <v>313</v>
      </c>
      <c r="B318" s="23">
        <v>45618</v>
      </c>
      <c r="C318" s="6">
        <v>1398200</v>
      </c>
      <c r="D318" s="4">
        <v>1360400</v>
      </c>
      <c r="F318" s="19">
        <v>313</v>
      </c>
      <c r="G318" s="22">
        <v>45618</v>
      </c>
      <c r="H318" s="31">
        <f t="shared" si="9"/>
        <v>1398200</v>
      </c>
      <c r="I318" s="31">
        <f t="shared" si="10"/>
        <v>1360400</v>
      </c>
    </row>
    <row r="319" spans="1:9" x14ac:dyDescent="0.3">
      <c r="A319" s="3">
        <v>314</v>
      </c>
      <c r="B319" s="24">
        <v>45617</v>
      </c>
      <c r="C319" s="7">
        <v>1382400</v>
      </c>
      <c r="D319" s="5">
        <v>1345000</v>
      </c>
      <c r="F319" s="19">
        <v>314</v>
      </c>
      <c r="G319" s="22">
        <v>45617</v>
      </c>
      <c r="H319" s="31">
        <f t="shared" si="9"/>
        <v>1382400</v>
      </c>
      <c r="I319" s="31">
        <f t="shared" si="10"/>
        <v>1345000</v>
      </c>
    </row>
    <row r="320" spans="1:9" x14ac:dyDescent="0.3">
      <c r="A320" s="3">
        <v>315</v>
      </c>
      <c r="B320" s="23">
        <v>45616</v>
      </c>
      <c r="C320" s="6">
        <v>1365900</v>
      </c>
      <c r="D320" s="4">
        <v>1328900</v>
      </c>
      <c r="F320" s="19">
        <v>315</v>
      </c>
      <c r="G320" s="22">
        <v>45616</v>
      </c>
      <c r="H320" s="31">
        <f t="shared" si="9"/>
        <v>1365900</v>
      </c>
      <c r="I320" s="31">
        <f t="shared" si="10"/>
        <v>1328900</v>
      </c>
    </row>
    <row r="321" spans="1:9" x14ac:dyDescent="0.3">
      <c r="A321" s="3">
        <v>316</v>
      </c>
      <c r="B321" s="24">
        <v>45615</v>
      </c>
      <c r="C321" s="7">
        <v>1358900</v>
      </c>
      <c r="D321" s="5">
        <v>1322100</v>
      </c>
      <c r="F321" s="19">
        <v>316</v>
      </c>
      <c r="G321" s="22">
        <v>45615</v>
      </c>
      <c r="H321" s="31">
        <f t="shared" si="9"/>
        <v>1358900</v>
      </c>
      <c r="I321" s="31">
        <f t="shared" si="10"/>
        <v>1322100</v>
      </c>
    </row>
    <row r="322" spans="1:9" x14ac:dyDescent="0.3">
      <c r="A322" s="3">
        <v>317</v>
      </c>
      <c r="B322" s="23">
        <v>45614</v>
      </c>
      <c r="C322" s="6">
        <v>1351300</v>
      </c>
      <c r="D322" s="4">
        <v>1314600</v>
      </c>
      <c r="F322" s="19">
        <v>317</v>
      </c>
      <c r="G322" s="22">
        <v>45614</v>
      </c>
      <c r="H322" s="31">
        <f t="shared" si="9"/>
        <v>1351300</v>
      </c>
      <c r="I322" s="31">
        <f t="shared" si="10"/>
        <v>1314600</v>
      </c>
    </row>
    <row r="323" spans="1:9" x14ac:dyDescent="0.3">
      <c r="A323" s="3">
        <v>318</v>
      </c>
      <c r="B323" s="24">
        <v>45613</v>
      </c>
      <c r="C323" s="7">
        <v>1328300</v>
      </c>
      <c r="D323" s="5">
        <v>1292200</v>
      </c>
      <c r="F323" s="19">
        <v>318</v>
      </c>
      <c r="G323" s="22">
        <v>45613</v>
      </c>
      <c r="H323" s="31">
        <f t="shared" si="9"/>
        <v>1328300</v>
      </c>
      <c r="I323" s="31">
        <f t="shared" si="10"/>
        <v>1292200</v>
      </c>
    </row>
    <row r="324" spans="1:9" x14ac:dyDescent="0.3">
      <c r="A324" s="3">
        <v>319</v>
      </c>
      <c r="B324" s="23">
        <v>45612</v>
      </c>
      <c r="C324" s="6">
        <v>1328300</v>
      </c>
      <c r="D324" s="4">
        <v>1292200</v>
      </c>
      <c r="F324" s="19">
        <v>319</v>
      </c>
      <c r="G324" s="22">
        <v>45612</v>
      </c>
      <c r="H324" s="31">
        <f t="shared" si="9"/>
        <v>1328300</v>
      </c>
      <c r="I324" s="31">
        <f t="shared" si="10"/>
        <v>1292200</v>
      </c>
    </row>
    <row r="325" spans="1:9" x14ac:dyDescent="0.3">
      <c r="A325" s="3">
        <v>320</v>
      </c>
      <c r="B325" s="24">
        <v>45611</v>
      </c>
      <c r="C325" s="7">
        <v>1339900</v>
      </c>
      <c r="D325" s="5">
        <v>1303500</v>
      </c>
      <c r="F325" s="19">
        <v>320</v>
      </c>
      <c r="G325" s="22">
        <v>45611</v>
      </c>
      <c r="H325" s="31">
        <f t="shared" si="9"/>
        <v>1339900</v>
      </c>
      <c r="I325" s="31">
        <f t="shared" si="10"/>
        <v>1303500</v>
      </c>
    </row>
    <row r="326" spans="1:9" x14ac:dyDescent="0.3">
      <c r="A326" s="3">
        <v>321</v>
      </c>
      <c r="B326" s="23">
        <v>45610</v>
      </c>
      <c r="C326" s="6">
        <v>1313700</v>
      </c>
      <c r="D326" s="4">
        <v>1278000</v>
      </c>
      <c r="F326" s="19">
        <v>321</v>
      </c>
      <c r="G326" s="22">
        <v>45610</v>
      </c>
      <c r="H326" s="31">
        <f t="shared" ref="H326:H389" si="11">_xlfn.XLOOKUP(G326,$B$6:$B$994,$C$6:$C$994,,-1)</f>
        <v>1313700</v>
      </c>
      <c r="I326" s="31">
        <f t="shared" ref="I326:I389" si="12">_xlfn.XLOOKUP(G326,$B$6:$B$994,$D$6:$D$994,,-1)</f>
        <v>1278000</v>
      </c>
    </row>
    <row r="327" spans="1:9" x14ac:dyDescent="0.3">
      <c r="A327" s="3">
        <v>322</v>
      </c>
      <c r="B327" s="24">
        <v>45609</v>
      </c>
      <c r="C327" s="7">
        <v>1341900</v>
      </c>
      <c r="D327" s="5">
        <v>1305500</v>
      </c>
      <c r="F327" s="19">
        <v>322</v>
      </c>
      <c r="G327" s="22">
        <v>45609</v>
      </c>
      <c r="H327" s="31">
        <f t="shared" si="11"/>
        <v>1341900</v>
      </c>
      <c r="I327" s="31">
        <f t="shared" si="12"/>
        <v>1305500</v>
      </c>
    </row>
    <row r="328" spans="1:9" x14ac:dyDescent="0.3">
      <c r="A328" s="3">
        <v>323</v>
      </c>
      <c r="B328" s="23">
        <v>45608</v>
      </c>
      <c r="C328" s="6">
        <v>1340000</v>
      </c>
      <c r="D328" s="4">
        <v>1303600</v>
      </c>
      <c r="F328" s="19">
        <v>323</v>
      </c>
      <c r="G328" s="22">
        <v>45608</v>
      </c>
      <c r="H328" s="31">
        <f t="shared" si="11"/>
        <v>1340000</v>
      </c>
      <c r="I328" s="31">
        <f t="shared" si="12"/>
        <v>1303600</v>
      </c>
    </row>
    <row r="329" spans="1:9" x14ac:dyDescent="0.3">
      <c r="A329" s="3">
        <v>324</v>
      </c>
      <c r="B329" s="24">
        <v>45607</v>
      </c>
      <c r="C329" s="7">
        <v>1334900</v>
      </c>
      <c r="D329" s="5">
        <v>1298700</v>
      </c>
      <c r="F329" s="19">
        <v>324</v>
      </c>
      <c r="G329" s="22">
        <v>45607</v>
      </c>
      <c r="H329" s="31">
        <f t="shared" si="11"/>
        <v>1334900</v>
      </c>
      <c r="I329" s="31">
        <f t="shared" si="12"/>
        <v>1298700</v>
      </c>
    </row>
    <row r="330" spans="1:9" x14ac:dyDescent="0.3">
      <c r="A330" s="3">
        <v>325</v>
      </c>
      <c r="B330" s="23">
        <v>45606</v>
      </c>
      <c r="C330" s="6">
        <v>1366600</v>
      </c>
      <c r="D330" s="4">
        <v>1329600</v>
      </c>
      <c r="F330" s="19">
        <v>325</v>
      </c>
      <c r="G330" s="22">
        <v>45606</v>
      </c>
      <c r="H330" s="31">
        <f t="shared" si="11"/>
        <v>1366600</v>
      </c>
      <c r="I330" s="31">
        <f t="shared" si="12"/>
        <v>1329600</v>
      </c>
    </row>
    <row r="331" spans="1:9" x14ac:dyDescent="0.3">
      <c r="A331" s="3">
        <v>326</v>
      </c>
      <c r="B331" s="24">
        <v>45605</v>
      </c>
      <c r="C331" s="7">
        <v>1366600</v>
      </c>
      <c r="D331" s="5">
        <v>1329600</v>
      </c>
      <c r="F331" s="19">
        <v>326</v>
      </c>
      <c r="G331" s="22">
        <v>45605</v>
      </c>
      <c r="H331" s="31">
        <f t="shared" si="11"/>
        <v>1366600</v>
      </c>
      <c r="I331" s="31">
        <f t="shared" si="12"/>
        <v>1329600</v>
      </c>
    </row>
    <row r="332" spans="1:9" x14ac:dyDescent="0.3">
      <c r="A332" s="3">
        <v>327</v>
      </c>
      <c r="B332" s="23">
        <v>45604</v>
      </c>
      <c r="C332" s="6">
        <v>1376300</v>
      </c>
      <c r="D332" s="4">
        <v>1339000</v>
      </c>
      <c r="F332" s="19">
        <v>327</v>
      </c>
      <c r="G332" s="22">
        <v>45604</v>
      </c>
      <c r="H332" s="31">
        <f t="shared" si="11"/>
        <v>1376300</v>
      </c>
      <c r="I332" s="31">
        <f t="shared" si="12"/>
        <v>1339000</v>
      </c>
    </row>
    <row r="333" spans="1:9" x14ac:dyDescent="0.3">
      <c r="A333" s="3">
        <v>328</v>
      </c>
      <c r="B333" s="24">
        <v>45603</v>
      </c>
      <c r="C333" s="7">
        <v>1394500</v>
      </c>
      <c r="D333" s="5">
        <v>1356800</v>
      </c>
      <c r="F333" s="19">
        <v>328</v>
      </c>
      <c r="G333" s="22">
        <v>45603</v>
      </c>
      <c r="H333" s="31">
        <f t="shared" si="11"/>
        <v>1394500</v>
      </c>
      <c r="I333" s="31">
        <f t="shared" si="12"/>
        <v>1356800</v>
      </c>
    </row>
    <row r="334" spans="1:9" x14ac:dyDescent="0.3">
      <c r="A334" s="3">
        <v>329</v>
      </c>
      <c r="B334" s="23">
        <v>45602</v>
      </c>
      <c r="C334" s="6">
        <v>1367800</v>
      </c>
      <c r="D334" s="4">
        <v>1330700</v>
      </c>
      <c r="F334" s="19">
        <v>329</v>
      </c>
      <c r="G334" s="22">
        <v>45602</v>
      </c>
      <c r="H334" s="31">
        <f t="shared" si="11"/>
        <v>1367800</v>
      </c>
      <c r="I334" s="31">
        <f t="shared" si="12"/>
        <v>1330700</v>
      </c>
    </row>
    <row r="335" spans="1:9" x14ac:dyDescent="0.3">
      <c r="A335" s="3">
        <v>330</v>
      </c>
      <c r="B335" s="24">
        <v>45601</v>
      </c>
      <c r="C335" s="7">
        <v>1412400</v>
      </c>
      <c r="D335" s="5">
        <v>1374200</v>
      </c>
      <c r="F335" s="19">
        <v>330</v>
      </c>
      <c r="G335" s="22">
        <v>45601</v>
      </c>
      <c r="H335" s="31">
        <f t="shared" si="11"/>
        <v>1412400</v>
      </c>
      <c r="I335" s="31">
        <f t="shared" si="12"/>
        <v>1374200</v>
      </c>
    </row>
    <row r="336" spans="1:9" x14ac:dyDescent="0.3">
      <c r="A336" s="3">
        <v>331</v>
      </c>
      <c r="B336" s="23">
        <v>45600</v>
      </c>
      <c r="C336" s="6">
        <v>1410300</v>
      </c>
      <c r="D336" s="4">
        <v>1372200</v>
      </c>
      <c r="F336" s="19">
        <v>331</v>
      </c>
      <c r="G336" s="22">
        <v>45600</v>
      </c>
      <c r="H336" s="31">
        <f t="shared" si="11"/>
        <v>1410300</v>
      </c>
      <c r="I336" s="31">
        <f t="shared" si="12"/>
        <v>1372200</v>
      </c>
    </row>
    <row r="337" spans="1:9" x14ac:dyDescent="0.3">
      <c r="A337" s="3">
        <v>332</v>
      </c>
      <c r="B337" s="24">
        <v>45599</v>
      </c>
      <c r="C337" s="7">
        <v>1405400</v>
      </c>
      <c r="D337" s="5">
        <v>1367400</v>
      </c>
      <c r="F337" s="19">
        <v>332</v>
      </c>
      <c r="G337" s="22">
        <v>45599</v>
      </c>
      <c r="H337" s="31">
        <f t="shared" si="11"/>
        <v>1405400</v>
      </c>
      <c r="I337" s="31">
        <f t="shared" si="12"/>
        <v>1367400</v>
      </c>
    </row>
    <row r="338" spans="1:9" x14ac:dyDescent="0.3">
      <c r="A338" s="3">
        <v>333</v>
      </c>
      <c r="B338" s="23">
        <v>45598</v>
      </c>
      <c r="C338" s="6">
        <v>1403700</v>
      </c>
      <c r="D338" s="4">
        <v>1365700</v>
      </c>
      <c r="F338" s="19">
        <v>333</v>
      </c>
      <c r="G338" s="22">
        <v>45598</v>
      </c>
      <c r="H338" s="31">
        <f t="shared" si="11"/>
        <v>1403700</v>
      </c>
      <c r="I338" s="31">
        <f t="shared" si="12"/>
        <v>1365700</v>
      </c>
    </row>
    <row r="339" spans="1:9" x14ac:dyDescent="0.3">
      <c r="A339" s="3">
        <v>334</v>
      </c>
      <c r="B339" s="24">
        <v>45597</v>
      </c>
      <c r="C339" s="7">
        <v>1408200</v>
      </c>
      <c r="D339" s="5">
        <v>1370100</v>
      </c>
      <c r="F339" s="19">
        <v>334</v>
      </c>
      <c r="G339" s="22">
        <v>45597</v>
      </c>
      <c r="H339" s="31">
        <f t="shared" si="11"/>
        <v>1408200</v>
      </c>
      <c r="I339" s="31">
        <f t="shared" si="12"/>
        <v>1370100</v>
      </c>
    </row>
    <row r="340" spans="1:9" x14ac:dyDescent="0.3">
      <c r="A340" s="3">
        <v>335</v>
      </c>
      <c r="B340" s="23">
        <v>45596</v>
      </c>
      <c r="C340" s="6">
        <v>1401200</v>
      </c>
      <c r="D340" s="4">
        <v>1363300</v>
      </c>
      <c r="F340" s="19">
        <v>335</v>
      </c>
      <c r="G340" s="22">
        <v>45596</v>
      </c>
      <c r="H340" s="31">
        <f t="shared" si="11"/>
        <v>1401200</v>
      </c>
      <c r="I340" s="31">
        <f t="shared" si="12"/>
        <v>1363300</v>
      </c>
    </row>
    <row r="341" spans="1:9" x14ac:dyDescent="0.3">
      <c r="A341" s="3">
        <v>336</v>
      </c>
      <c r="B341" s="24">
        <v>45595</v>
      </c>
      <c r="C341" s="7">
        <v>1431100</v>
      </c>
      <c r="D341" s="5">
        <v>1392400</v>
      </c>
      <c r="F341" s="19">
        <v>336</v>
      </c>
      <c r="G341" s="22">
        <v>45595</v>
      </c>
      <c r="H341" s="31">
        <f t="shared" si="11"/>
        <v>1431100</v>
      </c>
      <c r="I341" s="31">
        <f t="shared" si="12"/>
        <v>1392400</v>
      </c>
    </row>
    <row r="342" spans="1:9" x14ac:dyDescent="0.3">
      <c r="A342" s="3">
        <v>337</v>
      </c>
      <c r="B342" s="23">
        <v>45594</v>
      </c>
      <c r="C342" s="6">
        <v>1421000</v>
      </c>
      <c r="D342" s="4">
        <v>1382600</v>
      </c>
      <c r="F342" s="19">
        <v>337</v>
      </c>
      <c r="G342" s="22">
        <v>45594</v>
      </c>
      <c r="H342" s="31">
        <f t="shared" si="11"/>
        <v>1421000</v>
      </c>
      <c r="I342" s="31">
        <f t="shared" si="12"/>
        <v>1382600</v>
      </c>
    </row>
    <row r="343" spans="1:9" x14ac:dyDescent="0.3">
      <c r="A343" s="3">
        <v>338</v>
      </c>
      <c r="B343" s="24">
        <v>45593</v>
      </c>
      <c r="C343" s="7">
        <v>1402000</v>
      </c>
      <c r="D343" s="5">
        <v>1367000</v>
      </c>
      <c r="F343" s="19">
        <v>338</v>
      </c>
      <c r="G343" s="22">
        <v>45593</v>
      </c>
      <c r="H343" s="31">
        <f t="shared" si="11"/>
        <v>1402000</v>
      </c>
      <c r="I343" s="31">
        <f t="shared" si="12"/>
        <v>1367000</v>
      </c>
    </row>
    <row r="344" spans="1:9" x14ac:dyDescent="0.3">
      <c r="A344" s="3">
        <v>339</v>
      </c>
      <c r="B344" s="23">
        <v>45592</v>
      </c>
      <c r="C344" s="6">
        <v>1403500</v>
      </c>
      <c r="D344" s="4">
        <v>1368413</v>
      </c>
      <c r="F344" s="19">
        <v>339</v>
      </c>
      <c r="G344" s="22">
        <v>45592</v>
      </c>
      <c r="H344" s="31">
        <f t="shared" si="11"/>
        <v>1403500</v>
      </c>
      <c r="I344" s="31">
        <f t="shared" si="12"/>
        <v>1368413</v>
      </c>
    </row>
    <row r="345" spans="1:9" x14ac:dyDescent="0.3">
      <c r="A345" s="3">
        <v>340</v>
      </c>
      <c r="B345" s="24">
        <v>45591</v>
      </c>
      <c r="C345" s="7">
        <v>1403500</v>
      </c>
      <c r="D345" s="5">
        <v>1368413</v>
      </c>
      <c r="F345" s="19">
        <v>340</v>
      </c>
      <c r="G345" s="22">
        <v>45591</v>
      </c>
      <c r="H345" s="31">
        <f t="shared" si="11"/>
        <v>1403500</v>
      </c>
      <c r="I345" s="31">
        <f t="shared" si="12"/>
        <v>1368413</v>
      </c>
    </row>
    <row r="346" spans="1:9" x14ac:dyDescent="0.3">
      <c r="A346" s="3">
        <v>341</v>
      </c>
      <c r="B346" s="23">
        <v>45590</v>
      </c>
      <c r="C346" s="6">
        <v>1389200</v>
      </c>
      <c r="D346" s="4">
        <v>1354470</v>
      </c>
      <c r="F346" s="19">
        <v>341</v>
      </c>
      <c r="G346" s="22">
        <v>45590</v>
      </c>
      <c r="H346" s="31">
        <f t="shared" si="11"/>
        <v>1389200</v>
      </c>
      <c r="I346" s="31">
        <f t="shared" si="12"/>
        <v>1354470</v>
      </c>
    </row>
    <row r="347" spans="1:9" x14ac:dyDescent="0.3">
      <c r="A347" s="3">
        <v>342</v>
      </c>
      <c r="B347" s="24">
        <v>45589</v>
      </c>
      <c r="C347" s="7">
        <v>1393900</v>
      </c>
      <c r="D347" s="5">
        <v>1359053</v>
      </c>
      <c r="F347" s="19">
        <v>342</v>
      </c>
      <c r="G347" s="22">
        <v>45589</v>
      </c>
      <c r="H347" s="31">
        <f t="shared" si="11"/>
        <v>1393900</v>
      </c>
      <c r="I347" s="31">
        <f t="shared" si="12"/>
        <v>1359053</v>
      </c>
    </row>
    <row r="348" spans="1:9" x14ac:dyDescent="0.3">
      <c r="A348" s="3">
        <v>343</v>
      </c>
      <c r="B348" s="23">
        <v>45588</v>
      </c>
      <c r="C348" s="6">
        <v>1378977</v>
      </c>
      <c r="D348" s="4">
        <v>1351398</v>
      </c>
      <c r="F348" s="19">
        <v>343</v>
      </c>
      <c r="G348" s="22">
        <v>45588</v>
      </c>
      <c r="H348" s="31">
        <f t="shared" si="11"/>
        <v>1378977</v>
      </c>
      <c r="I348" s="31">
        <f t="shared" si="12"/>
        <v>1351398</v>
      </c>
    </row>
    <row r="349" spans="1:9" x14ac:dyDescent="0.3">
      <c r="A349" s="3">
        <v>344</v>
      </c>
      <c r="B349" s="24">
        <v>45587</v>
      </c>
      <c r="C349" s="7">
        <v>1383990</v>
      </c>
      <c r="D349" s="5">
        <v>1356311</v>
      </c>
      <c r="F349" s="19">
        <v>344</v>
      </c>
      <c r="G349" s="22">
        <v>45587</v>
      </c>
      <c r="H349" s="31">
        <f t="shared" si="11"/>
        <v>1383990</v>
      </c>
      <c r="I349" s="31">
        <f t="shared" si="12"/>
        <v>1356311</v>
      </c>
    </row>
    <row r="350" spans="1:9" x14ac:dyDescent="0.3">
      <c r="A350" s="3">
        <v>345</v>
      </c>
      <c r="B350" s="23">
        <v>45586</v>
      </c>
      <c r="C350" s="6">
        <v>1357913</v>
      </c>
      <c r="D350" s="4">
        <v>1330755</v>
      </c>
      <c r="F350" s="19">
        <v>345</v>
      </c>
      <c r="G350" s="22">
        <v>45586</v>
      </c>
      <c r="H350" s="31">
        <f t="shared" si="11"/>
        <v>1357913</v>
      </c>
      <c r="I350" s="31">
        <f t="shared" si="12"/>
        <v>1330755</v>
      </c>
    </row>
    <row r="351" spans="1:9" x14ac:dyDescent="0.3">
      <c r="A351" s="3">
        <v>346</v>
      </c>
      <c r="B351" s="24">
        <v>45585</v>
      </c>
      <c r="C351" s="7">
        <v>1355481</v>
      </c>
      <c r="D351" s="5">
        <v>1328372</v>
      </c>
      <c r="F351" s="19">
        <v>346</v>
      </c>
      <c r="G351" s="22">
        <v>45585</v>
      </c>
      <c r="H351" s="31">
        <f t="shared" si="11"/>
        <v>1355481</v>
      </c>
      <c r="I351" s="31">
        <f t="shared" si="12"/>
        <v>1328372</v>
      </c>
    </row>
    <row r="352" spans="1:9" x14ac:dyDescent="0.3">
      <c r="A352" s="3">
        <v>347</v>
      </c>
      <c r="B352" s="23">
        <v>45584</v>
      </c>
      <c r="C352" s="6">
        <v>1355481</v>
      </c>
      <c r="D352" s="4">
        <v>1328372</v>
      </c>
      <c r="F352" s="19">
        <v>347</v>
      </c>
      <c r="G352" s="22">
        <v>45584</v>
      </c>
      <c r="H352" s="31">
        <f t="shared" si="11"/>
        <v>1355481</v>
      </c>
      <c r="I352" s="31">
        <f t="shared" si="12"/>
        <v>1328372</v>
      </c>
    </row>
    <row r="353" spans="1:9" x14ac:dyDescent="0.3">
      <c r="A353" s="3">
        <v>348</v>
      </c>
      <c r="B353" s="24">
        <v>45583</v>
      </c>
      <c r="C353" s="7">
        <v>1354866</v>
      </c>
      <c r="D353" s="5">
        <v>1327769</v>
      </c>
      <c r="F353" s="19">
        <v>348</v>
      </c>
      <c r="G353" s="22">
        <v>45583</v>
      </c>
      <c r="H353" s="31">
        <f t="shared" si="11"/>
        <v>1354866</v>
      </c>
      <c r="I353" s="31">
        <f t="shared" si="12"/>
        <v>1327769</v>
      </c>
    </row>
    <row r="354" spans="1:9" x14ac:dyDescent="0.3">
      <c r="A354" s="3">
        <v>349</v>
      </c>
      <c r="B354" s="23">
        <v>45582</v>
      </c>
      <c r="C354" s="6">
        <v>1345620</v>
      </c>
      <c r="D354" s="4">
        <v>1318708</v>
      </c>
      <c r="F354" s="19">
        <v>349</v>
      </c>
      <c r="G354" s="22">
        <v>45582</v>
      </c>
      <c r="H354" s="31">
        <f t="shared" si="11"/>
        <v>1345620</v>
      </c>
      <c r="I354" s="31">
        <f t="shared" si="12"/>
        <v>1318708</v>
      </c>
    </row>
    <row r="355" spans="1:9" x14ac:dyDescent="0.3">
      <c r="A355" s="3">
        <v>350</v>
      </c>
      <c r="B355" s="24">
        <v>45581</v>
      </c>
      <c r="C355" s="7">
        <v>1333904</v>
      </c>
      <c r="D355" s="5">
        <v>1307226</v>
      </c>
      <c r="F355" s="19">
        <v>350</v>
      </c>
      <c r="G355" s="22">
        <v>45581</v>
      </c>
      <c r="H355" s="31">
        <f t="shared" si="11"/>
        <v>1333904</v>
      </c>
      <c r="I355" s="31">
        <f t="shared" si="12"/>
        <v>1307226</v>
      </c>
    </row>
    <row r="356" spans="1:9" x14ac:dyDescent="0.3">
      <c r="A356" s="3">
        <v>351</v>
      </c>
      <c r="B356" s="23">
        <v>45580</v>
      </c>
      <c r="C356" s="6">
        <v>1335347</v>
      </c>
      <c r="D356" s="4">
        <v>1308641</v>
      </c>
      <c r="F356" s="19">
        <v>351</v>
      </c>
      <c r="G356" s="22">
        <v>45580</v>
      </c>
      <c r="H356" s="31">
        <f t="shared" si="11"/>
        <v>1335347</v>
      </c>
      <c r="I356" s="31">
        <f t="shared" si="12"/>
        <v>1308641</v>
      </c>
    </row>
    <row r="357" spans="1:9" x14ac:dyDescent="0.3">
      <c r="A357" s="3">
        <v>352</v>
      </c>
      <c r="B357" s="24">
        <v>45579</v>
      </c>
      <c r="C357" s="7">
        <v>1325659</v>
      </c>
      <c r="D357" s="5">
        <v>1299146</v>
      </c>
      <c r="F357" s="19">
        <v>352</v>
      </c>
      <c r="G357" s="22">
        <v>45579</v>
      </c>
      <c r="H357" s="31">
        <f t="shared" si="11"/>
        <v>1325659</v>
      </c>
      <c r="I357" s="31">
        <f t="shared" si="12"/>
        <v>1299146</v>
      </c>
    </row>
    <row r="358" spans="1:9" x14ac:dyDescent="0.3">
      <c r="A358" s="3">
        <v>353</v>
      </c>
      <c r="B358" s="23">
        <v>45578</v>
      </c>
      <c r="C358" s="6">
        <v>1330974</v>
      </c>
      <c r="D358" s="4">
        <v>1304355</v>
      </c>
      <c r="F358" s="19">
        <v>353</v>
      </c>
      <c r="G358" s="22">
        <v>45578</v>
      </c>
      <c r="H358" s="31">
        <f t="shared" si="11"/>
        <v>1330974</v>
      </c>
      <c r="I358" s="31">
        <f t="shared" si="12"/>
        <v>1304355</v>
      </c>
    </row>
    <row r="359" spans="1:9" x14ac:dyDescent="0.3">
      <c r="A359" s="3">
        <v>354</v>
      </c>
      <c r="B359" s="24">
        <v>45577</v>
      </c>
      <c r="C359" s="7">
        <v>1330974</v>
      </c>
      <c r="D359" s="5">
        <v>1304355</v>
      </c>
      <c r="F359" s="19">
        <v>354</v>
      </c>
      <c r="G359" s="22">
        <v>45577</v>
      </c>
      <c r="H359" s="31">
        <f t="shared" si="11"/>
        <v>1330974</v>
      </c>
      <c r="I359" s="31">
        <f t="shared" si="12"/>
        <v>1304355</v>
      </c>
    </row>
    <row r="360" spans="1:9" x14ac:dyDescent="0.3">
      <c r="A360" s="3">
        <v>355</v>
      </c>
      <c r="B360" s="23">
        <v>45576</v>
      </c>
      <c r="C360" s="6">
        <v>1339240</v>
      </c>
      <c r="D360" s="4">
        <v>1312456</v>
      </c>
      <c r="F360" s="19">
        <v>355</v>
      </c>
      <c r="G360" s="22">
        <v>45576</v>
      </c>
      <c r="H360" s="31">
        <f t="shared" si="11"/>
        <v>1339240</v>
      </c>
      <c r="I360" s="31">
        <f t="shared" si="12"/>
        <v>1312456</v>
      </c>
    </row>
    <row r="361" spans="1:9" x14ac:dyDescent="0.3">
      <c r="A361" s="3">
        <v>356</v>
      </c>
      <c r="B361" s="24">
        <v>45575</v>
      </c>
      <c r="C361" s="7">
        <v>1319102</v>
      </c>
      <c r="D361" s="5">
        <v>1292720</v>
      </c>
      <c r="F361" s="19">
        <v>356</v>
      </c>
      <c r="G361" s="22">
        <v>45575</v>
      </c>
      <c r="H361" s="31">
        <f t="shared" si="11"/>
        <v>1319102</v>
      </c>
      <c r="I361" s="31">
        <f t="shared" si="12"/>
        <v>1292720</v>
      </c>
    </row>
    <row r="362" spans="1:9" x14ac:dyDescent="0.3">
      <c r="A362" s="3">
        <v>357</v>
      </c>
      <c r="B362" s="23">
        <v>45574</v>
      </c>
      <c r="C362" s="6">
        <v>1313233</v>
      </c>
      <c r="D362" s="4">
        <v>1286969</v>
      </c>
      <c r="F362" s="19">
        <v>357</v>
      </c>
      <c r="G362" s="22">
        <v>45574</v>
      </c>
      <c r="H362" s="31">
        <f t="shared" si="11"/>
        <v>1313233</v>
      </c>
      <c r="I362" s="31">
        <f t="shared" si="12"/>
        <v>1286969</v>
      </c>
    </row>
    <row r="363" spans="1:9" x14ac:dyDescent="0.3">
      <c r="A363" s="3">
        <v>358</v>
      </c>
      <c r="B363" s="24">
        <v>45573</v>
      </c>
      <c r="C363" s="7">
        <v>1325457</v>
      </c>
      <c r="D363" s="5">
        <v>1298948</v>
      </c>
      <c r="F363" s="19">
        <v>358</v>
      </c>
      <c r="G363" s="22">
        <v>45573</v>
      </c>
      <c r="H363" s="31">
        <f t="shared" si="11"/>
        <v>1325457</v>
      </c>
      <c r="I363" s="31">
        <f t="shared" si="12"/>
        <v>1298948</v>
      </c>
    </row>
    <row r="364" spans="1:9" x14ac:dyDescent="0.3">
      <c r="A364" s="3">
        <v>359</v>
      </c>
      <c r="B364" s="23">
        <v>45572</v>
      </c>
      <c r="C364" s="6">
        <v>1346000</v>
      </c>
      <c r="D364" s="4">
        <v>1323000</v>
      </c>
      <c r="F364" s="19">
        <v>359</v>
      </c>
      <c r="G364" s="22">
        <v>45572</v>
      </c>
      <c r="H364" s="31">
        <f t="shared" si="11"/>
        <v>1346000</v>
      </c>
      <c r="I364" s="31">
        <f t="shared" si="12"/>
        <v>1323000</v>
      </c>
    </row>
    <row r="365" spans="1:9" x14ac:dyDescent="0.3">
      <c r="A365" s="3">
        <v>360</v>
      </c>
      <c r="B365" s="24">
        <v>45570</v>
      </c>
      <c r="C365" s="7">
        <v>1337000</v>
      </c>
      <c r="D365" s="5">
        <v>1321000</v>
      </c>
      <c r="F365" s="19">
        <v>360</v>
      </c>
      <c r="G365" s="22">
        <v>45571</v>
      </c>
      <c r="H365" s="31">
        <f t="shared" si="11"/>
        <v>1337000</v>
      </c>
      <c r="I365" s="31">
        <f t="shared" si="12"/>
        <v>1321000</v>
      </c>
    </row>
    <row r="366" spans="1:9" x14ac:dyDescent="0.3">
      <c r="A366" s="3">
        <v>361</v>
      </c>
      <c r="B366" s="23">
        <v>45569</v>
      </c>
      <c r="C366" s="6">
        <v>1351000</v>
      </c>
      <c r="D366" s="4">
        <v>1316000</v>
      </c>
      <c r="F366" s="19">
        <v>361</v>
      </c>
      <c r="G366" s="22">
        <v>45570</v>
      </c>
      <c r="H366" s="31">
        <f t="shared" si="11"/>
        <v>1337000</v>
      </c>
      <c r="I366" s="31">
        <f t="shared" si="12"/>
        <v>1321000</v>
      </c>
    </row>
    <row r="367" spans="1:9" x14ac:dyDescent="0.3">
      <c r="A367" s="3">
        <v>362</v>
      </c>
      <c r="B367" s="24">
        <v>45568</v>
      </c>
      <c r="C367" s="7">
        <v>1351000</v>
      </c>
      <c r="D367" s="5">
        <v>1316000</v>
      </c>
      <c r="F367" s="19">
        <v>362</v>
      </c>
      <c r="G367" s="22">
        <v>45569</v>
      </c>
      <c r="H367" s="31">
        <f t="shared" si="11"/>
        <v>1351000</v>
      </c>
      <c r="I367" s="31">
        <f t="shared" si="12"/>
        <v>1316000</v>
      </c>
    </row>
    <row r="368" spans="1:9" x14ac:dyDescent="0.3">
      <c r="A368" s="3">
        <v>363</v>
      </c>
      <c r="B368" s="23">
        <v>45567</v>
      </c>
      <c r="C368" s="6">
        <v>1365000</v>
      </c>
      <c r="D368" s="4">
        <v>1330000</v>
      </c>
      <c r="F368" s="19">
        <v>363</v>
      </c>
      <c r="G368" s="22">
        <v>45568</v>
      </c>
      <c r="H368" s="31">
        <f t="shared" si="11"/>
        <v>1351000</v>
      </c>
      <c r="I368" s="31">
        <f t="shared" si="12"/>
        <v>1316000</v>
      </c>
    </row>
    <row r="369" spans="1:9" x14ac:dyDescent="0.3">
      <c r="A369" s="3">
        <v>364</v>
      </c>
      <c r="B369" s="24">
        <v>45566</v>
      </c>
      <c r="C369" s="7">
        <v>1354000</v>
      </c>
      <c r="D369" s="5">
        <v>1323000</v>
      </c>
      <c r="F369" s="19">
        <v>364</v>
      </c>
      <c r="G369" s="22">
        <v>45567</v>
      </c>
      <c r="H369" s="31">
        <f t="shared" si="11"/>
        <v>1365000</v>
      </c>
      <c r="I369" s="31">
        <f t="shared" si="12"/>
        <v>1330000</v>
      </c>
    </row>
    <row r="370" spans="1:9" x14ac:dyDescent="0.3">
      <c r="A370" s="3">
        <v>365</v>
      </c>
      <c r="B370" s="23">
        <v>45565</v>
      </c>
      <c r="C370" s="6">
        <v>1366000</v>
      </c>
      <c r="D370" s="4">
        <v>1335000</v>
      </c>
      <c r="F370" s="19">
        <v>365</v>
      </c>
      <c r="G370" s="22">
        <v>45566</v>
      </c>
      <c r="H370" s="31">
        <f t="shared" si="11"/>
        <v>1354000</v>
      </c>
      <c r="I370" s="31">
        <f t="shared" si="12"/>
        <v>1323000</v>
      </c>
    </row>
    <row r="371" spans="1:9" x14ac:dyDescent="0.3">
      <c r="A371" s="3">
        <v>366</v>
      </c>
      <c r="B371" s="24">
        <v>45564</v>
      </c>
      <c r="C371" s="7">
        <v>1363000</v>
      </c>
      <c r="D371" s="5">
        <v>1332000</v>
      </c>
      <c r="F371" s="19">
        <v>366</v>
      </c>
      <c r="G371" s="22">
        <v>45565</v>
      </c>
      <c r="H371" s="31">
        <f t="shared" si="11"/>
        <v>1366000</v>
      </c>
      <c r="I371" s="31">
        <f t="shared" si="12"/>
        <v>1335000</v>
      </c>
    </row>
    <row r="372" spans="1:9" x14ac:dyDescent="0.3">
      <c r="A372" s="3">
        <v>367</v>
      </c>
      <c r="B372" s="23">
        <v>45563</v>
      </c>
      <c r="C372" s="6">
        <v>1363000</v>
      </c>
      <c r="D372" s="4">
        <v>1332000</v>
      </c>
      <c r="F372" s="19">
        <v>367</v>
      </c>
      <c r="G372" s="22">
        <v>45564</v>
      </c>
      <c r="H372" s="31">
        <f t="shared" si="11"/>
        <v>1363000</v>
      </c>
      <c r="I372" s="31">
        <f t="shared" si="12"/>
        <v>1332000</v>
      </c>
    </row>
    <row r="373" spans="1:9" x14ac:dyDescent="0.3">
      <c r="A373" s="3">
        <v>368</v>
      </c>
      <c r="B373" s="24">
        <v>45562</v>
      </c>
      <c r="C373" s="7">
        <v>1363000</v>
      </c>
      <c r="D373" s="5">
        <v>1332000</v>
      </c>
      <c r="F373" s="19">
        <v>368</v>
      </c>
      <c r="G373" s="22">
        <v>45563</v>
      </c>
      <c r="H373" s="31">
        <f t="shared" si="11"/>
        <v>1363000</v>
      </c>
      <c r="I373" s="31">
        <f t="shared" si="12"/>
        <v>1332000</v>
      </c>
    </row>
    <row r="374" spans="1:9" x14ac:dyDescent="0.3">
      <c r="A374" s="3">
        <v>369</v>
      </c>
      <c r="B374" s="23">
        <v>45561</v>
      </c>
      <c r="C374" s="6">
        <v>1363000</v>
      </c>
      <c r="D374" s="4">
        <v>1332000</v>
      </c>
      <c r="F374" s="19">
        <v>369</v>
      </c>
      <c r="G374" s="22">
        <v>45562</v>
      </c>
      <c r="H374" s="31">
        <f t="shared" si="11"/>
        <v>1363000</v>
      </c>
      <c r="I374" s="31">
        <f t="shared" si="12"/>
        <v>1332000</v>
      </c>
    </row>
    <row r="375" spans="1:9" x14ac:dyDescent="0.3">
      <c r="A375" s="3">
        <v>370</v>
      </c>
      <c r="B375" s="24">
        <v>45560</v>
      </c>
      <c r="C375" s="7">
        <v>1365000</v>
      </c>
      <c r="D375" s="5">
        <v>1334000</v>
      </c>
      <c r="F375" s="19">
        <v>370</v>
      </c>
      <c r="G375" s="22">
        <v>45561</v>
      </c>
      <c r="H375" s="31">
        <f t="shared" si="11"/>
        <v>1363000</v>
      </c>
      <c r="I375" s="31">
        <f t="shared" si="12"/>
        <v>1332000</v>
      </c>
    </row>
    <row r="376" spans="1:9" x14ac:dyDescent="0.3">
      <c r="A376" s="3">
        <v>371</v>
      </c>
      <c r="B376" s="23">
        <v>45559</v>
      </c>
      <c r="C376" s="6">
        <v>1345000</v>
      </c>
      <c r="D376" s="4">
        <v>1314000</v>
      </c>
      <c r="F376" s="19">
        <v>371</v>
      </c>
      <c r="G376" s="22">
        <v>45560</v>
      </c>
      <c r="H376" s="31">
        <f t="shared" si="11"/>
        <v>1365000</v>
      </c>
      <c r="I376" s="31">
        <f t="shared" si="12"/>
        <v>1334000</v>
      </c>
    </row>
    <row r="377" spans="1:9" x14ac:dyDescent="0.3">
      <c r="A377" s="3">
        <v>372</v>
      </c>
      <c r="B377" s="24">
        <v>45558</v>
      </c>
      <c r="C377" s="7">
        <v>1357000</v>
      </c>
      <c r="D377" s="5">
        <v>1326000</v>
      </c>
      <c r="F377" s="19">
        <v>372</v>
      </c>
      <c r="G377" s="22">
        <v>45559</v>
      </c>
      <c r="H377" s="31">
        <f t="shared" si="11"/>
        <v>1345000</v>
      </c>
      <c r="I377" s="31">
        <f t="shared" si="12"/>
        <v>1314000</v>
      </c>
    </row>
    <row r="378" spans="1:9" x14ac:dyDescent="0.3">
      <c r="A378" s="3">
        <v>373</v>
      </c>
      <c r="B378" s="23">
        <v>45557</v>
      </c>
      <c r="C378" s="6">
        <v>1357000</v>
      </c>
      <c r="D378" s="4">
        <v>1326000</v>
      </c>
      <c r="F378" s="19">
        <v>373</v>
      </c>
      <c r="G378" s="22">
        <v>45558</v>
      </c>
      <c r="H378" s="31">
        <f t="shared" si="11"/>
        <v>1357000</v>
      </c>
      <c r="I378" s="31">
        <f t="shared" si="12"/>
        <v>1326000</v>
      </c>
    </row>
    <row r="379" spans="1:9" x14ac:dyDescent="0.3">
      <c r="A379" s="3">
        <v>374</v>
      </c>
      <c r="B379" s="24">
        <v>45556</v>
      </c>
      <c r="C379" s="7">
        <v>1357000</v>
      </c>
      <c r="D379" s="5">
        <v>1326000</v>
      </c>
      <c r="F379" s="19">
        <v>374</v>
      </c>
      <c r="G379" s="22">
        <v>45557</v>
      </c>
      <c r="H379" s="31">
        <f t="shared" si="11"/>
        <v>1357000</v>
      </c>
      <c r="I379" s="31">
        <f t="shared" si="12"/>
        <v>1326000</v>
      </c>
    </row>
    <row r="380" spans="1:9" x14ac:dyDescent="0.3">
      <c r="A380" s="3">
        <v>375</v>
      </c>
      <c r="B380" s="23">
        <v>45555</v>
      </c>
      <c r="C380" s="6">
        <v>1345000</v>
      </c>
      <c r="D380" s="4">
        <v>1314000</v>
      </c>
      <c r="F380" s="19">
        <v>375</v>
      </c>
      <c r="G380" s="22">
        <v>45556</v>
      </c>
      <c r="H380" s="31">
        <f t="shared" si="11"/>
        <v>1357000</v>
      </c>
      <c r="I380" s="31">
        <f t="shared" si="12"/>
        <v>1326000</v>
      </c>
    </row>
    <row r="381" spans="1:9" x14ac:dyDescent="0.3">
      <c r="A381" s="3">
        <v>376</v>
      </c>
      <c r="B381" s="24">
        <v>45554</v>
      </c>
      <c r="C381" s="7">
        <v>1332000</v>
      </c>
      <c r="D381" s="5">
        <v>1301000</v>
      </c>
      <c r="F381" s="19">
        <v>376</v>
      </c>
      <c r="G381" s="22">
        <v>45555</v>
      </c>
      <c r="H381" s="31">
        <f t="shared" si="11"/>
        <v>1345000</v>
      </c>
      <c r="I381" s="31">
        <f t="shared" si="12"/>
        <v>1314000</v>
      </c>
    </row>
    <row r="382" spans="1:9" x14ac:dyDescent="0.3">
      <c r="A382" s="3">
        <v>377</v>
      </c>
      <c r="B382" s="23">
        <v>45553</v>
      </c>
      <c r="C382" s="6">
        <v>1342000</v>
      </c>
      <c r="D382" s="4">
        <v>1313000</v>
      </c>
      <c r="F382" s="19">
        <v>377</v>
      </c>
      <c r="G382" s="22">
        <v>45554</v>
      </c>
      <c r="H382" s="31">
        <f t="shared" si="11"/>
        <v>1332000</v>
      </c>
      <c r="I382" s="31">
        <f t="shared" si="12"/>
        <v>1301000</v>
      </c>
    </row>
    <row r="383" spans="1:9" x14ac:dyDescent="0.3">
      <c r="A383" s="3">
        <v>378</v>
      </c>
      <c r="B383" s="24">
        <v>45552</v>
      </c>
      <c r="C383" s="7">
        <v>1346000</v>
      </c>
      <c r="D383" s="5">
        <v>1317000</v>
      </c>
      <c r="F383" s="19">
        <v>378</v>
      </c>
      <c r="G383" s="22">
        <v>45553</v>
      </c>
      <c r="H383" s="31">
        <f t="shared" si="11"/>
        <v>1342000</v>
      </c>
      <c r="I383" s="31">
        <f t="shared" si="12"/>
        <v>1313000</v>
      </c>
    </row>
    <row r="384" spans="1:9" x14ac:dyDescent="0.3">
      <c r="A384" s="3">
        <v>379</v>
      </c>
      <c r="B384" s="23">
        <v>45551</v>
      </c>
      <c r="C384" s="6">
        <v>1345000</v>
      </c>
      <c r="D384" s="4">
        <v>1316000</v>
      </c>
      <c r="F384" s="19">
        <v>379</v>
      </c>
      <c r="G384" s="22">
        <v>45552</v>
      </c>
      <c r="H384" s="31">
        <f t="shared" si="11"/>
        <v>1346000</v>
      </c>
      <c r="I384" s="31">
        <f t="shared" si="12"/>
        <v>1317000</v>
      </c>
    </row>
    <row r="385" spans="1:9" x14ac:dyDescent="0.3">
      <c r="A385" s="3">
        <v>380</v>
      </c>
      <c r="B385" s="24">
        <v>45549</v>
      </c>
      <c r="C385" s="7">
        <v>1341000</v>
      </c>
      <c r="D385" s="5">
        <v>1312000</v>
      </c>
      <c r="F385" s="19">
        <v>380</v>
      </c>
      <c r="G385" s="22">
        <v>45551</v>
      </c>
      <c r="H385" s="31">
        <f t="shared" si="11"/>
        <v>1345000</v>
      </c>
      <c r="I385" s="31">
        <f t="shared" si="12"/>
        <v>1316000</v>
      </c>
    </row>
    <row r="386" spans="1:9" x14ac:dyDescent="0.3">
      <c r="A386" s="3">
        <v>381</v>
      </c>
      <c r="B386" s="23">
        <v>45548</v>
      </c>
      <c r="C386" s="6">
        <v>1331000</v>
      </c>
      <c r="D386" s="4">
        <v>1302000</v>
      </c>
      <c r="F386" s="19">
        <v>381</v>
      </c>
      <c r="G386" s="22">
        <v>45550</v>
      </c>
      <c r="H386" s="31">
        <f t="shared" si="11"/>
        <v>1341000</v>
      </c>
      <c r="I386" s="31">
        <f t="shared" si="12"/>
        <v>1312000</v>
      </c>
    </row>
    <row r="387" spans="1:9" x14ac:dyDescent="0.3">
      <c r="A387" s="3">
        <v>382</v>
      </c>
      <c r="B387" s="24">
        <v>45547</v>
      </c>
      <c r="C387" s="7">
        <v>1311000</v>
      </c>
      <c r="D387" s="5">
        <v>1282000</v>
      </c>
      <c r="F387" s="19">
        <v>382</v>
      </c>
      <c r="G387" s="22">
        <v>45549</v>
      </c>
      <c r="H387" s="31">
        <f t="shared" si="11"/>
        <v>1341000</v>
      </c>
      <c r="I387" s="31">
        <f t="shared" si="12"/>
        <v>1312000</v>
      </c>
    </row>
    <row r="388" spans="1:9" x14ac:dyDescent="0.3">
      <c r="A388" s="3">
        <v>383</v>
      </c>
      <c r="B388" s="23">
        <v>45546</v>
      </c>
      <c r="C388" s="6">
        <v>1313000</v>
      </c>
      <c r="D388" s="4">
        <v>1284000</v>
      </c>
      <c r="F388" s="19">
        <v>383</v>
      </c>
      <c r="G388" s="22">
        <v>45548</v>
      </c>
      <c r="H388" s="31">
        <f t="shared" si="11"/>
        <v>1331000</v>
      </c>
      <c r="I388" s="31">
        <f t="shared" si="12"/>
        <v>1302000</v>
      </c>
    </row>
    <row r="389" spans="1:9" x14ac:dyDescent="0.3">
      <c r="A389" s="3">
        <v>384</v>
      </c>
      <c r="B389" s="24">
        <v>45545</v>
      </c>
      <c r="C389" s="7">
        <v>1301000</v>
      </c>
      <c r="D389" s="5">
        <v>1272000</v>
      </c>
      <c r="F389" s="19">
        <v>384</v>
      </c>
      <c r="G389" s="22">
        <v>45547</v>
      </c>
      <c r="H389" s="31">
        <f t="shared" si="11"/>
        <v>1311000</v>
      </c>
      <c r="I389" s="31">
        <f t="shared" si="12"/>
        <v>1282000</v>
      </c>
    </row>
    <row r="390" spans="1:9" x14ac:dyDescent="0.3">
      <c r="A390" s="3">
        <v>385</v>
      </c>
      <c r="B390" s="23">
        <v>45544</v>
      </c>
      <c r="C390" s="6">
        <v>1300000</v>
      </c>
      <c r="D390" s="4">
        <v>1271000</v>
      </c>
      <c r="F390" s="19">
        <v>385</v>
      </c>
      <c r="G390" s="22">
        <v>45546</v>
      </c>
      <c r="H390" s="31">
        <f t="shared" ref="H390:H453" si="13">_xlfn.XLOOKUP(G390,$B$6:$B$994,$C$6:$C$994,,-1)</f>
        <v>1313000</v>
      </c>
      <c r="I390" s="31">
        <f t="shared" ref="I390:I453" si="14">_xlfn.XLOOKUP(G390,$B$6:$B$994,$D$6:$D$994,,-1)</f>
        <v>1284000</v>
      </c>
    </row>
    <row r="391" spans="1:9" x14ac:dyDescent="0.3">
      <c r="A391" s="3">
        <v>386</v>
      </c>
      <c r="B391" s="24">
        <v>45543</v>
      </c>
      <c r="C391" s="7">
        <v>1307000</v>
      </c>
      <c r="D391" s="5">
        <v>1278000</v>
      </c>
      <c r="F391" s="19">
        <v>386</v>
      </c>
      <c r="G391" s="22">
        <v>45545</v>
      </c>
      <c r="H391" s="31">
        <f t="shared" si="13"/>
        <v>1301000</v>
      </c>
      <c r="I391" s="31">
        <f t="shared" si="14"/>
        <v>1272000</v>
      </c>
    </row>
    <row r="392" spans="1:9" x14ac:dyDescent="0.3">
      <c r="A392" s="3">
        <v>387</v>
      </c>
      <c r="B392" s="23">
        <v>45542</v>
      </c>
      <c r="C392" s="6">
        <v>1307000</v>
      </c>
      <c r="D392" s="4">
        <v>1278000</v>
      </c>
      <c r="F392" s="19">
        <v>387</v>
      </c>
      <c r="G392" s="22">
        <v>45544</v>
      </c>
      <c r="H392" s="31">
        <f t="shared" si="13"/>
        <v>1300000</v>
      </c>
      <c r="I392" s="31">
        <f t="shared" si="14"/>
        <v>1271000</v>
      </c>
    </row>
    <row r="393" spans="1:9" x14ac:dyDescent="0.3">
      <c r="A393" s="3">
        <v>388</v>
      </c>
      <c r="B393" s="24">
        <v>45541</v>
      </c>
      <c r="C393" s="7">
        <v>1316000</v>
      </c>
      <c r="D393" s="5">
        <v>1287000</v>
      </c>
      <c r="F393" s="19">
        <v>388</v>
      </c>
      <c r="G393" s="22">
        <v>45543</v>
      </c>
      <c r="H393" s="31">
        <f t="shared" si="13"/>
        <v>1307000</v>
      </c>
      <c r="I393" s="31">
        <f t="shared" si="14"/>
        <v>1278000</v>
      </c>
    </row>
    <row r="394" spans="1:9" x14ac:dyDescent="0.3">
      <c r="A394" s="3">
        <v>389</v>
      </c>
      <c r="B394" s="23">
        <v>45540</v>
      </c>
      <c r="C394" s="6">
        <v>1311000</v>
      </c>
      <c r="D394" s="4">
        <v>1282000</v>
      </c>
      <c r="F394" s="19">
        <v>389</v>
      </c>
      <c r="G394" s="22">
        <v>45542</v>
      </c>
      <c r="H394" s="31">
        <f t="shared" si="13"/>
        <v>1307000</v>
      </c>
      <c r="I394" s="31">
        <f t="shared" si="14"/>
        <v>1278000</v>
      </c>
    </row>
    <row r="395" spans="1:9" x14ac:dyDescent="0.3">
      <c r="A395" s="3">
        <v>390</v>
      </c>
      <c r="B395" s="24">
        <v>45539</v>
      </c>
      <c r="C395" s="7">
        <v>1308000</v>
      </c>
      <c r="D395" s="5">
        <v>1279000</v>
      </c>
      <c r="F395" s="19">
        <v>390</v>
      </c>
      <c r="G395" s="22">
        <v>45541</v>
      </c>
      <c r="H395" s="31">
        <f t="shared" si="13"/>
        <v>1316000</v>
      </c>
      <c r="I395" s="31">
        <f t="shared" si="14"/>
        <v>1287000</v>
      </c>
    </row>
    <row r="396" spans="1:9" x14ac:dyDescent="0.3">
      <c r="A396" s="3">
        <v>391</v>
      </c>
      <c r="B396" s="23">
        <v>45538</v>
      </c>
      <c r="C396" s="6">
        <v>1306000</v>
      </c>
      <c r="D396" s="4">
        <v>1277000</v>
      </c>
      <c r="F396" s="19">
        <v>391</v>
      </c>
      <c r="G396" s="22">
        <v>45540</v>
      </c>
      <c r="H396" s="31">
        <f t="shared" si="13"/>
        <v>1311000</v>
      </c>
      <c r="I396" s="31">
        <f t="shared" si="14"/>
        <v>1282000</v>
      </c>
    </row>
    <row r="397" spans="1:9" x14ac:dyDescent="0.3">
      <c r="A397" s="3">
        <v>392</v>
      </c>
      <c r="B397" s="24">
        <v>45537</v>
      </c>
      <c r="C397" s="7">
        <v>1303000</v>
      </c>
      <c r="D397" s="5">
        <v>1274000</v>
      </c>
      <c r="F397" s="19">
        <v>392</v>
      </c>
      <c r="G397" s="22">
        <v>45539</v>
      </c>
      <c r="H397" s="31">
        <f t="shared" si="13"/>
        <v>1308000</v>
      </c>
      <c r="I397" s="31">
        <f t="shared" si="14"/>
        <v>1279000</v>
      </c>
    </row>
    <row r="398" spans="1:9" x14ac:dyDescent="0.3">
      <c r="A398" s="3">
        <v>393</v>
      </c>
      <c r="B398" s="23">
        <v>45536</v>
      </c>
      <c r="C398" s="6">
        <v>1303000</v>
      </c>
      <c r="D398" s="4">
        <v>1274000</v>
      </c>
      <c r="F398" s="19">
        <v>393</v>
      </c>
      <c r="G398" s="22">
        <v>45538</v>
      </c>
      <c r="H398" s="31">
        <f t="shared" si="13"/>
        <v>1306000</v>
      </c>
      <c r="I398" s="31">
        <f t="shared" si="14"/>
        <v>1277000</v>
      </c>
    </row>
    <row r="399" spans="1:9" x14ac:dyDescent="0.3">
      <c r="A399" s="3">
        <v>394</v>
      </c>
      <c r="B399" s="23">
        <v>45535</v>
      </c>
      <c r="C399" s="7">
        <v>1303000</v>
      </c>
      <c r="D399" s="5">
        <v>1274000</v>
      </c>
      <c r="F399" s="19">
        <v>394</v>
      </c>
      <c r="G399" s="22">
        <v>45537</v>
      </c>
      <c r="H399" s="31">
        <f t="shared" si="13"/>
        <v>1303000</v>
      </c>
      <c r="I399" s="31">
        <f t="shared" si="14"/>
        <v>1274000</v>
      </c>
    </row>
    <row r="400" spans="1:9" x14ac:dyDescent="0.3">
      <c r="A400" s="3">
        <v>395</v>
      </c>
      <c r="B400" s="24">
        <v>45534</v>
      </c>
      <c r="C400" s="6">
        <v>1315000</v>
      </c>
      <c r="D400" s="4">
        <v>1286000</v>
      </c>
      <c r="F400" s="19">
        <v>395</v>
      </c>
      <c r="G400" s="22">
        <v>45536</v>
      </c>
      <c r="H400" s="31">
        <f t="shared" si="13"/>
        <v>1303000</v>
      </c>
      <c r="I400" s="31">
        <f t="shared" si="14"/>
        <v>1274000</v>
      </c>
    </row>
    <row r="401" spans="1:9" x14ac:dyDescent="0.3">
      <c r="A401" s="3">
        <v>396</v>
      </c>
      <c r="B401" s="23">
        <v>45533</v>
      </c>
      <c r="C401" s="7">
        <v>1314000</v>
      </c>
      <c r="D401" s="5">
        <v>1285000</v>
      </c>
      <c r="F401" s="19">
        <v>396</v>
      </c>
      <c r="G401" s="22">
        <v>45535</v>
      </c>
      <c r="H401" s="31">
        <f t="shared" si="13"/>
        <v>1303000</v>
      </c>
      <c r="I401" s="31">
        <f t="shared" si="14"/>
        <v>1274000</v>
      </c>
    </row>
    <row r="402" spans="1:9" x14ac:dyDescent="0.3">
      <c r="A402" s="3">
        <v>397</v>
      </c>
      <c r="B402" s="23">
        <v>45532</v>
      </c>
      <c r="C402" s="6">
        <v>1312000</v>
      </c>
      <c r="D402" s="4">
        <v>1283000</v>
      </c>
      <c r="F402" s="19">
        <v>397</v>
      </c>
      <c r="G402" s="22">
        <v>45534</v>
      </c>
      <c r="H402" s="31">
        <f t="shared" si="13"/>
        <v>1315000</v>
      </c>
      <c r="I402" s="31">
        <f t="shared" si="14"/>
        <v>1286000</v>
      </c>
    </row>
    <row r="403" spans="1:9" x14ac:dyDescent="0.3">
      <c r="A403" s="3">
        <v>398</v>
      </c>
      <c r="B403" s="24">
        <v>45531</v>
      </c>
      <c r="C403" s="7">
        <v>1322000</v>
      </c>
      <c r="D403" s="5">
        <v>1293000</v>
      </c>
      <c r="F403" s="19">
        <v>398</v>
      </c>
      <c r="G403" s="22">
        <v>45533</v>
      </c>
      <c r="H403" s="31">
        <f t="shared" si="13"/>
        <v>1314000</v>
      </c>
      <c r="I403" s="31">
        <f t="shared" si="14"/>
        <v>1285000</v>
      </c>
    </row>
    <row r="404" spans="1:9" x14ac:dyDescent="0.3">
      <c r="A404" s="3">
        <v>399</v>
      </c>
      <c r="B404" s="23">
        <v>45530</v>
      </c>
      <c r="C404" s="6">
        <v>1322000</v>
      </c>
      <c r="D404" s="4">
        <v>1293000</v>
      </c>
      <c r="F404" s="19">
        <v>399</v>
      </c>
      <c r="G404" s="22">
        <v>45532</v>
      </c>
      <c r="H404" s="31">
        <f t="shared" si="13"/>
        <v>1312000</v>
      </c>
      <c r="I404" s="31">
        <f t="shared" si="14"/>
        <v>1283000</v>
      </c>
    </row>
    <row r="405" spans="1:9" x14ac:dyDescent="0.3">
      <c r="A405" s="3">
        <v>400</v>
      </c>
      <c r="B405" s="23">
        <v>45529</v>
      </c>
      <c r="C405" s="7">
        <v>1322000</v>
      </c>
      <c r="D405" s="5">
        <v>1293000</v>
      </c>
      <c r="F405" s="19">
        <v>400</v>
      </c>
      <c r="G405" s="22">
        <v>45531</v>
      </c>
      <c r="H405" s="31">
        <f t="shared" si="13"/>
        <v>1322000</v>
      </c>
      <c r="I405" s="31">
        <f t="shared" si="14"/>
        <v>1293000</v>
      </c>
    </row>
    <row r="406" spans="1:9" x14ac:dyDescent="0.3">
      <c r="A406" s="3">
        <v>401</v>
      </c>
      <c r="B406" s="24">
        <v>45528</v>
      </c>
      <c r="C406" s="6">
        <v>1322000</v>
      </c>
      <c r="D406" s="4">
        <v>1293000</v>
      </c>
      <c r="F406" s="19">
        <v>401</v>
      </c>
      <c r="G406" s="22">
        <v>45530</v>
      </c>
      <c r="H406" s="31">
        <f t="shared" si="13"/>
        <v>1322000</v>
      </c>
      <c r="I406" s="31">
        <f t="shared" si="14"/>
        <v>1293000</v>
      </c>
    </row>
    <row r="407" spans="1:9" x14ac:dyDescent="0.3">
      <c r="A407" s="3">
        <v>402</v>
      </c>
      <c r="B407" s="23">
        <v>45527</v>
      </c>
      <c r="C407" s="7">
        <v>1313000</v>
      </c>
      <c r="D407" s="5">
        <v>1284000</v>
      </c>
      <c r="F407" s="19">
        <v>402</v>
      </c>
      <c r="G407" s="22">
        <v>45529</v>
      </c>
      <c r="H407" s="31">
        <f t="shared" si="13"/>
        <v>1322000</v>
      </c>
      <c r="I407" s="31">
        <f t="shared" si="14"/>
        <v>1293000</v>
      </c>
    </row>
    <row r="408" spans="1:9" x14ac:dyDescent="0.3">
      <c r="A408" s="3">
        <v>403</v>
      </c>
      <c r="B408" s="23">
        <v>45526</v>
      </c>
      <c r="C408" s="6">
        <v>1312000</v>
      </c>
      <c r="D408" s="4">
        <v>1283000</v>
      </c>
      <c r="F408" s="19">
        <v>403</v>
      </c>
      <c r="G408" s="22">
        <v>45528</v>
      </c>
      <c r="H408" s="31">
        <f t="shared" si="13"/>
        <v>1322000</v>
      </c>
      <c r="I408" s="31">
        <f t="shared" si="14"/>
        <v>1293000</v>
      </c>
    </row>
    <row r="409" spans="1:9" x14ac:dyDescent="0.3">
      <c r="A409" s="3">
        <v>404</v>
      </c>
      <c r="B409" s="24">
        <v>45525</v>
      </c>
      <c r="C409" s="7">
        <v>1317000</v>
      </c>
      <c r="D409" s="5">
        <v>1288000</v>
      </c>
      <c r="F409" s="19">
        <v>404</v>
      </c>
      <c r="G409" s="22">
        <v>45527</v>
      </c>
      <c r="H409" s="31">
        <f t="shared" si="13"/>
        <v>1313000</v>
      </c>
      <c r="I409" s="31">
        <f t="shared" si="14"/>
        <v>1284000</v>
      </c>
    </row>
    <row r="410" spans="1:9" x14ac:dyDescent="0.3">
      <c r="A410" s="3">
        <v>405</v>
      </c>
      <c r="B410" s="23">
        <v>45524</v>
      </c>
      <c r="C410" s="6">
        <v>1321000</v>
      </c>
      <c r="D410" s="4">
        <v>1292000</v>
      </c>
      <c r="F410" s="19">
        <v>405</v>
      </c>
      <c r="G410" s="22">
        <v>45526</v>
      </c>
      <c r="H410" s="31">
        <f t="shared" si="13"/>
        <v>1312000</v>
      </c>
      <c r="I410" s="31">
        <f t="shared" si="14"/>
        <v>1283000</v>
      </c>
    </row>
    <row r="411" spans="1:9" x14ac:dyDescent="0.3">
      <c r="A411" s="3">
        <v>406</v>
      </c>
      <c r="B411" s="24">
        <v>45523</v>
      </c>
      <c r="C411" s="7">
        <v>1320000</v>
      </c>
      <c r="D411" s="5">
        <v>1291000</v>
      </c>
      <c r="F411" s="19">
        <v>406</v>
      </c>
      <c r="G411" s="22">
        <v>45525</v>
      </c>
      <c r="H411" s="31">
        <f t="shared" si="13"/>
        <v>1317000</v>
      </c>
      <c r="I411" s="31">
        <f t="shared" si="14"/>
        <v>1288000</v>
      </c>
    </row>
    <row r="412" spans="1:9" x14ac:dyDescent="0.3">
      <c r="A412" s="3">
        <v>407</v>
      </c>
      <c r="B412" s="23">
        <v>45522</v>
      </c>
      <c r="C412" s="6">
        <v>1320000</v>
      </c>
      <c r="D412" s="4">
        <v>1291000</v>
      </c>
      <c r="F412" s="19">
        <v>407</v>
      </c>
      <c r="G412" s="22">
        <v>45524</v>
      </c>
      <c r="H412" s="31">
        <f t="shared" si="13"/>
        <v>1321000</v>
      </c>
      <c r="I412" s="31">
        <f t="shared" si="14"/>
        <v>1292000</v>
      </c>
    </row>
    <row r="413" spans="1:9" x14ac:dyDescent="0.3">
      <c r="A413" s="3">
        <v>408</v>
      </c>
      <c r="B413" s="24">
        <v>45521</v>
      </c>
      <c r="C413" s="7">
        <v>1320000</v>
      </c>
      <c r="D413" s="5">
        <v>1291000</v>
      </c>
      <c r="F413" s="19">
        <v>408</v>
      </c>
      <c r="G413" s="22">
        <v>45523</v>
      </c>
      <c r="H413" s="31">
        <f t="shared" si="13"/>
        <v>1320000</v>
      </c>
      <c r="I413" s="31">
        <f t="shared" si="14"/>
        <v>1291000</v>
      </c>
    </row>
    <row r="414" spans="1:9" x14ac:dyDescent="0.3">
      <c r="A414" s="3">
        <v>409</v>
      </c>
      <c r="B414" s="23">
        <v>45520</v>
      </c>
      <c r="C414" s="6">
        <v>1306000</v>
      </c>
      <c r="D414" s="4">
        <v>1277000</v>
      </c>
      <c r="F414" s="19">
        <v>409</v>
      </c>
      <c r="G414" s="22">
        <v>45522</v>
      </c>
      <c r="H414" s="31">
        <f t="shared" si="13"/>
        <v>1320000</v>
      </c>
      <c r="I414" s="31">
        <f t="shared" si="14"/>
        <v>1291000</v>
      </c>
    </row>
    <row r="415" spans="1:9" x14ac:dyDescent="0.3">
      <c r="A415" s="3">
        <v>410</v>
      </c>
      <c r="B415" s="24">
        <v>45519</v>
      </c>
      <c r="C415" s="7">
        <v>1316000</v>
      </c>
      <c r="D415" s="5">
        <v>1287000</v>
      </c>
      <c r="F415" s="19">
        <v>410</v>
      </c>
      <c r="G415" s="22">
        <v>45521</v>
      </c>
      <c r="H415" s="31">
        <f t="shared" si="13"/>
        <v>1320000</v>
      </c>
      <c r="I415" s="31">
        <f t="shared" si="14"/>
        <v>1291000</v>
      </c>
    </row>
    <row r="416" spans="1:9" x14ac:dyDescent="0.3">
      <c r="A416" s="3">
        <v>411</v>
      </c>
      <c r="B416" s="23">
        <v>45518</v>
      </c>
      <c r="C416" s="6">
        <v>1321000</v>
      </c>
      <c r="D416" s="4">
        <v>1292000</v>
      </c>
      <c r="F416" s="19">
        <v>411</v>
      </c>
      <c r="G416" s="22">
        <v>45520</v>
      </c>
      <c r="H416" s="31">
        <f t="shared" si="13"/>
        <v>1306000</v>
      </c>
      <c r="I416" s="31">
        <f t="shared" si="14"/>
        <v>1277000</v>
      </c>
    </row>
    <row r="417" spans="1:9" x14ac:dyDescent="0.3">
      <c r="A417" s="3">
        <v>412</v>
      </c>
      <c r="B417" s="24">
        <v>45517</v>
      </c>
      <c r="C417" s="7">
        <v>1321000</v>
      </c>
      <c r="D417" s="5">
        <v>1292000</v>
      </c>
      <c r="F417" s="19">
        <v>412</v>
      </c>
      <c r="G417" s="22">
        <v>45519</v>
      </c>
      <c r="H417" s="31">
        <f t="shared" si="13"/>
        <v>1316000</v>
      </c>
      <c r="I417" s="31">
        <f t="shared" si="14"/>
        <v>1287000</v>
      </c>
    </row>
    <row r="418" spans="1:9" x14ac:dyDescent="0.3">
      <c r="A418" s="3">
        <v>413</v>
      </c>
      <c r="B418" s="24">
        <v>45515</v>
      </c>
      <c r="C418" s="6">
        <v>1303000</v>
      </c>
      <c r="D418" s="4">
        <v>1274000</v>
      </c>
      <c r="F418" s="19">
        <v>413</v>
      </c>
      <c r="G418" s="22">
        <v>45518</v>
      </c>
      <c r="H418" s="31">
        <f t="shared" si="13"/>
        <v>1321000</v>
      </c>
      <c r="I418" s="31">
        <f t="shared" si="14"/>
        <v>1292000</v>
      </c>
    </row>
    <row r="419" spans="1:9" x14ac:dyDescent="0.3">
      <c r="A419" s="3">
        <v>414</v>
      </c>
      <c r="B419" s="23">
        <v>45514</v>
      </c>
      <c r="C419" s="7">
        <v>1303000</v>
      </c>
      <c r="D419" s="5">
        <v>1274000</v>
      </c>
      <c r="F419" s="19">
        <v>414</v>
      </c>
      <c r="G419" s="22">
        <v>45517</v>
      </c>
      <c r="H419" s="31">
        <f t="shared" si="13"/>
        <v>1321000</v>
      </c>
      <c r="I419" s="31">
        <f t="shared" si="14"/>
        <v>1292000</v>
      </c>
    </row>
    <row r="420" spans="1:9" x14ac:dyDescent="0.3">
      <c r="A420" s="3">
        <v>415</v>
      </c>
      <c r="B420" s="23">
        <v>45513</v>
      </c>
      <c r="C420" s="6">
        <v>1311000</v>
      </c>
      <c r="D420" s="4">
        <v>1282000</v>
      </c>
      <c r="F420" s="19">
        <v>415</v>
      </c>
      <c r="G420" s="22">
        <v>45516</v>
      </c>
      <c r="H420" s="31">
        <f t="shared" si="13"/>
        <v>1303000</v>
      </c>
      <c r="I420" s="31">
        <f t="shared" si="14"/>
        <v>1274000</v>
      </c>
    </row>
    <row r="421" spans="1:9" x14ac:dyDescent="0.3">
      <c r="A421" s="3">
        <v>416</v>
      </c>
      <c r="B421" s="24">
        <v>45512</v>
      </c>
      <c r="C421" s="7">
        <v>1301000</v>
      </c>
      <c r="D421" s="5">
        <v>1272000</v>
      </c>
      <c r="F421" s="19">
        <v>416</v>
      </c>
      <c r="G421" s="22">
        <v>45515</v>
      </c>
      <c r="H421" s="31">
        <f t="shared" si="13"/>
        <v>1303000</v>
      </c>
      <c r="I421" s="31">
        <f t="shared" si="14"/>
        <v>1274000</v>
      </c>
    </row>
    <row r="422" spans="1:9" x14ac:dyDescent="0.3">
      <c r="A422" s="3">
        <v>417</v>
      </c>
      <c r="B422" s="23">
        <v>45511</v>
      </c>
      <c r="C422" s="6">
        <v>1301000</v>
      </c>
      <c r="D422" s="4">
        <v>1272000</v>
      </c>
      <c r="F422" s="19">
        <v>417</v>
      </c>
      <c r="G422" s="22">
        <v>45514</v>
      </c>
      <c r="H422" s="31">
        <f t="shared" si="13"/>
        <v>1303000</v>
      </c>
      <c r="I422" s="31">
        <f t="shared" si="14"/>
        <v>1274000</v>
      </c>
    </row>
    <row r="423" spans="1:9" x14ac:dyDescent="0.3">
      <c r="A423" s="3">
        <v>418</v>
      </c>
      <c r="B423" s="23">
        <v>45510</v>
      </c>
      <c r="C423" s="7">
        <v>1315000</v>
      </c>
      <c r="D423" s="5">
        <v>1286000</v>
      </c>
      <c r="F423" s="19">
        <v>418</v>
      </c>
      <c r="G423" s="22">
        <v>45513</v>
      </c>
      <c r="H423" s="31">
        <f t="shared" si="13"/>
        <v>1311000</v>
      </c>
      <c r="I423" s="31">
        <f t="shared" si="14"/>
        <v>1282000</v>
      </c>
    </row>
    <row r="424" spans="1:9" x14ac:dyDescent="0.3">
      <c r="A424" s="3">
        <v>419</v>
      </c>
      <c r="B424" s="24">
        <v>45509</v>
      </c>
      <c r="C424" s="6">
        <v>1322000</v>
      </c>
      <c r="D424" s="4">
        <v>1293000</v>
      </c>
      <c r="F424" s="19">
        <v>419</v>
      </c>
      <c r="G424" s="22">
        <v>45512</v>
      </c>
      <c r="H424" s="31">
        <f t="shared" si="13"/>
        <v>1301000</v>
      </c>
      <c r="I424" s="31">
        <f t="shared" si="14"/>
        <v>1272000</v>
      </c>
    </row>
    <row r="425" spans="1:9" x14ac:dyDescent="0.3">
      <c r="A425" s="3">
        <v>420</v>
      </c>
      <c r="B425" s="23">
        <v>45508</v>
      </c>
      <c r="C425" s="7">
        <v>1330000</v>
      </c>
      <c r="D425" s="5">
        <v>1301000</v>
      </c>
      <c r="F425" s="19">
        <v>420</v>
      </c>
      <c r="G425" s="22">
        <v>45511</v>
      </c>
      <c r="H425" s="31">
        <f t="shared" si="13"/>
        <v>1301000</v>
      </c>
      <c r="I425" s="31">
        <f t="shared" si="14"/>
        <v>1272000</v>
      </c>
    </row>
    <row r="426" spans="1:9" x14ac:dyDescent="0.3">
      <c r="A426" s="3">
        <v>421</v>
      </c>
      <c r="B426" s="23">
        <v>45507</v>
      </c>
      <c r="C426" s="6">
        <v>1330000</v>
      </c>
      <c r="D426" s="4">
        <v>1301000</v>
      </c>
      <c r="F426" s="19">
        <v>421</v>
      </c>
      <c r="G426" s="22">
        <v>45510</v>
      </c>
      <c r="H426" s="31">
        <f t="shared" si="13"/>
        <v>1315000</v>
      </c>
      <c r="I426" s="31">
        <f t="shared" si="14"/>
        <v>1286000</v>
      </c>
    </row>
    <row r="427" spans="1:9" x14ac:dyDescent="0.3">
      <c r="A427" s="3">
        <v>422</v>
      </c>
      <c r="B427" s="24">
        <v>45506</v>
      </c>
      <c r="C427" s="7">
        <v>1333000</v>
      </c>
      <c r="D427" s="5">
        <v>1304000</v>
      </c>
      <c r="F427" s="19">
        <v>422</v>
      </c>
      <c r="G427" s="22">
        <v>45509</v>
      </c>
      <c r="H427" s="31">
        <f t="shared" si="13"/>
        <v>1322000</v>
      </c>
      <c r="I427" s="31">
        <f t="shared" si="14"/>
        <v>1293000</v>
      </c>
    </row>
    <row r="428" spans="1:9" x14ac:dyDescent="0.3">
      <c r="A428" s="3">
        <v>423</v>
      </c>
      <c r="B428" s="23">
        <v>45505</v>
      </c>
      <c r="C428" s="6">
        <v>1335000</v>
      </c>
      <c r="D428" s="4">
        <v>1306000</v>
      </c>
      <c r="F428" s="19">
        <v>423</v>
      </c>
      <c r="G428" s="22">
        <v>45508</v>
      </c>
      <c r="H428" s="31">
        <f t="shared" si="13"/>
        <v>1330000</v>
      </c>
      <c r="I428" s="31">
        <f t="shared" si="14"/>
        <v>1301000</v>
      </c>
    </row>
    <row r="429" spans="1:9" x14ac:dyDescent="0.3">
      <c r="A429" s="3">
        <v>424</v>
      </c>
      <c r="B429" s="24">
        <v>45504</v>
      </c>
      <c r="C429" s="7">
        <v>1314000</v>
      </c>
      <c r="D429" s="5">
        <v>1285000</v>
      </c>
      <c r="F429" s="19">
        <v>424</v>
      </c>
      <c r="G429" s="22">
        <v>45507</v>
      </c>
      <c r="H429" s="31">
        <f t="shared" si="13"/>
        <v>1330000</v>
      </c>
      <c r="I429" s="31">
        <f t="shared" si="14"/>
        <v>1301000</v>
      </c>
    </row>
    <row r="430" spans="1:9" x14ac:dyDescent="0.3">
      <c r="A430" s="3">
        <v>425</v>
      </c>
      <c r="B430" s="23">
        <v>45503</v>
      </c>
      <c r="C430" s="6">
        <v>1302000</v>
      </c>
      <c r="D430" s="4">
        <v>1273000</v>
      </c>
      <c r="F430" s="19">
        <v>425</v>
      </c>
      <c r="G430" s="22">
        <v>45506</v>
      </c>
      <c r="H430" s="31">
        <f t="shared" si="13"/>
        <v>1333000</v>
      </c>
      <c r="I430" s="31">
        <f t="shared" si="14"/>
        <v>1304000</v>
      </c>
    </row>
    <row r="431" spans="1:9" x14ac:dyDescent="0.3">
      <c r="A431" s="3">
        <v>426</v>
      </c>
      <c r="B431" s="24">
        <v>45502</v>
      </c>
      <c r="C431" s="7">
        <v>1304000</v>
      </c>
      <c r="D431" s="5">
        <v>1275000</v>
      </c>
      <c r="F431" s="19">
        <v>426</v>
      </c>
      <c r="G431" s="22">
        <v>45505</v>
      </c>
      <c r="H431" s="31">
        <f t="shared" si="13"/>
        <v>1335000</v>
      </c>
      <c r="I431" s="31">
        <f t="shared" si="14"/>
        <v>1306000</v>
      </c>
    </row>
    <row r="432" spans="1:9" x14ac:dyDescent="0.3">
      <c r="A432" s="3">
        <v>427</v>
      </c>
      <c r="B432" s="23">
        <v>45501</v>
      </c>
      <c r="C432" s="6">
        <v>1298000</v>
      </c>
      <c r="D432" s="4">
        <v>1269000</v>
      </c>
      <c r="F432" s="19">
        <v>427</v>
      </c>
      <c r="G432" s="22">
        <v>45504</v>
      </c>
      <c r="H432" s="31">
        <f t="shared" si="13"/>
        <v>1314000</v>
      </c>
      <c r="I432" s="31">
        <f t="shared" si="14"/>
        <v>1285000</v>
      </c>
    </row>
    <row r="433" spans="1:9" x14ac:dyDescent="0.3">
      <c r="A433" s="3">
        <v>428</v>
      </c>
      <c r="B433" s="24">
        <v>45500</v>
      </c>
      <c r="C433" s="7">
        <v>1298000</v>
      </c>
      <c r="D433" s="5">
        <v>1269000</v>
      </c>
      <c r="F433" s="19">
        <v>428</v>
      </c>
      <c r="G433" s="22">
        <v>45503</v>
      </c>
      <c r="H433" s="31">
        <f t="shared" si="13"/>
        <v>1302000</v>
      </c>
      <c r="I433" s="31">
        <f t="shared" si="14"/>
        <v>1273000</v>
      </c>
    </row>
    <row r="434" spans="1:9" x14ac:dyDescent="0.3">
      <c r="A434" s="3">
        <v>429</v>
      </c>
      <c r="B434" s="23">
        <v>45499</v>
      </c>
      <c r="C434" s="6">
        <v>1288000</v>
      </c>
      <c r="D434" s="4">
        <v>1259000</v>
      </c>
      <c r="F434" s="19">
        <v>429</v>
      </c>
      <c r="G434" s="22">
        <v>45502</v>
      </c>
      <c r="H434" s="31">
        <f t="shared" si="13"/>
        <v>1304000</v>
      </c>
      <c r="I434" s="31">
        <f t="shared" si="14"/>
        <v>1275000</v>
      </c>
    </row>
    <row r="435" spans="1:9" x14ac:dyDescent="0.3">
      <c r="A435" s="3">
        <v>430</v>
      </c>
      <c r="B435" s="24">
        <v>45498</v>
      </c>
      <c r="C435" s="7">
        <v>1302000</v>
      </c>
      <c r="D435" s="5">
        <v>1273000</v>
      </c>
      <c r="F435" s="19">
        <v>430</v>
      </c>
      <c r="G435" s="22">
        <v>45501</v>
      </c>
      <c r="H435" s="31">
        <f t="shared" si="13"/>
        <v>1298000</v>
      </c>
      <c r="I435" s="31">
        <f t="shared" si="14"/>
        <v>1269000</v>
      </c>
    </row>
    <row r="436" spans="1:9" x14ac:dyDescent="0.3">
      <c r="A436" s="3">
        <v>431</v>
      </c>
      <c r="B436" s="23">
        <v>45497</v>
      </c>
      <c r="C436" s="6">
        <v>1308000</v>
      </c>
      <c r="D436" s="4">
        <v>1279000</v>
      </c>
      <c r="F436" s="19">
        <v>431</v>
      </c>
      <c r="G436" s="22">
        <v>45500</v>
      </c>
      <c r="H436" s="31">
        <f t="shared" si="13"/>
        <v>1298000</v>
      </c>
      <c r="I436" s="31">
        <f t="shared" si="14"/>
        <v>1269000</v>
      </c>
    </row>
    <row r="437" spans="1:9" x14ac:dyDescent="0.3">
      <c r="A437" s="3">
        <v>432</v>
      </c>
      <c r="B437" s="24">
        <v>45496</v>
      </c>
      <c r="C437" s="7">
        <v>1306000</v>
      </c>
      <c r="D437" s="5">
        <v>1277000</v>
      </c>
      <c r="F437" s="19">
        <v>432</v>
      </c>
      <c r="G437" s="22">
        <v>45499</v>
      </c>
      <c r="H437" s="31">
        <f t="shared" si="13"/>
        <v>1288000</v>
      </c>
      <c r="I437" s="31">
        <f t="shared" si="14"/>
        <v>1259000</v>
      </c>
    </row>
    <row r="438" spans="1:9" x14ac:dyDescent="0.3">
      <c r="A438" s="3">
        <v>433</v>
      </c>
      <c r="B438" s="23">
        <v>45495</v>
      </c>
      <c r="C438" s="6">
        <v>1306000</v>
      </c>
      <c r="D438" s="4">
        <v>1277000</v>
      </c>
      <c r="F438" s="19">
        <v>433</v>
      </c>
      <c r="G438" s="22">
        <v>45498</v>
      </c>
      <c r="H438" s="31">
        <f t="shared" si="13"/>
        <v>1302000</v>
      </c>
      <c r="I438" s="31">
        <f t="shared" si="14"/>
        <v>1273000</v>
      </c>
    </row>
    <row r="439" spans="1:9" x14ac:dyDescent="0.3">
      <c r="A439" s="3">
        <v>434</v>
      </c>
      <c r="B439" s="24">
        <v>45494</v>
      </c>
      <c r="C439" s="7">
        <v>1306000</v>
      </c>
      <c r="D439" s="5">
        <v>1277000</v>
      </c>
      <c r="F439" s="19">
        <v>434</v>
      </c>
      <c r="G439" s="22">
        <v>45497</v>
      </c>
      <c r="H439" s="31">
        <f t="shared" si="13"/>
        <v>1308000</v>
      </c>
      <c r="I439" s="31">
        <f t="shared" si="14"/>
        <v>1279000</v>
      </c>
    </row>
    <row r="440" spans="1:9" x14ac:dyDescent="0.3">
      <c r="A440" s="3">
        <v>435</v>
      </c>
      <c r="B440" s="23">
        <v>45493</v>
      </c>
      <c r="C440" s="6">
        <v>1306000</v>
      </c>
      <c r="D440" s="4">
        <v>1277000</v>
      </c>
      <c r="F440" s="19">
        <v>435</v>
      </c>
      <c r="G440" s="22">
        <v>45496</v>
      </c>
      <c r="H440" s="31">
        <f t="shared" si="13"/>
        <v>1306000</v>
      </c>
      <c r="I440" s="31">
        <f t="shared" si="14"/>
        <v>1277000</v>
      </c>
    </row>
    <row r="441" spans="1:9" x14ac:dyDescent="0.3">
      <c r="A441" s="3">
        <v>436</v>
      </c>
      <c r="B441" s="24">
        <v>45492</v>
      </c>
      <c r="C441" s="7">
        <v>1321000</v>
      </c>
      <c r="D441" s="5">
        <v>1292000</v>
      </c>
      <c r="F441" s="19">
        <v>436</v>
      </c>
      <c r="G441" s="22">
        <v>45495</v>
      </c>
      <c r="H441" s="31">
        <f t="shared" si="13"/>
        <v>1306000</v>
      </c>
      <c r="I441" s="31">
        <f t="shared" si="14"/>
        <v>1277000</v>
      </c>
    </row>
    <row r="442" spans="1:9" x14ac:dyDescent="0.3">
      <c r="A442" s="3">
        <v>437</v>
      </c>
      <c r="B442" s="23">
        <v>45491</v>
      </c>
      <c r="C442" s="6">
        <v>1329000</v>
      </c>
      <c r="D442" s="4">
        <v>1300000</v>
      </c>
      <c r="F442" s="19">
        <v>437</v>
      </c>
      <c r="G442" s="22">
        <v>45494</v>
      </c>
      <c r="H442" s="31">
        <f t="shared" si="13"/>
        <v>1306000</v>
      </c>
      <c r="I442" s="31">
        <f t="shared" si="14"/>
        <v>1277000</v>
      </c>
    </row>
    <row r="443" spans="1:9" x14ac:dyDescent="0.3">
      <c r="A443" s="3">
        <v>438</v>
      </c>
      <c r="B443" s="24">
        <v>45490</v>
      </c>
      <c r="C443" s="7">
        <v>1322000</v>
      </c>
      <c r="D443" s="5">
        <v>1293000</v>
      </c>
      <c r="F443" s="19">
        <v>438</v>
      </c>
      <c r="G443" s="22">
        <v>45493</v>
      </c>
      <c r="H443" s="31">
        <f t="shared" si="13"/>
        <v>1306000</v>
      </c>
      <c r="I443" s="31">
        <f t="shared" si="14"/>
        <v>1277000</v>
      </c>
    </row>
    <row r="444" spans="1:9" x14ac:dyDescent="0.3">
      <c r="A444" s="3">
        <v>439</v>
      </c>
      <c r="B444" s="23">
        <v>45489</v>
      </c>
      <c r="C444" s="6">
        <v>1305000</v>
      </c>
      <c r="D444" s="4">
        <v>1276000</v>
      </c>
      <c r="F444" s="19">
        <v>439</v>
      </c>
      <c r="G444" s="22">
        <v>45492</v>
      </c>
      <c r="H444" s="31">
        <f t="shared" si="13"/>
        <v>1321000</v>
      </c>
      <c r="I444" s="31">
        <f t="shared" si="14"/>
        <v>1292000</v>
      </c>
    </row>
    <row r="445" spans="1:9" x14ac:dyDescent="0.3">
      <c r="A445" s="3">
        <v>440</v>
      </c>
      <c r="B445" s="24">
        <v>45488</v>
      </c>
      <c r="C445" s="7">
        <v>1301000</v>
      </c>
      <c r="D445" s="5">
        <v>1272000</v>
      </c>
      <c r="F445" s="19">
        <v>440</v>
      </c>
      <c r="G445" s="22">
        <v>45491</v>
      </c>
      <c r="H445" s="31">
        <f t="shared" si="13"/>
        <v>1329000</v>
      </c>
      <c r="I445" s="31">
        <f t="shared" si="14"/>
        <v>1300000</v>
      </c>
    </row>
    <row r="446" spans="1:9" x14ac:dyDescent="0.3">
      <c r="A446" s="3">
        <v>441</v>
      </c>
      <c r="B446" s="23">
        <v>45487</v>
      </c>
      <c r="C446" s="6">
        <v>1302000</v>
      </c>
      <c r="D446" s="4">
        <v>1273000</v>
      </c>
      <c r="F446" s="19">
        <v>441</v>
      </c>
      <c r="G446" s="22">
        <v>45490</v>
      </c>
      <c r="H446" s="31">
        <f t="shared" si="13"/>
        <v>1322000</v>
      </c>
      <c r="I446" s="31">
        <f t="shared" si="14"/>
        <v>1293000</v>
      </c>
    </row>
    <row r="447" spans="1:9" x14ac:dyDescent="0.3">
      <c r="A447" s="3">
        <v>442</v>
      </c>
      <c r="B447" s="24">
        <v>45486</v>
      </c>
      <c r="C447" s="7">
        <v>1302000</v>
      </c>
      <c r="D447" s="5">
        <v>1273000</v>
      </c>
      <c r="F447" s="19">
        <v>442</v>
      </c>
      <c r="G447" s="22">
        <v>45489</v>
      </c>
      <c r="H447" s="31">
        <f t="shared" si="13"/>
        <v>1305000</v>
      </c>
      <c r="I447" s="31">
        <f t="shared" si="14"/>
        <v>1276000</v>
      </c>
    </row>
    <row r="448" spans="1:9" x14ac:dyDescent="0.3">
      <c r="A448" s="3">
        <v>443</v>
      </c>
      <c r="B448" s="23">
        <v>45485</v>
      </c>
      <c r="C448" s="6">
        <v>1301000</v>
      </c>
      <c r="D448" s="4">
        <v>1272000</v>
      </c>
      <c r="F448" s="19">
        <v>443</v>
      </c>
      <c r="G448" s="22">
        <v>45488</v>
      </c>
      <c r="H448" s="31">
        <f t="shared" si="13"/>
        <v>1301000</v>
      </c>
      <c r="I448" s="31">
        <f t="shared" si="14"/>
        <v>1272000</v>
      </c>
    </row>
    <row r="449" spans="1:9" x14ac:dyDescent="0.3">
      <c r="A449" s="3">
        <v>444</v>
      </c>
      <c r="B449" s="24">
        <v>45484</v>
      </c>
      <c r="C449" s="7">
        <v>1288000</v>
      </c>
      <c r="D449" s="5">
        <v>1259000</v>
      </c>
      <c r="F449" s="19">
        <v>444</v>
      </c>
      <c r="G449" s="22">
        <v>45487</v>
      </c>
      <c r="H449" s="31">
        <f t="shared" si="13"/>
        <v>1302000</v>
      </c>
      <c r="I449" s="31">
        <f t="shared" si="14"/>
        <v>1273000</v>
      </c>
    </row>
    <row r="450" spans="1:9" x14ac:dyDescent="0.3">
      <c r="A450" s="3">
        <v>445</v>
      </c>
      <c r="B450" s="23">
        <v>45483</v>
      </c>
      <c r="C450" s="6">
        <v>1282000</v>
      </c>
      <c r="D450" s="4">
        <v>1253000</v>
      </c>
      <c r="F450" s="19">
        <v>445</v>
      </c>
      <c r="G450" s="22">
        <v>45486</v>
      </c>
      <c r="H450" s="31">
        <f t="shared" si="13"/>
        <v>1302000</v>
      </c>
      <c r="I450" s="31">
        <f t="shared" si="14"/>
        <v>1273000</v>
      </c>
    </row>
    <row r="451" spans="1:9" x14ac:dyDescent="0.3">
      <c r="A451" s="3">
        <v>446</v>
      </c>
      <c r="B451" s="24">
        <v>45482</v>
      </c>
      <c r="C451" s="7">
        <v>1291000</v>
      </c>
      <c r="D451" s="5">
        <v>1262000</v>
      </c>
      <c r="F451" s="19">
        <v>446</v>
      </c>
      <c r="G451" s="22">
        <v>45485</v>
      </c>
      <c r="H451" s="31">
        <f t="shared" si="13"/>
        <v>1301000</v>
      </c>
      <c r="I451" s="31">
        <f t="shared" si="14"/>
        <v>1272000</v>
      </c>
    </row>
    <row r="452" spans="1:9" x14ac:dyDescent="0.3">
      <c r="A452" s="3">
        <v>447</v>
      </c>
      <c r="B452" s="23">
        <v>45481</v>
      </c>
      <c r="C452" s="6">
        <v>1298000</v>
      </c>
      <c r="D452" s="4">
        <v>1269000</v>
      </c>
      <c r="F452" s="19">
        <v>447</v>
      </c>
      <c r="G452" s="22">
        <v>45484</v>
      </c>
      <c r="H452" s="31">
        <f t="shared" si="13"/>
        <v>1288000</v>
      </c>
      <c r="I452" s="31">
        <f t="shared" si="14"/>
        <v>1259000</v>
      </c>
    </row>
    <row r="453" spans="1:9" x14ac:dyDescent="0.3">
      <c r="A453" s="3">
        <v>448</v>
      </c>
      <c r="B453" s="24">
        <v>45480</v>
      </c>
      <c r="C453" s="7">
        <v>1297000</v>
      </c>
      <c r="D453" s="5">
        <v>1286000</v>
      </c>
      <c r="F453" s="19">
        <v>448</v>
      </c>
      <c r="G453" s="22">
        <v>45483</v>
      </c>
      <c r="H453" s="31">
        <f t="shared" si="13"/>
        <v>1282000</v>
      </c>
      <c r="I453" s="31">
        <f t="shared" si="14"/>
        <v>1253000</v>
      </c>
    </row>
    <row r="454" spans="1:9" x14ac:dyDescent="0.3">
      <c r="A454" s="3">
        <v>449</v>
      </c>
      <c r="B454" s="23">
        <v>45479</v>
      </c>
      <c r="C454" s="6">
        <v>1297000</v>
      </c>
      <c r="D454" s="4">
        <v>1286000</v>
      </c>
      <c r="F454" s="19">
        <v>449</v>
      </c>
      <c r="G454" s="22">
        <v>45482</v>
      </c>
      <c r="H454" s="31">
        <f t="shared" ref="H454:H517" si="15">_xlfn.XLOOKUP(G454,$B$6:$B$994,$C$6:$C$994,,-1)</f>
        <v>1291000</v>
      </c>
      <c r="I454" s="31">
        <f t="shared" ref="I454:I517" si="16">_xlfn.XLOOKUP(G454,$B$6:$B$994,$D$6:$D$994,,-1)</f>
        <v>1262000</v>
      </c>
    </row>
    <row r="455" spans="1:9" x14ac:dyDescent="0.3">
      <c r="A455" s="3">
        <v>450</v>
      </c>
      <c r="B455" s="24">
        <v>45478</v>
      </c>
      <c r="C455" s="7">
        <v>1285000</v>
      </c>
      <c r="D455" s="5">
        <v>1256000</v>
      </c>
      <c r="F455" s="19">
        <v>450</v>
      </c>
      <c r="G455" s="22">
        <v>45481</v>
      </c>
      <c r="H455" s="31">
        <f t="shared" si="15"/>
        <v>1298000</v>
      </c>
      <c r="I455" s="31">
        <f t="shared" si="16"/>
        <v>1269000</v>
      </c>
    </row>
    <row r="456" spans="1:9" x14ac:dyDescent="0.3">
      <c r="A456" s="3">
        <v>451</v>
      </c>
      <c r="B456" s="23">
        <v>45477</v>
      </c>
      <c r="C456" s="6">
        <v>1280000</v>
      </c>
      <c r="D456" s="4">
        <v>1251000</v>
      </c>
      <c r="F456" s="19">
        <v>451</v>
      </c>
      <c r="G456" s="22">
        <v>45480</v>
      </c>
      <c r="H456" s="31">
        <f t="shared" si="15"/>
        <v>1297000</v>
      </c>
      <c r="I456" s="31">
        <f t="shared" si="16"/>
        <v>1286000</v>
      </c>
    </row>
    <row r="457" spans="1:9" x14ac:dyDescent="0.3">
      <c r="A457" s="3">
        <v>452</v>
      </c>
      <c r="B457" s="24">
        <v>45476</v>
      </c>
      <c r="C457" s="7">
        <v>1267000</v>
      </c>
      <c r="D457" s="5">
        <v>1238000</v>
      </c>
      <c r="F457" s="19">
        <v>452</v>
      </c>
      <c r="G457" s="22">
        <v>45479</v>
      </c>
      <c r="H457" s="31">
        <f t="shared" si="15"/>
        <v>1297000</v>
      </c>
      <c r="I457" s="31">
        <f t="shared" si="16"/>
        <v>1286000</v>
      </c>
    </row>
    <row r="458" spans="1:9" x14ac:dyDescent="0.3">
      <c r="A458" s="3">
        <v>453</v>
      </c>
      <c r="B458" s="23">
        <v>45475</v>
      </c>
      <c r="C458" s="6">
        <v>1270000</v>
      </c>
      <c r="D458" s="4">
        <v>1241000</v>
      </c>
      <c r="F458" s="19">
        <v>453</v>
      </c>
      <c r="G458" s="22">
        <v>45478</v>
      </c>
      <c r="H458" s="31">
        <f t="shared" si="15"/>
        <v>1285000</v>
      </c>
      <c r="I458" s="31">
        <f t="shared" si="16"/>
        <v>1256000</v>
      </c>
    </row>
    <row r="459" spans="1:9" x14ac:dyDescent="0.3">
      <c r="A459" s="3">
        <v>454</v>
      </c>
      <c r="B459" s="24">
        <v>45474</v>
      </c>
      <c r="C459" s="7">
        <v>1265000</v>
      </c>
      <c r="D459" s="5">
        <v>1236000</v>
      </c>
      <c r="F459" s="19">
        <v>454</v>
      </c>
      <c r="G459" s="22">
        <v>45477</v>
      </c>
      <c r="H459" s="31">
        <f t="shared" si="15"/>
        <v>1280000</v>
      </c>
      <c r="I459" s="31">
        <f t="shared" si="16"/>
        <v>1251000</v>
      </c>
    </row>
    <row r="460" spans="1:9" x14ac:dyDescent="0.3">
      <c r="A460" s="3">
        <v>455</v>
      </c>
      <c r="B460" s="23">
        <v>45473</v>
      </c>
      <c r="C460" s="6">
        <v>1267000</v>
      </c>
      <c r="D460" s="4">
        <v>1238000</v>
      </c>
      <c r="F460" s="19">
        <v>455</v>
      </c>
      <c r="G460" s="22">
        <v>45476</v>
      </c>
      <c r="H460" s="31">
        <f t="shared" si="15"/>
        <v>1267000</v>
      </c>
      <c r="I460" s="31">
        <f t="shared" si="16"/>
        <v>1238000</v>
      </c>
    </row>
    <row r="461" spans="1:9" x14ac:dyDescent="0.3">
      <c r="A461" s="3">
        <v>456</v>
      </c>
      <c r="B461" s="24">
        <v>45472</v>
      </c>
      <c r="C461" s="7">
        <v>1267000</v>
      </c>
      <c r="D461" s="5">
        <v>1238000</v>
      </c>
      <c r="F461" s="19">
        <v>456</v>
      </c>
      <c r="G461" s="22">
        <v>45475</v>
      </c>
      <c r="H461" s="31">
        <f t="shared" si="15"/>
        <v>1270000</v>
      </c>
      <c r="I461" s="31">
        <f t="shared" si="16"/>
        <v>1241000</v>
      </c>
    </row>
    <row r="462" spans="1:9" x14ac:dyDescent="0.3">
      <c r="A462" s="3">
        <v>457</v>
      </c>
      <c r="B462" s="23">
        <v>45471</v>
      </c>
      <c r="C462" s="6">
        <v>1262000</v>
      </c>
      <c r="D462" s="4">
        <v>1233000</v>
      </c>
      <c r="F462" s="19">
        <v>457</v>
      </c>
      <c r="G462" s="22">
        <v>45474</v>
      </c>
      <c r="H462" s="31">
        <f t="shared" si="15"/>
        <v>1265000</v>
      </c>
      <c r="I462" s="31">
        <f t="shared" si="16"/>
        <v>1236000</v>
      </c>
    </row>
    <row r="463" spans="1:9" x14ac:dyDescent="0.3">
      <c r="A463" s="3">
        <v>458</v>
      </c>
      <c r="B463" s="24">
        <v>45470</v>
      </c>
      <c r="C463" s="7">
        <v>1252000</v>
      </c>
      <c r="D463" s="5">
        <v>1223000</v>
      </c>
      <c r="F463" s="19">
        <v>458</v>
      </c>
      <c r="G463" s="22">
        <v>45473</v>
      </c>
      <c r="H463" s="31">
        <f t="shared" si="15"/>
        <v>1267000</v>
      </c>
      <c r="I463" s="31">
        <f t="shared" si="16"/>
        <v>1238000</v>
      </c>
    </row>
    <row r="464" spans="1:9" x14ac:dyDescent="0.3">
      <c r="A464" s="3">
        <v>459</v>
      </c>
      <c r="B464" s="23">
        <v>45469</v>
      </c>
      <c r="C464" s="6">
        <v>1263000</v>
      </c>
      <c r="D464" s="4">
        <v>1234000</v>
      </c>
      <c r="F464" s="19">
        <v>459</v>
      </c>
      <c r="G464" s="22">
        <v>45472</v>
      </c>
      <c r="H464" s="31">
        <f t="shared" si="15"/>
        <v>1267000</v>
      </c>
      <c r="I464" s="31">
        <f t="shared" si="16"/>
        <v>1238000</v>
      </c>
    </row>
    <row r="465" spans="1:9" x14ac:dyDescent="0.3">
      <c r="A465" s="3">
        <v>460</v>
      </c>
      <c r="B465" s="24">
        <v>45468</v>
      </c>
      <c r="C465" s="7">
        <v>1270000</v>
      </c>
      <c r="D465" s="5">
        <v>1241000</v>
      </c>
      <c r="F465" s="19">
        <v>460</v>
      </c>
      <c r="G465" s="22">
        <v>45471</v>
      </c>
      <c r="H465" s="31">
        <f t="shared" si="15"/>
        <v>1262000</v>
      </c>
      <c r="I465" s="31">
        <f t="shared" si="16"/>
        <v>1233000</v>
      </c>
    </row>
    <row r="466" spans="1:9" x14ac:dyDescent="0.3">
      <c r="A466" s="3">
        <v>461</v>
      </c>
      <c r="B466" s="23">
        <v>45467</v>
      </c>
      <c r="C466" s="6">
        <v>1262000</v>
      </c>
      <c r="D466" s="4">
        <v>1233000</v>
      </c>
      <c r="F466" s="19">
        <v>461</v>
      </c>
      <c r="G466" s="22">
        <v>45470</v>
      </c>
      <c r="H466" s="31">
        <f t="shared" si="15"/>
        <v>1252000</v>
      </c>
      <c r="I466" s="31">
        <f t="shared" si="16"/>
        <v>1223000</v>
      </c>
    </row>
    <row r="467" spans="1:9" x14ac:dyDescent="0.3">
      <c r="A467" s="3">
        <v>462</v>
      </c>
      <c r="B467" s="24">
        <v>45465</v>
      </c>
      <c r="C467" s="7">
        <v>1259000</v>
      </c>
      <c r="D467" s="5">
        <v>1230000</v>
      </c>
      <c r="F467" s="19">
        <v>462</v>
      </c>
      <c r="G467" s="22">
        <v>45469</v>
      </c>
      <c r="H467" s="31">
        <f t="shared" si="15"/>
        <v>1263000</v>
      </c>
      <c r="I467" s="31">
        <f t="shared" si="16"/>
        <v>1234000</v>
      </c>
    </row>
    <row r="468" spans="1:9" x14ac:dyDescent="0.3">
      <c r="A468" s="3">
        <v>463</v>
      </c>
      <c r="B468" s="23">
        <v>45464</v>
      </c>
      <c r="C468" s="6">
        <v>1273000</v>
      </c>
      <c r="D468" s="4">
        <v>1244000</v>
      </c>
      <c r="F468" s="19">
        <v>463</v>
      </c>
      <c r="G468" s="22">
        <v>45468</v>
      </c>
      <c r="H468" s="31">
        <f t="shared" si="15"/>
        <v>1270000</v>
      </c>
      <c r="I468" s="31">
        <f t="shared" si="16"/>
        <v>1241000</v>
      </c>
    </row>
    <row r="469" spans="1:9" x14ac:dyDescent="0.3">
      <c r="A469" s="3">
        <v>464</v>
      </c>
      <c r="B469" s="24">
        <v>45463</v>
      </c>
      <c r="C469" s="7">
        <v>1257000</v>
      </c>
      <c r="D469" s="5">
        <v>1228000</v>
      </c>
      <c r="F469" s="19">
        <v>464</v>
      </c>
      <c r="G469" s="22">
        <v>45467</v>
      </c>
      <c r="H469" s="31">
        <f t="shared" si="15"/>
        <v>1262000</v>
      </c>
      <c r="I469" s="31">
        <f t="shared" si="16"/>
        <v>1233000</v>
      </c>
    </row>
    <row r="470" spans="1:9" x14ac:dyDescent="0.3">
      <c r="A470" s="3">
        <v>465</v>
      </c>
      <c r="B470" s="23">
        <v>45462</v>
      </c>
      <c r="C470" s="6">
        <v>1251000</v>
      </c>
      <c r="D470" s="4">
        <v>1222000</v>
      </c>
      <c r="F470" s="19">
        <v>465</v>
      </c>
      <c r="G470" s="22">
        <v>45466</v>
      </c>
      <c r="H470" s="31">
        <f t="shared" si="15"/>
        <v>1259000</v>
      </c>
      <c r="I470" s="31">
        <f t="shared" si="16"/>
        <v>1230000</v>
      </c>
    </row>
    <row r="471" spans="1:9" x14ac:dyDescent="0.3">
      <c r="A471" s="3">
        <v>466</v>
      </c>
      <c r="B471" s="24">
        <v>45460</v>
      </c>
      <c r="C471" s="7">
        <v>1249000</v>
      </c>
      <c r="D471" s="5">
        <v>1220000</v>
      </c>
      <c r="F471" s="19">
        <v>466</v>
      </c>
      <c r="G471" s="22">
        <v>45465</v>
      </c>
      <c r="H471" s="31">
        <f t="shared" si="15"/>
        <v>1259000</v>
      </c>
      <c r="I471" s="31">
        <f t="shared" si="16"/>
        <v>1230000</v>
      </c>
    </row>
    <row r="472" spans="1:9" x14ac:dyDescent="0.3">
      <c r="A472" s="3">
        <v>467</v>
      </c>
      <c r="B472" s="23">
        <v>45458</v>
      </c>
      <c r="C472" s="6">
        <v>1249000</v>
      </c>
      <c r="D472" s="4">
        <v>1220000</v>
      </c>
      <c r="F472" s="19">
        <v>467</v>
      </c>
      <c r="G472" s="22">
        <v>45464</v>
      </c>
      <c r="H472" s="31">
        <f t="shared" si="15"/>
        <v>1273000</v>
      </c>
      <c r="I472" s="31">
        <f t="shared" si="16"/>
        <v>1244000</v>
      </c>
    </row>
    <row r="473" spans="1:9" x14ac:dyDescent="0.3">
      <c r="A473" s="3">
        <v>468</v>
      </c>
      <c r="B473" s="24">
        <v>45457</v>
      </c>
      <c r="C473" s="7">
        <v>1235000</v>
      </c>
      <c r="D473" s="5">
        <v>1206000</v>
      </c>
      <c r="F473" s="19">
        <v>468</v>
      </c>
      <c r="G473" s="22">
        <v>45463</v>
      </c>
      <c r="H473" s="31">
        <f t="shared" si="15"/>
        <v>1257000</v>
      </c>
      <c r="I473" s="31">
        <f t="shared" si="16"/>
        <v>1228000</v>
      </c>
    </row>
    <row r="474" spans="1:9" x14ac:dyDescent="0.3">
      <c r="A474" s="3">
        <v>469</v>
      </c>
      <c r="B474" s="23">
        <v>45456</v>
      </c>
      <c r="C474" s="6">
        <v>1243000</v>
      </c>
      <c r="D474" s="4">
        <v>1214000</v>
      </c>
      <c r="F474" s="19">
        <v>469</v>
      </c>
      <c r="G474" s="22">
        <v>45462</v>
      </c>
      <c r="H474" s="31">
        <f t="shared" si="15"/>
        <v>1251000</v>
      </c>
      <c r="I474" s="31">
        <f t="shared" si="16"/>
        <v>1222000</v>
      </c>
    </row>
    <row r="475" spans="1:9" x14ac:dyDescent="0.3">
      <c r="A475" s="3">
        <v>470</v>
      </c>
      <c r="B475" s="24">
        <v>45455</v>
      </c>
      <c r="C475" s="7">
        <v>1240000</v>
      </c>
      <c r="D475" s="5">
        <v>1211000</v>
      </c>
      <c r="F475" s="19">
        <v>470</v>
      </c>
      <c r="G475" s="22">
        <v>45461</v>
      </c>
      <c r="H475" s="31">
        <f t="shared" si="15"/>
        <v>1249000</v>
      </c>
      <c r="I475" s="31">
        <f t="shared" si="16"/>
        <v>1220000</v>
      </c>
    </row>
    <row r="476" spans="1:9" x14ac:dyDescent="0.3">
      <c r="A476" s="3">
        <v>471</v>
      </c>
      <c r="B476" s="23">
        <v>45454</v>
      </c>
      <c r="C476" s="6">
        <v>1232000</v>
      </c>
      <c r="D476" s="4">
        <v>1203000</v>
      </c>
      <c r="F476" s="19">
        <v>471</v>
      </c>
      <c r="G476" s="22">
        <v>45460</v>
      </c>
      <c r="H476" s="31">
        <f t="shared" si="15"/>
        <v>1249000</v>
      </c>
      <c r="I476" s="31">
        <f t="shared" si="16"/>
        <v>1220000</v>
      </c>
    </row>
    <row r="477" spans="1:9" x14ac:dyDescent="0.3">
      <c r="A477" s="3">
        <v>472</v>
      </c>
      <c r="B477" s="24">
        <v>45453</v>
      </c>
      <c r="C477" s="7">
        <v>1231000</v>
      </c>
      <c r="D477" s="5">
        <v>1202000</v>
      </c>
      <c r="F477" s="19">
        <v>472</v>
      </c>
      <c r="G477" s="22">
        <v>45459</v>
      </c>
      <c r="H477" s="31">
        <f t="shared" si="15"/>
        <v>1249000</v>
      </c>
      <c r="I477" s="31">
        <f t="shared" si="16"/>
        <v>1220000</v>
      </c>
    </row>
    <row r="478" spans="1:9" x14ac:dyDescent="0.3">
      <c r="A478" s="3">
        <v>473</v>
      </c>
      <c r="B478" s="23">
        <v>45452</v>
      </c>
      <c r="C478" s="6">
        <v>1230000</v>
      </c>
      <c r="D478" s="4">
        <v>1201000</v>
      </c>
      <c r="F478" s="19">
        <v>473</v>
      </c>
      <c r="G478" s="22">
        <v>45458</v>
      </c>
      <c r="H478" s="31">
        <f t="shared" si="15"/>
        <v>1249000</v>
      </c>
      <c r="I478" s="31">
        <f t="shared" si="16"/>
        <v>1220000</v>
      </c>
    </row>
    <row r="479" spans="1:9" x14ac:dyDescent="0.3">
      <c r="A479" s="3">
        <v>474</v>
      </c>
      <c r="B479" s="24">
        <v>45451</v>
      </c>
      <c r="C479" s="7">
        <v>1230000</v>
      </c>
      <c r="D479" s="5">
        <v>1201000</v>
      </c>
      <c r="F479" s="19">
        <v>474</v>
      </c>
      <c r="G479" s="22">
        <v>45457</v>
      </c>
      <c r="H479" s="31">
        <f t="shared" si="15"/>
        <v>1235000</v>
      </c>
      <c r="I479" s="31">
        <f t="shared" si="16"/>
        <v>1206000</v>
      </c>
    </row>
    <row r="480" spans="1:9" x14ac:dyDescent="0.3">
      <c r="A480" s="3">
        <v>475</v>
      </c>
      <c r="B480" s="23">
        <v>45450</v>
      </c>
      <c r="C480" s="6">
        <v>1268000</v>
      </c>
      <c r="D480" s="4">
        <v>1239000</v>
      </c>
      <c r="F480" s="19">
        <v>475</v>
      </c>
      <c r="G480" s="22">
        <v>45456</v>
      </c>
      <c r="H480" s="31">
        <f t="shared" si="15"/>
        <v>1243000</v>
      </c>
      <c r="I480" s="31">
        <f t="shared" si="16"/>
        <v>1214000</v>
      </c>
    </row>
    <row r="481" spans="1:9" x14ac:dyDescent="0.3">
      <c r="A481" s="3">
        <v>476</v>
      </c>
      <c r="B481" s="24">
        <v>45449</v>
      </c>
      <c r="C481" s="7">
        <v>1251000</v>
      </c>
      <c r="D481" s="5">
        <v>1222000</v>
      </c>
      <c r="F481" s="19">
        <v>476</v>
      </c>
      <c r="G481" s="22">
        <v>45455</v>
      </c>
      <c r="H481" s="31">
        <f t="shared" si="15"/>
        <v>1240000</v>
      </c>
      <c r="I481" s="31">
        <f t="shared" si="16"/>
        <v>1211000</v>
      </c>
    </row>
    <row r="482" spans="1:9" x14ac:dyDescent="0.3">
      <c r="A482" s="3">
        <v>477</v>
      </c>
      <c r="B482" s="23">
        <v>45448</v>
      </c>
      <c r="C482" s="6">
        <v>1238000</v>
      </c>
      <c r="D482" s="4">
        <v>1209000</v>
      </c>
      <c r="F482" s="19">
        <v>477</v>
      </c>
      <c r="G482" s="22">
        <v>45454</v>
      </c>
      <c r="H482" s="31">
        <f t="shared" si="15"/>
        <v>1232000</v>
      </c>
      <c r="I482" s="31">
        <f t="shared" si="16"/>
        <v>1203000</v>
      </c>
    </row>
    <row r="483" spans="1:9" x14ac:dyDescent="0.3">
      <c r="A483" s="3">
        <v>478</v>
      </c>
      <c r="B483" s="24">
        <v>45447</v>
      </c>
      <c r="C483" s="7">
        <v>1251000</v>
      </c>
      <c r="D483" s="5">
        <v>1222000</v>
      </c>
      <c r="F483" s="19">
        <v>478</v>
      </c>
      <c r="G483" s="22">
        <v>45453</v>
      </c>
      <c r="H483" s="31">
        <f t="shared" si="15"/>
        <v>1231000</v>
      </c>
      <c r="I483" s="31">
        <f t="shared" si="16"/>
        <v>1202000</v>
      </c>
    </row>
    <row r="484" spans="1:9" x14ac:dyDescent="0.3">
      <c r="A484" s="3">
        <v>479</v>
      </c>
      <c r="B484" s="23">
        <v>45446</v>
      </c>
      <c r="C484" s="6">
        <v>1237000</v>
      </c>
      <c r="D484" s="4">
        <v>1208000</v>
      </c>
      <c r="F484" s="19">
        <v>479</v>
      </c>
      <c r="G484" s="22">
        <v>45452</v>
      </c>
      <c r="H484" s="31">
        <f t="shared" si="15"/>
        <v>1230000</v>
      </c>
      <c r="I484" s="31">
        <f t="shared" si="16"/>
        <v>1201000</v>
      </c>
    </row>
    <row r="485" spans="1:9" x14ac:dyDescent="0.3">
      <c r="A485" s="3">
        <v>480</v>
      </c>
      <c r="B485" s="24">
        <v>45445</v>
      </c>
      <c r="C485" s="7">
        <v>1238000</v>
      </c>
      <c r="D485" s="5">
        <v>1209000</v>
      </c>
      <c r="F485" s="19">
        <v>480</v>
      </c>
      <c r="G485" s="22">
        <v>45451</v>
      </c>
      <c r="H485" s="31">
        <f t="shared" si="15"/>
        <v>1230000</v>
      </c>
      <c r="I485" s="31">
        <f t="shared" si="16"/>
        <v>1201000</v>
      </c>
    </row>
    <row r="486" spans="1:9" x14ac:dyDescent="0.3">
      <c r="A486" s="3">
        <v>481</v>
      </c>
      <c r="B486" s="23">
        <v>45444</v>
      </c>
      <c r="C486" s="6">
        <v>1238000</v>
      </c>
      <c r="D486" s="4">
        <v>1209000</v>
      </c>
      <c r="F486" s="19">
        <v>481</v>
      </c>
      <c r="G486" s="22">
        <v>45450</v>
      </c>
      <c r="H486" s="31">
        <f t="shared" si="15"/>
        <v>1268000</v>
      </c>
      <c r="I486" s="31">
        <f t="shared" si="16"/>
        <v>1239000</v>
      </c>
    </row>
    <row r="487" spans="1:9" x14ac:dyDescent="0.3">
      <c r="A487" s="3">
        <v>482</v>
      </c>
      <c r="B487" s="24">
        <v>45443</v>
      </c>
      <c r="C487" s="7">
        <v>1239000</v>
      </c>
      <c r="D487" s="5">
        <v>1210000</v>
      </c>
      <c r="F487" s="19">
        <v>482</v>
      </c>
      <c r="G487" s="22">
        <v>45449</v>
      </c>
      <c r="H487" s="31">
        <f t="shared" si="15"/>
        <v>1251000</v>
      </c>
      <c r="I487" s="31">
        <f t="shared" si="16"/>
        <v>1222000</v>
      </c>
    </row>
    <row r="488" spans="1:9" x14ac:dyDescent="0.3">
      <c r="A488" s="3">
        <v>483</v>
      </c>
      <c r="B488" s="23">
        <v>45442</v>
      </c>
      <c r="C488" s="6">
        <v>1231000</v>
      </c>
      <c r="D488" s="4">
        <v>1202000</v>
      </c>
      <c r="F488" s="19">
        <v>483</v>
      </c>
      <c r="G488" s="22">
        <v>45448</v>
      </c>
      <c r="H488" s="31">
        <f t="shared" si="15"/>
        <v>1238000</v>
      </c>
      <c r="I488" s="31">
        <f t="shared" si="16"/>
        <v>1209000</v>
      </c>
    </row>
    <row r="489" spans="1:9" x14ac:dyDescent="0.3">
      <c r="A489" s="3">
        <v>484</v>
      </c>
      <c r="B489" s="24">
        <v>45441</v>
      </c>
      <c r="C489" s="7">
        <v>1240000</v>
      </c>
      <c r="D489" s="5">
        <v>1211000</v>
      </c>
      <c r="F489" s="19">
        <v>484</v>
      </c>
      <c r="G489" s="22">
        <v>45447</v>
      </c>
      <c r="H489" s="31">
        <f t="shared" si="15"/>
        <v>1251000</v>
      </c>
      <c r="I489" s="31">
        <f t="shared" si="16"/>
        <v>1222000</v>
      </c>
    </row>
    <row r="490" spans="1:9" x14ac:dyDescent="0.3">
      <c r="A490" s="3">
        <v>485</v>
      </c>
      <c r="B490" s="23">
        <v>45440</v>
      </c>
      <c r="C490" s="6">
        <v>1235000</v>
      </c>
      <c r="D490" s="4">
        <v>1206000</v>
      </c>
      <c r="F490" s="19">
        <v>485</v>
      </c>
      <c r="G490" s="22">
        <v>45446</v>
      </c>
      <c r="H490" s="31">
        <f t="shared" si="15"/>
        <v>1237000</v>
      </c>
      <c r="I490" s="31">
        <f t="shared" si="16"/>
        <v>1208000</v>
      </c>
    </row>
    <row r="491" spans="1:9" x14ac:dyDescent="0.3">
      <c r="A491" s="3">
        <v>486</v>
      </c>
      <c r="B491" s="24">
        <v>45439</v>
      </c>
      <c r="C491" s="7">
        <v>1229000</v>
      </c>
      <c r="D491" s="5">
        <v>1200000</v>
      </c>
      <c r="F491" s="19">
        <v>486</v>
      </c>
      <c r="G491" s="22">
        <v>45445</v>
      </c>
      <c r="H491" s="31">
        <f t="shared" si="15"/>
        <v>1238000</v>
      </c>
      <c r="I491" s="31">
        <f t="shared" si="16"/>
        <v>1209000</v>
      </c>
    </row>
    <row r="492" spans="1:9" x14ac:dyDescent="0.3">
      <c r="A492" s="3">
        <v>487</v>
      </c>
      <c r="B492" s="23">
        <v>45438</v>
      </c>
      <c r="C492" s="6">
        <v>1227000</v>
      </c>
      <c r="D492" s="4">
        <v>1198000</v>
      </c>
      <c r="F492" s="19">
        <v>487</v>
      </c>
      <c r="G492" s="22">
        <v>45444</v>
      </c>
      <c r="H492" s="31">
        <f t="shared" si="15"/>
        <v>1238000</v>
      </c>
      <c r="I492" s="31">
        <f t="shared" si="16"/>
        <v>1209000</v>
      </c>
    </row>
    <row r="493" spans="1:9" x14ac:dyDescent="0.3">
      <c r="A493" s="3">
        <v>488</v>
      </c>
      <c r="B493" s="24">
        <v>45437</v>
      </c>
      <c r="C493" s="7">
        <v>1227000</v>
      </c>
      <c r="D493" s="5">
        <v>1198000</v>
      </c>
      <c r="F493" s="19">
        <v>488</v>
      </c>
      <c r="G493" s="22">
        <v>45443</v>
      </c>
      <c r="H493" s="31">
        <f t="shared" si="15"/>
        <v>1239000</v>
      </c>
      <c r="I493" s="31">
        <f t="shared" si="16"/>
        <v>1210000</v>
      </c>
    </row>
    <row r="494" spans="1:9" x14ac:dyDescent="0.3">
      <c r="A494" s="3">
        <v>489</v>
      </c>
      <c r="B494" s="23">
        <v>45435</v>
      </c>
      <c r="C494" s="6">
        <v>1259000</v>
      </c>
      <c r="D494" s="4">
        <v>1230000</v>
      </c>
      <c r="F494" s="19">
        <v>489</v>
      </c>
      <c r="G494" s="22">
        <v>45442</v>
      </c>
      <c r="H494" s="31">
        <f t="shared" si="15"/>
        <v>1231000</v>
      </c>
      <c r="I494" s="31">
        <f t="shared" si="16"/>
        <v>1202000</v>
      </c>
    </row>
    <row r="495" spans="1:9" x14ac:dyDescent="0.3">
      <c r="A495" s="3">
        <v>490</v>
      </c>
      <c r="B495" s="24">
        <v>45434</v>
      </c>
      <c r="C495" s="7">
        <v>1259000</v>
      </c>
      <c r="D495" s="5">
        <v>1230000</v>
      </c>
      <c r="F495" s="19">
        <v>490</v>
      </c>
      <c r="G495" s="22">
        <v>45441</v>
      </c>
      <c r="H495" s="31">
        <f t="shared" si="15"/>
        <v>1240000</v>
      </c>
      <c r="I495" s="31">
        <f t="shared" si="16"/>
        <v>1211000</v>
      </c>
    </row>
    <row r="496" spans="1:9" x14ac:dyDescent="0.3">
      <c r="A496" s="3">
        <v>491</v>
      </c>
      <c r="B496" s="23">
        <v>45433</v>
      </c>
      <c r="C496" s="6">
        <v>1260000</v>
      </c>
      <c r="D496" s="4">
        <v>1231000</v>
      </c>
      <c r="F496" s="19">
        <v>491</v>
      </c>
      <c r="G496" s="22">
        <v>45440</v>
      </c>
      <c r="H496" s="31">
        <f t="shared" si="15"/>
        <v>1235000</v>
      </c>
      <c r="I496" s="31">
        <f t="shared" si="16"/>
        <v>1206000</v>
      </c>
    </row>
    <row r="497" spans="1:9" x14ac:dyDescent="0.3">
      <c r="A497" s="3">
        <v>492</v>
      </c>
      <c r="B497" s="24">
        <v>45432</v>
      </c>
      <c r="C497" s="7">
        <v>1265000</v>
      </c>
      <c r="D497" s="5">
        <v>1236000</v>
      </c>
      <c r="F497" s="19">
        <v>492</v>
      </c>
      <c r="G497" s="22">
        <v>45439</v>
      </c>
      <c r="H497" s="31">
        <f t="shared" si="15"/>
        <v>1229000</v>
      </c>
      <c r="I497" s="31">
        <f t="shared" si="16"/>
        <v>1200000</v>
      </c>
    </row>
    <row r="498" spans="1:9" x14ac:dyDescent="0.3">
      <c r="A498" s="3">
        <v>493</v>
      </c>
      <c r="B498" s="23">
        <v>45431</v>
      </c>
      <c r="C498" s="6">
        <v>1252000</v>
      </c>
      <c r="D498" s="4">
        <v>1223000</v>
      </c>
      <c r="F498" s="19">
        <v>493</v>
      </c>
      <c r="G498" s="22">
        <v>45438</v>
      </c>
      <c r="H498" s="31">
        <f t="shared" si="15"/>
        <v>1227000</v>
      </c>
      <c r="I498" s="31">
        <f t="shared" si="16"/>
        <v>1198000</v>
      </c>
    </row>
    <row r="499" spans="1:9" x14ac:dyDescent="0.3">
      <c r="A499" s="3">
        <v>494</v>
      </c>
      <c r="B499" s="24">
        <v>45430</v>
      </c>
      <c r="C499" s="7">
        <v>1252000</v>
      </c>
      <c r="D499" s="5">
        <v>1223000</v>
      </c>
      <c r="F499" s="19">
        <v>494</v>
      </c>
      <c r="G499" s="22">
        <v>45437</v>
      </c>
      <c r="H499" s="31">
        <f t="shared" si="15"/>
        <v>1227000</v>
      </c>
      <c r="I499" s="31">
        <f t="shared" si="16"/>
        <v>1198000</v>
      </c>
    </row>
    <row r="500" spans="1:9" x14ac:dyDescent="0.3">
      <c r="A500" s="3">
        <v>495</v>
      </c>
      <c r="B500" s="23">
        <v>45429</v>
      </c>
      <c r="C500" s="6">
        <v>1245000</v>
      </c>
      <c r="D500" s="4">
        <v>1216000</v>
      </c>
      <c r="F500" s="19">
        <v>495</v>
      </c>
      <c r="G500" s="22">
        <v>45436</v>
      </c>
      <c r="H500" s="31">
        <f t="shared" si="15"/>
        <v>1259000</v>
      </c>
      <c r="I500" s="31">
        <f t="shared" si="16"/>
        <v>1230000</v>
      </c>
    </row>
    <row r="501" spans="1:9" x14ac:dyDescent="0.3">
      <c r="A501" s="3">
        <v>496</v>
      </c>
      <c r="B501" s="24">
        <v>45428</v>
      </c>
      <c r="C501" s="7">
        <v>1256000</v>
      </c>
      <c r="D501" s="5">
        <v>1227000</v>
      </c>
      <c r="F501" s="19">
        <v>496</v>
      </c>
      <c r="G501" s="22">
        <v>45435</v>
      </c>
      <c r="H501" s="31">
        <f t="shared" si="15"/>
        <v>1259000</v>
      </c>
      <c r="I501" s="31">
        <f t="shared" si="16"/>
        <v>1230000</v>
      </c>
    </row>
    <row r="502" spans="1:9" x14ac:dyDescent="0.3">
      <c r="A502" s="3">
        <v>497</v>
      </c>
      <c r="B502" s="23">
        <v>45427</v>
      </c>
      <c r="C502" s="6">
        <v>1237000</v>
      </c>
      <c r="D502" s="4">
        <v>1204000</v>
      </c>
      <c r="F502" s="19">
        <v>497</v>
      </c>
      <c r="G502" s="22">
        <v>45434</v>
      </c>
      <c r="H502" s="31">
        <f t="shared" si="15"/>
        <v>1259000</v>
      </c>
      <c r="I502" s="31">
        <f t="shared" si="16"/>
        <v>1230000</v>
      </c>
    </row>
    <row r="503" spans="1:9" x14ac:dyDescent="0.3">
      <c r="A503" s="3">
        <v>498</v>
      </c>
      <c r="B503" s="24">
        <v>45426</v>
      </c>
      <c r="C503" s="7">
        <v>1226000</v>
      </c>
      <c r="D503" s="5">
        <v>1197000</v>
      </c>
      <c r="F503" s="19">
        <v>498</v>
      </c>
      <c r="G503" s="22">
        <v>45433</v>
      </c>
      <c r="H503" s="31">
        <f t="shared" si="15"/>
        <v>1260000</v>
      </c>
      <c r="I503" s="31">
        <f t="shared" si="16"/>
        <v>1231000</v>
      </c>
    </row>
    <row r="504" spans="1:9" x14ac:dyDescent="0.3">
      <c r="A504" s="3">
        <v>499</v>
      </c>
      <c r="B504" s="23">
        <v>45425</v>
      </c>
      <c r="C504" s="6">
        <v>1235000</v>
      </c>
      <c r="D504" s="4">
        <v>1206000</v>
      </c>
      <c r="F504" s="19">
        <v>499</v>
      </c>
      <c r="G504" s="22">
        <v>45432</v>
      </c>
      <c r="H504" s="31">
        <f t="shared" si="15"/>
        <v>1265000</v>
      </c>
      <c r="I504" s="31">
        <f t="shared" si="16"/>
        <v>1236000</v>
      </c>
    </row>
    <row r="505" spans="1:9" x14ac:dyDescent="0.3">
      <c r="A505" s="3">
        <v>500</v>
      </c>
      <c r="B505" s="24">
        <v>45424</v>
      </c>
      <c r="C505" s="7">
        <v>1235000</v>
      </c>
      <c r="D505" s="5">
        <v>1206000</v>
      </c>
      <c r="F505" s="19">
        <v>500</v>
      </c>
      <c r="G505" s="22">
        <v>45431</v>
      </c>
      <c r="H505" s="31">
        <f t="shared" si="15"/>
        <v>1252000</v>
      </c>
      <c r="I505" s="31">
        <f t="shared" si="16"/>
        <v>1223000</v>
      </c>
    </row>
    <row r="506" spans="1:9" x14ac:dyDescent="0.3">
      <c r="A506" s="3">
        <v>501</v>
      </c>
      <c r="B506" s="23">
        <v>45423</v>
      </c>
      <c r="C506" s="6">
        <v>1235000</v>
      </c>
      <c r="D506" s="4">
        <v>1206000</v>
      </c>
      <c r="F506" s="19">
        <v>501</v>
      </c>
      <c r="G506" s="22">
        <v>45430</v>
      </c>
      <c r="H506" s="31">
        <f t="shared" si="15"/>
        <v>1252000</v>
      </c>
      <c r="I506" s="31">
        <f t="shared" si="16"/>
        <v>1223000</v>
      </c>
    </row>
    <row r="507" spans="1:9" x14ac:dyDescent="0.3">
      <c r="A507" s="3">
        <v>502</v>
      </c>
      <c r="B507" s="24">
        <v>45422</v>
      </c>
      <c r="C507" s="7">
        <v>1228000</v>
      </c>
      <c r="D507" s="5">
        <v>1199000</v>
      </c>
      <c r="F507" s="19">
        <v>502</v>
      </c>
      <c r="G507" s="22">
        <v>45429</v>
      </c>
      <c r="H507" s="31">
        <f t="shared" si="15"/>
        <v>1245000</v>
      </c>
      <c r="I507" s="31">
        <f t="shared" si="16"/>
        <v>1216000</v>
      </c>
    </row>
    <row r="508" spans="1:9" x14ac:dyDescent="0.3">
      <c r="A508" s="3">
        <v>503</v>
      </c>
      <c r="B508" s="23">
        <v>45420</v>
      </c>
      <c r="C508" s="6">
        <v>1210000</v>
      </c>
      <c r="D508" s="4">
        <v>1181000</v>
      </c>
      <c r="F508" s="19">
        <v>503</v>
      </c>
      <c r="G508" s="22">
        <v>45428</v>
      </c>
      <c r="H508" s="31">
        <f t="shared" si="15"/>
        <v>1256000</v>
      </c>
      <c r="I508" s="31">
        <f t="shared" si="16"/>
        <v>1227000</v>
      </c>
    </row>
    <row r="509" spans="1:9" x14ac:dyDescent="0.3">
      <c r="A509" s="3">
        <v>504</v>
      </c>
      <c r="B509" s="24">
        <v>45419</v>
      </c>
      <c r="C509" s="7">
        <v>1220000</v>
      </c>
      <c r="D509" s="5">
        <v>1191000</v>
      </c>
      <c r="F509" s="19">
        <v>504</v>
      </c>
      <c r="G509" s="22">
        <v>45427</v>
      </c>
      <c r="H509" s="31">
        <f t="shared" si="15"/>
        <v>1237000</v>
      </c>
      <c r="I509" s="31">
        <f t="shared" si="16"/>
        <v>1204000</v>
      </c>
    </row>
    <row r="510" spans="1:9" x14ac:dyDescent="0.3">
      <c r="A510" s="3">
        <v>505</v>
      </c>
      <c r="B510" s="23">
        <v>45418</v>
      </c>
      <c r="C510" s="6">
        <v>1212000</v>
      </c>
      <c r="D510" s="4">
        <v>1183000</v>
      </c>
      <c r="F510" s="19">
        <v>505</v>
      </c>
      <c r="G510" s="22">
        <v>45426</v>
      </c>
      <c r="H510" s="31">
        <f t="shared" si="15"/>
        <v>1226000</v>
      </c>
      <c r="I510" s="31">
        <f t="shared" si="16"/>
        <v>1197000</v>
      </c>
    </row>
    <row r="511" spans="1:9" x14ac:dyDescent="0.3">
      <c r="A511" s="3">
        <v>506</v>
      </c>
      <c r="B511" s="24">
        <v>45417</v>
      </c>
      <c r="C511" s="7">
        <v>1215000</v>
      </c>
      <c r="D511" s="5">
        <v>1186000</v>
      </c>
      <c r="F511" s="19">
        <v>506</v>
      </c>
      <c r="G511" s="22">
        <v>45425</v>
      </c>
      <c r="H511" s="31">
        <f t="shared" si="15"/>
        <v>1235000</v>
      </c>
      <c r="I511" s="31">
        <f t="shared" si="16"/>
        <v>1206000</v>
      </c>
    </row>
    <row r="512" spans="1:9" x14ac:dyDescent="0.3">
      <c r="A512" s="3">
        <v>507</v>
      </c>
      <c r="B512" s="23">
        <v>45416</v>
      </c>
      <c r="C512" s="6">
        <v>1215000</v>
      </c>
      <c r="D512" s="4">
        <v>1186000</v>
      </c>
      <c r="F512" s="19">
        <v>507</v>
      </c>
      <c r="G512" s="22">
        <v>45424</v>
      </c>
      <c r="H512" s="31">
        <f t="shared" si="15"/>
        <v>1235000</v>
      </c>
      <c r="I512" s="31">
        <f t="shared" si="16"/>
        <v>1206000</v>
      </c>
    </row>
    <row r="513" spans="1:9" x14ac:dyDescent="0.3">
      <c r="A513" s="3">
        <v>508</v>
      </c>
      <c r="B513" s="24">
        <v>45415</v>
      </c>
      <c r="C513" s="7">
        <v>1220000</v>
      </c>
      <c r="D513" s="5">
        <v>1191000</v>
      </c>
      <c r="F513" s="19">
        <v>508</v>
      </c>
      <c r="G513" s="22">
        <v>45423</v>
      </c>
      <c r="H513" s="31">
        <f t="shared" si="15"/>
        <v>1235000</v>
      </c>
      <c r="I513" s="31">
        <f t="shared" si="16"/>
        <v>1206000</v>
      </c>
    </row>
    <row r="514" spans="1:9" x14ac:dyDescent="0.3">
      <c r="A514" s="3">
        <v>509</v>
      </c>
      <c r="B514" s="23">
        <v>45414</v>
      </c>
      <c r="C514" s="6">
        <v>1229000</v>
      </c>
      <c r="D514" s="4">
        <v>1200000</v>
      </c>
      <c r="F514" s="19">
        <v>509</v>
      </c>
      <c r="G514" s="22">
        <v>45422</v>
      </c>
      <c r="H514" s="31">
        <f t="shared" si="15"/>
        <v>1228000</v>
      </c>
      <c r="I514" s="31">
        <f t="shared" si="16"/>
        <v>1199000</v>
      </c>
    </row>
    <row r="515" spans="1:9" x14ac:dyDescent="0.3">
      <c r="A515" s="3">
        <v>510</v>
      </c>
      <c r="B515" s="24">
        <v>45413</v>
      </c>
      <c r="C515" s="7">
        <v>1212000</v>
      </c>
      <c r="D515" s="5">
        <v>1183000</v>
      </c>
      <c r="F515" s="19">
        <v>510</v>
      </c>
      <c r="G515" s="22">
        <v>45421</v>
      </c>
      <c r="H515" s="31">
        <f t="shared" si="15"/>
        <v>1210000</v>
      </c>
      <c r="I515" s="31">
        <f t="shared" si="16"/>
        <v>1181000</v>
      </c>
    </row>
    <row r="516" spans="1:9" x14ac:dyDescent="0.3">
      <c r="A516" s="3">
        <v>511</v>
      </c>
      <c r="B516" s="23">
        <v>45412</v>
      </c>
      <c r="C516" s="6">
        <v>1227000</v>
      </c>
      <c r="D516" s="4">
        <v>1198000</v>
      </c>
      <c r="F516" s="19">
        <v>511</v>
      </c>
      <c r="G516" s="22">
        <v>45420</v>
      </c>
      <c r="H516" s="31">
        <f t="shared" si="15"/>
        <v>1210000</v>
      </c>
      <c r="I516" s="31">
        <f t="shared" si="16"/>
        <v>1181000</v>
      </c>
    </row>
    <row r="517" spans="1:9" x14ac:dyDescent="0.3">
      <c r="A517" s="3">
        <v>512</v>
      </c>
      <c r="B517" s="24">
        <v>45411</v>
      </c>
      <c r="C517" s="7">
        <v>1227000</v>
      </c>
      <c r="D517" s="5">
        <v>1198000</v>
      </c>
      <c r="F517" s="19">
        <v>512</v>
      </c>
      <c r="G517" s="22">
        <v>45419</v>
      </c>
      <c r="H517" s="31">
        <f t="shared" si="15"/>
        <v>1220000</v>
      </c>
      <c r="I517" s="31">
        <f t="shared" si="16"/>
        <v>1191000</v>
      </c>
    </row>
    <row r="518" spans="1:9" x14ac:dyDescent="0.3">
      <c r="A518" s="3">
        <v>513</v>
      </c>
      <c r="B518" s="23">
        <v>45410</v>
      </c>
      <c r="C518" s="6">
        <v>1228000</v>
      </c>
      <c r="D518" s="4">
        <v>1199000</v>
      </c>
      <c r="F518" s="19">
        <v>513</v>
      </c>
      <c r="G518" s="22">
        <v>45418</v>
      </c>
      <c r="H518" s="31">
        <f t="shared" ref="H518:H581" si="17">_xlfn.XLOOKUP(G518,$B$6:$B$994,$C$6:$C$994,,-1)</f>
        <v>1212000</v>
      </c>
      <c r="I518" s="31">
        <f t="shared" ref="I518:I581" si="18">_xlfn.XLOOKUP(G518,$B$6:$B$994,$D$6:$D$994,,-1)</f>
        <v>1183000</v>
      </c>
    </row>
    <row r="519" spans="1:9" x14ac:dyDescent="0.3">
      <c r="A519" s="3">
        <v>514</v>
      </c>
      <c r="B519" s="24">
        <v>45409</v>
      </c>
      <c r="C519" s="7">
        <v>1228000</v>
      </c>
      <c r="D519" s="5">
        <v>1199000</v>
      </c>
      <c r="F519" s="19">
        <v>514</v>
      </c>
      <c r="G519" s="22">
        <v>45417</v>
      </c>
      <c r="H519" s="31">
        <f t="shared" si="17"/>
        <v>1215000</v>
      </c>
      <c r="I519" s="31">
        <f t="shared" si="18"/>
        <v>1186000</v>
      </c>
    </row>
    <row r="520" spans="1:9" x14ac:dyDescent="0.3">
      <c r="A520" s="3">
        <v>515</v>
      </c>
      <c r="B520" s="23">
        <v>45408</v>
      </c>
      <c r="C520" s="6">
        <v>1221000</v>
      </c>
      <c r="D520" s="4">
        <v>1192000</v>
      </c>
      <c r="F520" s="19">
        <v>515</v>
      </c>
      <c r="G520" s="22">
        <v>45416</v>
      </c>
      <c r="H520" s="31">
        <f t="shared" si="17"/>
        <v>1215000</v>
      </c>
      <c r="I520" s="31">
        <f t="shared" si="18"/>
        <v>1186000</v>
      </c>
    </row>
    <row r="521" spans="1:9" x14ac:dyDescent="0.3">
      <c r="A521" s="3">
        <v>516</v>
      </c>
      <c r="B521" s="24">
        <v>45407</v>
      </c>
      <c r="C521" s="7">
        <v>1221000</v>
      </c>
      <c r="D521" s="5">
        <v>1192000</v>
      </c>
      <c r="F521" s="19">
        <v>516</v>
      </c>
      <c r="G521" s="22">
        <v>45415</v>
      </c>
      <c r="H521" s="31">
        <f t="shared" si="17"/>
        <v>1220000</v>
      </c>
      <c r="I521" s="31">
        <f t="shared" si="18"/>
        <v>1191000</v>
      </c>
    </row>
    <row r="522" spans="1:9" x14ac:dyDescent="0.3">
      <c r="A522" s="3">
        <v>517</v>
      </c>
      <c r="B522" s="23">
        <v>45406</v>
      </c>
      <c r="C522" s="6">
        <v>1222000</v>
      </c>
      <c r="D522" s="4">
        <v>1193000</v>
      </c>
      <c r="F522" s="19">
        <v>517</v>
      </c>
      <c r="G522" s="22">
        <v>45414</v>
      </c>
      <c r="H522" s="31">
        <f t="shared" si="17"/>
        <v>1229000</v>
      </c>
      <c r="I522" s="31">
        <f t="shared" si="18"/>
        <v>1200000</v>
      </c>
    </row>
    <row r="523" spans="1:9" x14ac:dyDescent="0.3">
      <c r="A523" s="3">
        <v>518</v>
      </c>
      <c r="B523" s="24">
        <v>45405</v>
      </c>
      <c r="C523" s="7">
        <v>1227000</v>
      </c>
      <c r="D523" s="5">
        <v>1198000</v>
      </c>
      <c r="F523" s="19">
        <v>518</v>
      </c>
      <c r="G523" s="22">
        <v>45413</v>
      </c>
      <c r="H523" s="31">
        <f t="shared" si="17"/>
        <v>1212000</v>
      </c>
      <c r="I523" s="31">
        <f t="shared" si="18"/>
        <v>1183000</v>
      </c>
    </row>
    <row r="524" spans="1:9" x14ac:dyDescent="0.3">
      <c r="A524" s="3">
        <v>519</v>
      </c>
      <c r="B524" s="23">
        <v>45404</v>
      </c>
      <c r="C524" s="6">
        <v>1245000</v>
      </c>
      <c r="D524" s="4">
        <v>1216000</v>
      </c>
      <c r="F524" s="19">
        <v>519</v>
      </c>
      <c r="G524" s="22">
        <v>45412</v>
      </c>
      <c r="H524" s="31">
        <f t="shared" si="17"/>
        <v>1227000</v>
      </c>
      <c r="I524" s="31">
        <f t="shared" si="18"/>
        <v>1198000</v>
      </c>
    </row>
    <row r="525" spans="1:9" x14ac:dyDescent="0.3">
      <c r="A525" s="3">
        <v>520</v>
      </c>
      <c r="B525" s="24">
        <v>45403</v>
      </c>
      <c r="C525" s="7">
        <v>1249000</v>
      </c>
      <c r="D525" s="5">
        <v>1220000</v>
      </c>
      <c r="F525" s="19">
        <v>520</v>
      </c>
      <c r="G525" s="22">
        <v>45411</v>
      </c>
      <c r="H525" s="31">
        <f t="shared" si="17"/>
        <v>1227000</v>
      </c>
      <c r="I525" s="31">
        <f t="shared" si="18"/>
        <v>1198000</v>
      </c>
    </row>
    <row r="526" spans="1:9" x14ac:dyDescent="0.3">
      <c r="A526" s="3">
        <v>521</v>
      </c>
      <c r="B526" s="23">
        <v>45402</v>
      </c>
      <c r="C526" s="6">
        <v>1249000</v>
      </c>
      <c r="D526" s="4">
        <v>1220000</v>
      </c>
      <c r="F526" s="19">
        <v>521</v>
      </c>
      <c r="G526" s="22">
        <v>45410</v>
      </c>
      <c r="H526" s="31">
        <f t="shared" si="17"/>
        <v>1228000</v>
      </c>
      <c r="I526" s="31">
        <f t="shared" si="18"/>
        <v>1199000</v>
      </c>
    </row>
    <row r="527" spans="1:9" x14ac:dyDescent="0.3">
      <c r="A527" s="3">
        <v>522</v>
      </c>
      <c r="B527" s="24">
        <v>45401</v>
      </c>
      <c r="C527" s="7">
        <v>1247000</v>
      </c>
      <c r="D527" s="5">
        <v>1218000</v>
      </c>
      <c r="F527" s="19">
        <v>522</v>
      </c>
      <c r="G527" s="22">
        <v>45409</v>
      </c>
      <c r="H527" s="31">
        <f t="shared" si="17"/>
        <v>1228000</v>
      </c>
      <c r="I527" s="31">
        <f t="shared" si="18"/>
        <v>1199000</v>
      </c>
    </row>
    <row r="528" spans="1:9" x14ac:dyDescent="0.3">
      <c r="A528" s="3">
        <v>523</v>
      </c>
      <c r="B528" s="23">
        <v>45400</v>
      </c>
      <c r="C528" s="6">
        <v>1237000</v>
      </c>
      <c r="D528" s="4">
        <v>1208000</v>
      </c>
      <c r="F528" s="19">
        <v>523</v>
      </c>
      <c r="G528" s="22">
        <v>45408</v>
      </c>
      <c r="H528" s="31">
        <f t="shared" si="17"/>
        <v>1221000</v>
      </c>
      <c r="I528" s="31">
        <f t="shared" si="18"/>
        <v>1192000</v>
      </c>
    </row>
    <row r="529" spans="1:9" x14ac:dyDescent="0.3">
      <c r="A529" s="3">
        <v>524</v>
      </c>
      <c r="B529" s="24">
        <v>45399</v>
      </c>
      <c r="C529" s="7">
        <v>1223000</v>
      </c>
      <c r="D529" s="5">
        <v>1194000</v>
      </c>
      <c r="F529" s="19">
        <v>524</v>
      </c>
      <c r="G529" s="22">
        <v>45407</v>
      </c>
      <c r="H529" s="31">
        <f t="shared" si="17"/>
        <v>1221000</v>
      </c>
      <c r="I529" s="31">
        <f t="shared" si="18"/>
        <v>1192000</v>
      </c>
    </row>
    <row r="530" spans="1:9" x14ac:dyDescent="0.3">
      <c r="A530" s="3">
        <v>525</v>
      </c>
      <c r="B530" s="23">
        <v>45398</v>
      </c>
      <c r="C530" s="6">
        <v>1223000</v>
      </c>
      <c r="D530" s="4">
        <v>1194000</v>
      </c>
      <c r="F530" s="19">
        <v>525</v>
      </c>
      <c r="G530" s="22">
        <v>45406</v>
      </c>
      <c r="H530" s="31">
        <f t="shared" si="17"/>
        <v>1222000</v>
      </c>
      <c r="I530" s="31">
        <f t="shared" si="18"/>
        <v>1193000</v>
      </c>
    </row>
    <row r="531" spans="1:9" x14ac:dyDescent="0.3">
      <c r="A531" s="3">
        <v>526</v>
      </c>
      <c r="B531" s="24">
        <v>45397</v>
      </c>
      <c r="C531" s="7">
        <v>1217000</v>
      </c>
      <c r="D531" s="5">
        <v>1188000</v>
      </c>
      <c r="F531" s="19">
        <v>526</v>
      </c>
      <c r="G531" s="22">
        <v>45405</v>
      </c>
      <c r="H531" s="31">
        <f t="shared" si="17"/>
        <v>1227000</v>
      </c>
      <c r="I531" s="31">
        <f t="shared" si="18"/>
        <v>1198000</v>
      </c>
    </row>
    <row r="532" spans="1:9" x14ac:dyDescent="0.3">
      <c r="A532" s="3">
        <v>527</v>
      </c>
      <c r="B532" s="23">
        <v>45396</v>
      </c>
      <c r="C532" s="6">
        <v>1212000</v>
      </c>
      <c r="D532" s="4">
        <v>1183000</v>
      </c>
      <c r="F532" s="19">
        <v>527</v>
      </c>
      <c r="G532" s="22">
        <v>45404</v>
      </c>
      <c r="H532" s="31">
        <f t="shared" si="17"/>
        <v>1245000</v>
      </c>
      <c r="I532" s="31">
        <f t="shared" si="18"/>
        <v>1216000</v>
      </c>
    </row>
    <row r="533" spans="1:9" x14ac:dyDescent="0.3">
      <c r="A533" s="3">
        <v>528</v>
      </c>
      <c r="B533" s="24">
        <v>45395</v>
      </c>
      <c r="C533" s="7">
        <v>1212000</v>
      </c>
      <c r="D533" s="5">
        <v>1183000</v>
      </c>
      <c r="F533" s="19">
        <v>528</v>
      </c>
      <c r="G533" s="22">
        <v>45403</v>
      </c>
      <c r="H533" s="31">
        <f t="shared" si="17"/>
        <v>1249000</v>
      </c>
      <c r="I533" s="31">
        <f t="shared" si="18"/>
        <v>1220000</v>
      </c>
    </row>
    <row r="534" spans="1:9" x14ac:dyDescent="0.3">
      <c r="A534" s="3">
        <v>529</v>
      </c>
      <c r="B534" s="23">
        <v>45394</v>
      </c>
      <c r="C534" s="6">
        <v>1226000</v>
      </c>
      <c r="D534" s="4">
        <v>1197000</v>
      </c>
      <c r="F534" s="19">
        <v>529</v>
      </c>
      <c r="G534" s="22">
        <v>45402</v>
      </c>
      <c r="H534" s="31">
        <f t="shared" si="17"/>
        <v>1249000</v>
      </c>
      <c r="I534" s="31">
        <f t="shared" si="18"/>
        <v>1220000</v>
      </c>
    </row>
    <row r="535" spans="1:9" x14ac:dyDescent="0.3">
      <c r="A535" s="3">
        <v>530</v>
      </c>
      <c r="B535" s="24">
        <v>45393</v>
      </c>
      <c r="C535" s="7">
        <v>1208000</v>
      </c>
      <c r="D535" s="5">
        <v>1179000</v>
      </c>
      <c r="F535" s="19">
        <v>530</v>
      </c>
      <c r="G535" s="22">
        <v>45401</v>
      </c>
      <c r="H535" s="31">
        <f t="shared" si="17"/>
        <v>1247000</v>
      </c>
      <c r="I535" s="31">
        <f t="shared" si="18"/>
        <v>1218000</v>
      </c>
    </row>
    <row r="536" spans="1:9" x14ac:dyDescent="0.3">
      <c r="A536" s="3">
        <v>531</v>
      </c>
      <c r="B536" s="23">
        <v>45392</v>
      </c>
      <c r="C536" s="6">
        <v>1179000</v>
      </c>
      <c r="D536" s="4">
        <v>1208000</v>
      </c>
      <c r="F536" s="19">
        <v>531</v>
      </c>
      <c r="G536" s="22">
        <v>45400</v>
      </c>
      <c r="H536" s="31">
        <f t="shared" si="17"/>
        <v>1237000</v>
      </c>
      <c r="I536" s="31">
        <f t="shared" si="18"/>
        <v>1208000</v>
      </c>
    </row>
    <row r="537" spans="1:9" x14ac:dyDescent="0.3">
      <c r="A537" s="3">
        <v>532</v>
      </c>
      <c r="B537" s="24">
        <v>45391</v>
      </c>
      <c r="C537" s="7">
        <v>1208000</v>
      </c>
      <c r="D537" s="5">
        <v>1179000</v>
      </c>
      <c r="F537" s="19">
        <v>532</v>
      </c>
      <c r="G537" s="22">
        <v>45399</v>
      </c>
      <c r="H537" s="31">
        <f t="shared" si="17"/>
        <v>1223000</v>
      </c>
      <c r="I537" s="31">
        <f t="shared" si="18"/>
        <v>1194000</v>
      </c>
    </row>
    <row r="538" spans="1:9" x14ac:dyDescent="0.3">
      <c r="A538" s="3">
        <v>533</v>
      </c>
      <c r="B538" s="23">
        <v>45390</v>
      </c>
      <c r="C538" s="6">
        <v>1191000</v>
      </c>
      <c r="D538" s="4">
        <v>1162000</v>
      </c>
      <c r="F538" s="19">
        <v>533</v>
      </c>
      <c r="G538" s="22">
        <v>45398</v>
      </c>
      <c r="H538" s="31">
        <f t="shared" si="17"/>
        <v>1223000</v>
      </c>
      <c r="I538" s="31">
        <f t="shared" si="18"/>
        <v>1194000</v>
      </c>
    </row>
    <row r="539" spans="1:9" x14ac:dyDescent="0.3">
      <c r="A539" s="3">
        <v>534</v>
      </c>
      <c r="B539" s="24">
        <v>45389</v>
      </c>
      <c r="C539" s="7">
        <v>1201000</v>
      </c>
      <c r="D539" s="5">
        <v>1172000</v>
      </c>
      <c r="F539" s="19">
        <v>534</v>
      </c>
      <c r="G539" s="22">
        <v>45397</v>
      </c>
      <c r="H539" s="31">
        <f t="shared" si="17"/>
        <v>1217000</v>
      </c>
      <c r="I539" s="31">
        <f t="shared" si="18"/>
        <v>1188000</v>
      </c>
    </row>
    <row r="540" spans="1:9" x14ac:dyDescent="0.3">
      <c r="A540" s="3">
        <v>535</v>
      </c>
      <c r="B540" s="23">
        <v>45388</v>
      </c>
      <c r="C540" s="6">
        <v>1201000</v>
      </c>
      <c r="D540" s="4">
        <v>1172000</v>
      </c>
      <c r="F540" s="19">
        <v>535</v>
      </c>
      <c r="G540" s="22">
        <v>45396</v>
      </c>
      <c r="H540" s="31">
        <f t="shared" si="17"/>
        <v>1212000</v>
      </c>
      <c r="I540" s="31">
        <f t="shared" si="18"/>
        <v>1183000</v>
      </c>
    </row>
    <row r="541" spans="1:9" x14ac:dyDescent="0.3">
      <c r="A541" s="3">
        <v>536</v>
      </c>
      <c r="B541" s="24">
        <v>45387</v>
      </c>
      <c r="C541" s="7">
        <v>1181000</v>
      </c>
      <c r="D541" s="5">
        <v>1152000</v>
      </c>
      <c r="F541" s="19">
        <v>536</v>
      </c>
      <c r="G541" s="22">
        <v>45395</v>
      </c>
      <c r="H541" s="31">
        <f t="shared" si="17"/>
        <v>1212000</v>
      </c>
      <c r="I541" s="31">
        <f t="shared" si="18"/>
        <v>1183000</v>
      </c>
    </row>
    <row r="542" spans="1:9" x14ac:dyDescent="0.3">
      <c r="A542" s="3">
        <v>537</v>
      </c>
      <c r="B542" s="23">
        <v>45386</v>
      </c>
      <c r="C542" s="6">
        <v>1185000</v>
      </c>
      <c r="D542" s="4">
        <v>1157000</v>
      </c>
      <c r="F542" s="19">
        <v>537</v>
      </c>
      <c r="G542" s="22">
        <v>45394</v>
      </c>
      <c r="H542" s="31">
        <f t="shared" si="17"/>
        <v>1226000</v>
      </c>
      <c r="I542" s="31">
        <f t="shared" si="18"/>
        <v>1197000</v>
      </c>
    </row>
    <row r="543" spans="1:9" x14ac:dyDescent="0.3">
      <c r="A543" s="3">
        <v>538</v>
      </c>
      <c r="B543" s="24">
        <v>45385</v>
      </c>
      <c r="C543" s="7">
        <v>1178000</v>
      </c>
      <c r="D543" s="5">
        <v>1152000</v>
      </c>
      <c r="F543" s="19">
        <v>538</v>
      </c>
      <c r="G543" s="22">
        <v>45393</v>
      </c>
      <c r="H543" s="31">
        <f t="shared" si="17"/>
        <v>1208000</v>
      </c>
      <c r="I543" s="31">
        <f t="shared" si="18"/>
        <v>1179000</v>
      </c>
    </row>
    <row r="544" spans="1:9" x14ac:dyDescent="0.3">
      <c r="A544" s="3">
        <v>539</v>
      </c>
      <c r="B544" s="23">
        <v>45384</v>
      </c>
      <c r="C544" s="6">
        <v>1158000</v>
      </c>
      <c r="D544" s="4">
        <v>1132000</v>
      </c>
      <c r="F544" s="19">
        <v>539</v>
      </c>
      <c r="G544" s="22">
        <v>45392</v>
      </c>
      <c r="H544" s="31">
        <f t="shared" si="17"/>
        <v>1179000</v>
      </c>
      <c r="I544" s="31">
        <f t="shared" si="18"/>
        <v>1208000</v>
      </c>
    </row>
    <row r="545" spans="1:9" x14ac:dyDescent="0.3">
      <c r="A545" s="3">
        <v>540</v>
      </c>
      <c r="B545" s="24">
        <v>45383</v>
      </c>
      <c r="C545" s="7">
        <v>1156000</v>
      </c>
      <c r="D545" s="5">
        <v>1130000</v>
      </c>
      <c r="F545" s="19">
        <v>540</v>
      </c>
      <c r="G545" s="22">
        <v>45391</v>
      </c>
      <c r="H545" s="31">
        <f t="shared" si="17"/>
        <v>1208000</v>
      </c>
      <c r="I545" s="31">
        <f t="shared" si="18"/>
        <v>1179000</v>
      </c>
    </row>
    <row r="546" spans="1:9" x14ac:dyDescent="0.3">
      <c r="A546" s="3">
        <v>541</v>
      </c>
      <c r="B546" s="23">
        <v>45382</v>
      </c>
      <c r="C546" s="6">
        <v>1151000</v>
      </c>
      <c r="D546" s="4">
        <v>1125000</v>
      </c>
      <c r="F546" s="19">
        <v>541</v>
      </c>
      <c r="G546" s="22">
        <v>45390</v>
      </c>
      <c r="H546" s="31">
        <f t="shared" si="17"/>
        <v>1191000</v>
      </c>
      <c r="I546" s="31">
        <f t="shared" si="18"/>
        <v>1162000</v>
      </c>
    </row>
    <row r="547" spans="1:9" x14ac:dyDescent="0.3">
      <c r="A547" s="3">
        <v>542</v>
      </c>
      <c r="B547" s="24">
        <v>45381</v>
      </c>
      <c r="C547" s="7">
        <v>1151000</v>
      </c>
      <c r="D547" s="5">
        <v>1125000</v>
      </c>
      <c r="F547" s="19">
        <v>542</v>
      </c>
      <c r="G547" s="22">
        <v>45389</v>
      </c>
      <c r="H547" s="31">
        <f t="shared" si="17"/>
        <v>1201000</v>
      </c>
      <c r="I547" s="31">
        <f t="shared" si="18"/>
        <v>1172000</v>
      </c>
    </row>
    <row r="548" spans="1:9" x14ac:dyDescent="0.3">
      <c r="A548" s="3">
        <v>543</v>
      </c>
      <c r="B548" s="23">
        <v>45380</v>
      </c>
      <c r="C548" s="6">
        <v>1151000</v>
      </c>
      <c r="D548" s="4">
        <v>1125000</v>
      </c>
      <c r="F548" s="19">
        <v>543</v>
      </c>
      <c r="G548" s="22">
        <v>45388</v>
      </c>
      <c r="H548" s="31">
        <f t="shared" si="17"/>
        <v>1201000</v>
      </c>
      <c r="I548" s="31">
        <f t="shared" si="18"/>
        <v>1172000</v>
      </c>
    </row>
    <row r="549" spans="1:9" x14ac:dyDescent="0.3">
      <c r="A549" s="3">
        <v>544</v>
      </c>
      <c r="B549" s="24">
        <v>45379</v>
      </c>
      <c r="C549" s="7">
        <v>1124000</v>
      </c>
      <c r="D549" s="5">
        <v>1098000</v>
      </c>
      <c r="F549" s="19">
        <v>544</v>
      </c>
      <c r="G549" s="22">
        <v>45387</v>
      </c>
      <c r="H549" s="31">
        <f t="shared" si="17"/>
        <v>1181000</v>
      </c>
      <c r="I549" s="31">
        <f t="shared" si="18"/>
        <v>1152000</v>
      </c>
    </row>
    <row r="550" spans="1:9" x14ac:dyDescent="0.3">
      <c r="A550" s="3">
        <v>545</v>
      </c>
      <c r="B550" s="23">
        <v>45378</v>
      </c>
      <c r="C550" s="6">
        <v>1119000</v>
      </c>
      <c r="D550" s="4">
        <v>1093000</v>
      </c>
      <c r="F550" s="19">
        <v>545</v>
      </c>
      <c r="G550" s="22">
        <v>45386</v>
      </c>
      <c r="H550" s="31">
        <f t="shared" si="17"/>
        <v>1185000</v>
      </c>
      <c r="I550" s="31">
        <f t="shared" si="18"/>
        <v>1157000</v>
      </c>
    </row>
    <row r="551" spans="1:9" x14ac:dyDescent="0.3">
      <c r="A551" s="3">
        <v>546</v>
      </c>
      <c r="B551" s="24">
        <v>45377</v>
      </c>
      <c r="C551" s="7">
        <v>1115000</v>
      </c>
      <c r="D551" s="5">
        <v>1089000</v>
      </c>
      <c r="F551" s="19">
        <v>546</v>
      </c>
      <c r="G551" s="22">
        <v>45385</v>
      </c>
      <c r="H551" s="31">
        <f t="shared" si="17"/>
        <v>1178000</v>
      </c>
      <c r="I551" s="31">
        <f t="shared" si="18"/>
        <v>1152000</v>
      </c>
    </row>
    <row r="552" spans="1:9" x14ac:dyDescent="0.3">
      <c r="A552" s="3">
        <v>547</v>
      </c>
      <c r="B552" s="23">
        <v>45376</v>
      </c>
      <c r="C552" s="6">
        <v>1105000</v>
      </c>
      <c r="D552" s="4">
        <v>1079000</v>
      </c>
      <c r="F552" s="19">
        <v>547</v>
      </c>
      <c r="G552" s="22">
        <v>45384</v>
      </c>
      <c r="H552" s="31">
        <f t="shared" si="17"/>
        <v>1158000</v>
      </c>
      <c r="I552" s="31">
        <f t="shared" si="18"/>
        <v>1132000</v>
      </c>
    </row>
    <row r="553" spans="1:9" x14ac:dyDescent="0.3">
      <c r="A553" s="3">
        <v>548</v>
      </c>
      <c r="B553" s="24">
        <v>45375</v>
      </c>
      <c r="C553" s="7">
        <v>1105000</v>
      </c>
      <c r="D553" s="5">
        <v>1079000</v>
      </c>
      <c r="F553" s="19">
        <v>548</v>
      </c>
      <c r="G553" s="22">
        <v>45383</v>
      </c>
      <c r="H553" s="31">
        <f t="shared" si="17"/>
        <v>1156000</v>
      </c>
      <c r="I553" s="31">
        <f t="shared" si="18"/>
        <v>1130000</v>
      </c>
    </row>
    <row r="554" spans="1:9" x14ac:dyDescent="0.3">
      <c r="A554" s="3">
        <v>549</v>
      </c>
      <c r="B554" s="23">
        <v>45374</v>
      </c>
      <c r="C554" s="6">
        <v>1105000</v>
      </c>
      <c r="D554" s="4">
        <v>1079000</v>
      </c>
      <c r="F554" s="19">
        <v>549</v>
      </c>
      <c r="G554" s="22">
        <v>45382</v>
      </c>
      <c r="H554" s="31">
        <f t="shared" si="17"/>
        <v>1151000</v>
      </c>
      <c r="I554" s="31">
        <f t="shared" si="18"/>
        <v>1125000</v>
      </c>
    </row>
    <row r="555" spans="1:9" x14ac:dyDescent="0.3">
      <c r="A555" s="3">
        <v>550</v>
      </c>
      <c r="B555" s="24">
        <v>45373</v>
      </c>
      <c r="C555" s="7">
        <v>1113000</v>
      </c>
      <c r="D555" s="5">
        <v>1087000</v>
      </c>
      <c r="F555" s="19">
        <v>550</v>
      </c>
      <c r="G555" s="22">
        <v>45381</v>
      </c>
      <c r="H555" s="31">
        <f t="shared" si="17"/>
        <v>1151000</v>
      </c>
      <c r="I555" s="31">
        <f t="shared" si="18"/>
        <v>1125000</v>
      </c>
    </row>
    <row r="556" spans="1:9" x14ac:dyDescent="0.3">
      <c r="A556" s="3">
        <v>551</v>
      </c>
      <c r="B556" s="23">
        <v>45372</v>
      </c>
      <c r="C556" s="6">
        <v>1121000</v>
      </c>
      <c r="D556" s="4">
        <v>1095000</v>
      </c>
      <c r="F556" s="19">
        <v>551</v>
      </c>
      <c r="G556" s="22">
        <v>45380</v>
      </c>
      <c r="H556" s="31">
        <f t="shared" si="17"/>
        <v>1151000</v>
      </c>
      <c r="I556" s="31">
        <f t="shared" si="18"/>
        <v>1125000</v>
      </c>
    </row>
    <row r="557" spans="1:9" x14ac:dyDescent="0.3">
      <c r="A557" s="3">
        <v>552</v>
      </c>
      <c r="B557" s="24">
        <v>45371</v>
      </c>
      <c r="C557" s="7">
        <v>1101000</v>
      </c>
      <c r="D557" s="5">
        <v>1075000</v>
      </c>
      <c r="F557" s="19">
        <v>552</v>
      </c>
      <c r="G557" s="22">
        <v>45379</v>
      </c>
      <c r="H557" s="31">
        <f t="shared" si="17"/>
        <v>1124000</v>
      </c>
      <c r="I557" s="31">
        <f t="shared" si="18"/>
        <v>1098000</v>
      </c>
    </row>
    <row r="558" spans="1:9" x14ac:dyDescent="0.3">
      <c r="A558" s="3">
        <v>553</v>
      </c>
      <c r="B558" s="23">
        <v>45370</v>
      </c>
      <c r="C558" s="6">
        <v>1101000</v>
      </c>
      <c r="D558" s="4">
        <v>1075000</v>
      </c>
      <c r="F558" s="19">
        <v>553</v>
      </c>
      <c r="G558" s="22">
        <v>45378</v>
      </c>
      <c r="H558" s="31">
        <f t="shared" si="17"/>
        <v>1119000</v>
      </c>
      <c r="I558" s="31">
        <f t="shared" si="18"/>
        <v>1093000</v>
      </c>
    </row>
    <row r="559" spans="1:9" x14ac:dyDescent="0.3">
      <c r="A559" s="3">
        <v>554</v>
      </c>
      <c r="B559" s="24">
        <v>45369</v>
      </c>
      <c r="C559" s="7">
        <v>1095000</v>
      </c>
      <c r="D559" s="5">
        <v>1069000</v>
      </c>
      <c r="F559" s="19">
        <v>554</v>
      </c>
      <c r="G559" s="22">
        <v>45377</v>
      </c>
      <c r="H559" s="31">
        <f t="shared" si="17"/>
        <v>1115000</v>
      </c>
      <c r="I559" s="31">
        <f t="shared" si="18"/>
        <v>1089000</v>
      </c>
    </row>
    <row r="560" spans="1:9" x14ac:dyDescent="0.3">
      <c r="A560" s="3">
        <v>555</v>
      </c>
      <c r="B560" s="23">
        <v>45368</v>
      </c>
      <c r="C560" s="6">
        <v>1095000</v>
      </c>
      <c r="D560" s="4">
        <v>1069000</v>
      </c>
      <c r="F560" s="19">
        <v>555</v>
      </c>
      <c r="G560" s="22">
        <v>45376</v>
      </c>
      <c r="H560" s="31">
        <f t="shared" si="17"/>
        <v>1105000</v>
      </c>
      <c r="I560" s="31">
        <f t="shared" si="18"/>
        <v>1079000</v>
      </c>
    </row>
    <row r="561" spans="1:9" x14ac:dyDescent="0.3">
      <c r="A561" s="3">
        <v>556</v>
      </c>
      <c r="B561" s="24">
        <v>45367</v>
      </c>
      <c r="C561" s="7">
        <v>1095000</v>
      </c>
      <c r="D561" s="5">
        <v>1069000</v>
      </c>
      <c r="F561" s="19">
        <v>556</v>
      </c>
      <c r="G561" s="22">
        <v>45375</v>
      </c>
      <c r="H561" s="31">
        <f t="shared" si="17"/>
        <v>1105000</v>
      </c>
      <c r="I561" s="31">
        <f t="shared" si="18"/>
        <v>1079000</v>
      </c>
    </row>
    <row r="562" spans="1:9" x14ac:dyDescent="0.3">
      <c r="A562" s="3">
        <v>557</v>
      </c>
      <c r="B562" s="23">
        <v>45366</v>
      </c>
      <c r="C562" s="6">
        <v>1096000</v>
      </c>
      <c r="D562" s="4">
        <v>1070000</v>
      </c>
      <c r="F562" s="19">
        <v>557</v>
      </c>
      <c r="G562" s="22">
        <v>45374</v>
      </c>
      <c r="H562" s="31">
        <f t="shared" si="17"/>
        <v>1105000</v>
      </c>
      <c r="I562" s="31">
        <f t="shared" si="18"/>
        <v>1079000</v>
      </c>
    </row>
    <row r="563" spans="1:9" x14ac:dyDescent="0.3">
      <c r="A563" s="3">
        <v>558</v>
      </c>
      <c r="B563" s="24">
        <v>45365</v>
      </c>
      <c r="C563" s="7">
        <v>1105000</v>
      </c>
      <c r="D563" s="5">
        <v>1079000</v>
      </c>
      <c r="F563" s="19">
        <v>558</v>
      </c>
      <c r="G563" s="22">
        <v>45373</v>
      </c>
      <c r="H563" s="31">
        <f t="shared" si="17"/>
        <v>1113000</v>
      </c>
      <c r="I563" s="31">
        <f t="shared" si="18"/>
        <v>1087000</v>
      </c>
    </row>
    <row r="564" spans="1:9" x14ac:dyDescent="0.3">
      <c r="A564" s="3">
        <v>559</v>
      </c>
      <c r="B564" s="23">
        <v>45364</v>
      </c>
      <c r="C564" s="6">
        <v>1102000</v>
      </c>
      <c r="D564" s="4">
        <v>1076000</v>
      </c>
      <c r="F564" s="19">
        <v>559</v>
      </c>
      <c r="G564" s="22">
        <v>45372</v>
      </c>
      <c r="H564" s="31">
        <f t="shared" si="17"/>
        <v>1121000</v>
      </c>
      <c r="I564" s="31">
        <f t="shared" si="18"/>
        <v>1095000</v>
      </c>
    </row>
    <row r="565" spans="1:9" x14ac:dyDescent="0.3">
      <c r="A565" s="3">
        <v>560</v>
      </c>
      <c r="B565" s="24">
        <v>45363</v>
      </c>
      <c r="C565" s="7">
        <v>1112000</v>
      </c>
      <c r="D565" s="5">
        <v>1086000</v>
      </c>
      <c r="F565" s="19">
        <v>560</v>
      </c>
      <c r="G565" s="22">
        <v>45371</v>
      </c>
      <c r="H565" s="31">
        <f t="shared" si="17"/>
        <v>1101000</v>
      </c>
      <c r="I565" s="31">
        <f t="shared" si="18"/>
        <v>1075000</v>
      </c>
    </row>
    <row r="566" spans="1:9" x14ac:dyDescent="0.3">
      <c r="A566" s="3">
        <v>561</v>
      </c>
      <c r="B566" s="23">
        <v>45362</v>
      </c>
      <c r="C566" s="6">
        <v>1110000</v>
      </c>
      <c r="D566" s="4">
        <v>1084000</v>
      </c>
      <c r="F566" s="19">
        <v>561</v>
      </c>
      <c r="G566" s="22">
        <v>45370</v>
      </c>
      <c r="H566" s="31">
        <f t="shared" si="17"/>
        <v>1101000</v>
      </c>
      <c r="I566" s="31">
        <f t="shared" si="18"/>
        <v>1075000</v>
      </c>
    </row>
    <row r="567" spans="1:9" x14ac:dyDescent="0.3">
      <c r="A567" s="3">
        <v>562</v>
      </c>
      <c r="B567" s="24">
        <v>45361</v>
      </c>
      <c r="C567" s="7">
        <v>1110000</v>
      </c>
      <c r="D567" s="5">
        <v>1084000</v>
      </c>
      <c r="F567" s="19">
        <v>562</v>
      </c>
      <c r="G567" s="22">
        <v>45369</v>
      </c>
      <c r="H567" s="31">
        <f t="shared" si="17"/>
        <v>1095000</v>
      </c>
      <c r="I567" s="31">
        <f t="shared" si="18"/>
        <v>1069000</v>
      </c>
    </row>
    <row r="568" spans="1:9" x14ac:dyDescent="0.3">
      <c r="A568" s="3">
        <v>563</v>
      </c>
      <c r="B568" s="23">
        <v>45360</v>
      </c>
      <c r="C568" s="6">
        <v>1110000</v>
      </c>
      <c r="D568" s="4">
        <v>1084000</v>
      </c>
      <c r="F568" s="19">
        <v>563</v>
      </c>
      <c r="G568" s="22">
        <v>45368</v>
      </c>
      <c r="H568" s="31">
        <f t="shared" si="17"/>
        <v>1095000</v>
      </c>
      <c r="I568" s="31">
        <f t="shared" si="18"/>
        <v>1069000</v>
      </c>
    </row>
    <row r="569" spans="1:9" x14ac:dyDescent="0.3">
      <c r="A569" s="3">
        <v>564</v>
      </c>
      <c r="B569" s="24">
        <v>45359</v>
      </c>
      <c r="C569" s="7">
        <v>1108000</v>
      </c>
      <c r="D569" s="5">
        <v>1079000</v>
      </c>
      <c r="F569" s="19">
        <v>564</v>
      </c>
      <c r="G569" s="22">
        <v>45367</v>
      </c>
      <c r="H569" s="31">
        <f t="shared" si="17"/>
        <v>1095000</v>
      </c>
      <c r="I569" s="31">
        <f t="shared" si="18"/>
        <v>1069000</v>
      </c>
    </row>
    <row r="570" spans="1:9" x14ac:dyDescent="0.3">
      <c r="A570" s="3">
        <v>565</v>
      </c>
      <c r="B570" s="23">
        <v>45358</v>
      </c>
      <c r="C570" s="6">
        <v>1103000</v>
      </c>
      <c r="D570" s="4">
        <v>1074000</v>
      </c>
      <c r="F570" s="19">
        <v>565</v>
      </c>
      <c r="G570" s="22">
        <v>45366</v>
      </c>
      <c r="H570" s="31">
        <f t="shared" si="17"/>
        <v>1096000</v>
      </c>
      <c r="I570" s="31">
        <f t="shared" si="18"/>
        <v>1070000</v>
      </c>
    </row>
    <row r="571" spans="1:9" x14ac:dyDescent="0.3">
      <c r="A571" s="3">
        <v>566</v>
      </c>
      <c r="B571" s="24">
        <v>45357</v>
      </c>
      <c r="C571" s="7">
        <v>1090000</v>
      </c>
      <c r="D571" s="5">
        <v>1061000</v>
      </c>
      <c r="F571" s="19">
        <v>566</v>
      </c>
      <c r="G571" s="22">
        <v>45365</v>
      </c>
      <c r="H571" s="31">
        <f t="shared" si="17"/>
        <v>1105000</v>
      </c>
      <c r="I571" s="31">
        <f t="shared" si="18"/>
        <v>1079000</v>
      </c>
    </row>
    <row r="572" spans="1:9" x14ac:dyDescent="0.3">
      <c r="A572" s="3">
        <v>567</v>
      </c>
      <c r="B572" s="23">
        <v>45356</v>
      </c>
      <c r="C572" s="6">
        <v>1081000</v>
      </c>
      <c r="D572" s="4">
        <v>1055000</v>
      </c>
      <c r="F572" s="19">
        <v>567</v>
      </c>
      <c r="G572" s="22">
        <v>45364</v>
      </c>
      <c r="H572" s="31">
        <f t="shared" si="17"/>
        <v>1102000</v>
      </c>
      <c r="I572" s="31">
        <f t="shared" si="18"/>
        <v>1076000</v>
      </c>
    </row>
    <row r="573" spans="1:9" x14ac:dyDescent="0.3">
      <c r="A573" s="3">
        <v>568</v>
      </c>
      <c r="B573" s="24">
        <v>45355</v>
      </c>
      <c r="C573" s="7">
        <v>1066000</v>
      </c>
      <c r="D573" s="5">
        <v>1040000</v>
      </c>
      <c r="F573" s="19">
        <v>568</v>
      </c>
      <c r="G573" s="22">
        <v>45363</v>
      </c>
      <c r="H573" s="31">
        <f t="shared" si="17"/>
        <v>1112000</v>
      </c>
      <c r="I573" s="31">
        <f t="shared" si="18"/>
        <v>1086000</v>
      </c>
    </row>
    <row r="574" spans="1:9" x14ac:dyDescent="0.3">
      <c r="A574" s="3">
        <v>569</v>
      </c>
      <c r="B574" s="23">
        <v>45354</v>
      </c>
      <c r="C574" s="6">
        <v>1066000</v>
      </c>
      <c r="D574" s="4">
        <v>1040000</v>
      </c>
      <c r="F574" s="19">
        <v>569</v>
      </c>
      <c r="G574" s="22">
        <v>45362</v>
      </c>
      <c r="H574" s="31">
        <f t="shared" si="17"/>
        <v>1110000</v>
      </c>
      <c r="I574" s="31">
        <f t="shared" si="18"/>
        <v>1084000</v>
      </c>
    </row>
    <row r="575" spans="1:9" x14ac:dyDescent="0.3">
      <c r="A575" s="3">
        <v>570</v>
      </c>
      <c r="B575" s="24">
        <v>45353</v>
      </c>
      <c r="C575" s="7">
        <v>1066000</v>
      </c>
      <c r="D575" s="5">
        <v>1040000</v>
      </c>
      <c r="F575" s="19">
        <v>570</v>
      </c>
      <c r="G575" s="22">
        <v>45361</v>
      </c>
      <c r="H575" s="31">
        <f t="shared" si="17"/>
        <v>1110000</v>
      </c>
      <c r="I575" s="31">
        <f t="shared" si="18"/>
        <v>1084000</v>
      </c>
    </row>
    <row r="576" spans="1:9" x14ac:dyDescent="0.3">
      <c r="A576" s="3">
        <v>571</v>
      </c>
      <c r="B576" s="23">
        <v>45352</v>
      </c>
      <c r="C576" s="6">
        <v>1046000</v>
      </c>
      <c r="D576" s="4">
        <v>1017000</v>
      </c>
      <c r="F576" s="19">
        <v>571</v>
      </c>
      <c r="G576" s="22">
        <v>45360</v>
      </c>
      <c r="H576" s="31">
        <f t="shared" si="17"/>
        <v>1110000</v>
      </c>
      <c r="I576" s="31">
        <f t="shared" si="18"/>
        <v>1084000</v>
      </c>
    </row>
    <row r="577" spans="1:9" x14ac:dyDescent="0.3">
      <c r="A577" s="3">
        <v>572</v>
      </c>
      <c r="B577" s="24">
        <v>45351</v>
      </c>
      <c r="C577" s="7">
        <v>1040000</v>
      </c>
      <c r="D577" s="5">
        <v>1014000</v>
      </c>
      <c r="F577" s="19">
        <v>572</v>
      </c>
      <c r="G577" s="22">
        <v>45359</v>
      </c>
      <c r="H577" s="31">
        <f t="shared" si="17"/>
        <v>1108000</v>
      </c>
      <c r="I577" s="31">
        <f t="shared" si="18"/>
        <v>1079000</v>
      </c>
    </row>
    <row r="578" spans="1:9" x14ac:dyDescent="0.3">
      <c r="A578" s="3">
        <v>573</v>
      </c>
      <c r="B578" s="23">
        <v>45350</v>
      </c>
      <c r="C578" s="6">
        <v>1036000</v>
      </c>
      <c r="D578" s="4">
        <v>1010000</v>
      </c>
      <c r="F578" s="19">
        <v>573</v>
      </c>
      <c r="G578" s="22">
        <v>45358</v>
      </c>
      <c r="H578" s="31">
        <f t="shared" si="17"/>
        <v>1103000</v>
      </c>
      <c r="I578" s="31">
        <f t="shared" si="18"/>
        <v>1074000</v>
      </c>
    </row>
    <row r="579" spans="1:9" x14ac:dyDescent="0.3">
      <c r="A579" s="3">
        <v>574</v>
      </c>
      <c r="B579" s="24">
        <v>45349</v>
      </c>
      <c r="C579" s="7">
        <v>1034000</v>
      </c>
      <c r="D579" s="5">
        <v>1008000</v>
      </c>
      <c r="F579" s="19">
        <v>574</v>
      </c>
      <c r="G579" s="22">
        <v>45357</v>
      </c>
      <c r="H579" s="31">
        <f t="shared" si="17"/>
        <v>1090000</v>
      </c>
      <c r="I579" s="31">
        <f t="shared" si="18"/>
        <v>1061000</v>
      </c>
    </row>
    <row r="580" spans="1:9" x14ac:dyDescent="0.3">
      <c r="A580" s="3">
        <v>575</v>
      </c>
      <c r="B580" s="23">
        <v>45348</v>
      </c>
      <c r="C580" s="6">
        <v>1037000</v>
      </c>
      <c r="D580" s="4">
        <v>1011000</v>
      </c>
      <c r="F580" s="19">
        <v>575</v>
      </c>
      <c r="G580" s="22">
        <v>45356</v>
      </c>
      <c r="H580" s="31">
        <f t="shared" si="17"/>
        <v>1081000</v>
      </c>
      <c r="I580" s="31">
        <f t="shared" si="18"/>
        <v>1055000</v>
      </c>
    </row>
    <row r="581" spans="1:9" x14ac:dyDescent="0.3">
      <c r="A581" s="3">
        <v>576</v>
      </c>
      <c r="B581" s="24">
        <v>45347</v>
      </c>
      <c r="C581" s="7">
        <v>1038000</v>
      </c>
      <c r="D581" s="5">
        <v>1012000</v>
      </c>
      <c r="F581" s="19">
        <v>576</v>
      </c>
      <c r="G581" s="22">
        <v>45355</v>
      </c>
      <c r="H581" s="31">
        <f t="shared" si="17"/>
        <v>1066000</v>
      </c>
      <c r="I581" s="31">
        <f t="shared" si="18"/>
        <v>1040000</v>
      </c>
    </row>
    <row r="582" spans="1:9" x14ac:dyDescent="0.3">
      <c r="A582" s="3">
        <v>577</v>
      </c>
      <c r="B582" s="23">
        <v>45346</v>
      </c>
      <c r="C582" s="6">
        <v>1038000</v>
      </c>
      <c r="D582" s="4">
        <v>1012000</v>
      </c>
      <c r="F582" s="19">
        <v>577</v>
      </c>
      <c r="G582" s="22">
        <v>45354</v>
      </c>
      <c r="H582" s="31">
        <f t="shared" ref="H582:H645" si="19">_xlfn.XLOOKUP(G582,$B$6:$B$994,$C$6:$C$994,,-1)</f>
        <v>1066000</v>
      </c>
      <c r="I582" s="31">
        <f t="shared" ref="I582:I645" si="20">_xlfn.XLOOKUP(G582,$B$6:$B$994,$D$6:$D$994,,-1)</f>
        <v>1040000</v>
      </c>
    </row>
    <row r="583" spans="1:9" x14ac:dyDescent="0.3">
      <c r="A583" s="3">
        <v>578</v>
      </c>
      <c r="B583" s="24">
        <v>45345</v>
      </c>
      <c r="C583" s="7">
        <v>1035000</v>
      </c>
      <c r="D583" s="5">
        <v>1009000</v>
      </c>
      <c r="F583" s="19">
        <v>578</v>
      </c>
      <c r="G583" s="22">
        <v>45353</v>
      </c>
      <c r="H583" s="31">
        <f t="shared" si="19"/>
        <v>1066000</v>
      </c>
      <c r="I583" s="31">
        <f t="shared" si="20"/>
        <v>1040000</v>
      </c>
    </row>
    <row r="584" spans="1:9" x14ac:dyDescent="0.3">
      <c r="A584" s="3">
        <v>579</v>
      </c>
      <c r="B584" s="23">
        <v>45344</v>
      </c>
      <c r="C584" s="6">
        <v>1035000</v>
      </c>
      <c r="D584" s="4">
        <v>1009000</v>
      </c>
      <c r="F584" s="19">
        <v>579</v>
      </c>
      <c r="G584" s="22">
        <v>45352</v>
      </c>
      <c r="H584" s="31">
        <f t="shared" si="19"/>
        <v>1046000</v>
      </c>
      <c r="I584" s="31">
        <f t="shared" si="20"/>
        <v>1017000</v>
      </c>
    </row>
    <row r="585" spans="1:9" x14ac:dyDescent="0.3">
      <c r="A585" s="3">
        <v>580</v>
      </c>
      <c r="B585" s="24">
        <v>45343</v>
      </c>
      <c r="C585" s="7">
        <v>1033000</v>
      </c>
      <c r="D585" s="5">
        <v>1007000</v>
      </c>
      <c r="F585" s="19">
        <v>580</v>
      </c>
      <c r="G585" s="22">
        <v>45351</v>
      </c>
      <c r="H585" s="31">
        <f t="shared" si="19"/>
        <v>1040000</v>
      </c>
      <c r="I585" s="31">
        <f t="shared" si="20"/>
        <v>1014000</v>
      </c>
    </row>
    <row r="586" spans="1:9" x14ac:dyDescent="0.3">
      <c r="A586" s="3">
        <v>581</v>
      </c>
      <c r="B586" s="23">
        <v>45342</v>
      </c>
      <c r="C586" s="6">
        <v>1030000</v>
      </c>
      <c r="D586" s="4">
        <v>1004000</v>
      </c>
      <c r="F586" s="19">
        <v>581</v>
      </c>
      <c r="G586" s="22">
        <v>45350</v>
      </c>
      <c r="H586" s="31">
        <f t="shared" si="19"/>
        <v>1036000</v>
      </c>
      <c r="I586" s="31">
        <f t="shared" si="20"/>
        <v>1010000</v>
      </c>
    </row>
    <row r="587" spans="1:9" x14ac:dyDescent="0.3">
      <c r="A587" s="3">
        <v>582</v>
      </c>
      <c r="B587" s="24">
        <v>45341</v>
      </c>
      <c r="C587" s="7">
        <v>1027000</v>
      </c>
      <c r="D587" s="5">
        <v>1001000</v>
      </c>
      <c r="F587" s="19">
        <v>582</v>
      </c>
      <c r="G587" s="22">
        <v>45349</v>
      </c>
      <c r="H587" s="31">
        <f t="shared" si="19"/>
        <v>1034000</v>
      </c>
      <c r="I587" s="31">
        <f t="shared" si="20"/>
        <v>1008000</v>
      </c>
    </row>
    <row r="588" spans="1:9" x14ac:dyDescent="0.3">
      <c r="A588" s="3">
        <v>583</v>
      </c>
      <c r="B588" s="23">
        <v>45340</v>
      </c>
      <c r="C588" s="6">
        <v>1026000</v>
      </c>
      <c r="D588" s="4">
        <v>1000000</v>
      </c>
      <c r="F588" s="19">
        <v>583</v>
      </c>
      <c r="G588" s="22">
        <v>45348</v>
      </c>
      <c r="H588" s="31">
        <f t="shared" si="19"/>
        <v>1037000</v>
      </c>
      <c r="I588" s="31">
        <f t="shared" si="20"/>
        <v>1011000</v>
      </c>
    </row>
    <row r="589" spans="1:9" x14ac:dyDescent="0.3">
      <c r="A589" s="3">
        <v>584</v>
      </c>
      <c r="B589" s="24">
        <v>45339</v>
      </c>
      <c r="C589" s="7">
        <v>1026000</v>
      </c>
      <c r="D589" s="5">
        <v>1000000</v>
      </c>
      <c r="F589" s="19">
        <v>584</v>
      </c>
      <c r="G589" s="22">
        <v>45347</v>
      </c>
      <c r="H589" s="31">
        <f t="shared" si="19"/>
        <v>1038000</v>
      </c>
      <c r="I589" s="31">
        <f t="shared" si="20"/>
        <v>1012000</v>
      </c>
    </row>
    <row r="590" spans="1:9" x14ac:dyDescent="0.3">
      <c r="A590" s="3">
        <v>585</v>
      </c>
      <c r="B590" s="23">
        <v>45338</v>
      </c>
      <c r="C590" s="6">
        <v>1022000</v>
      </c>
      <c r="D590" s="4">
        <v>993000</v>
      </c>
      <c r="F590" s="19">
        <v>585</v>
      </c>
      <c r="G590" s="22">
        <v>45346</v>
      </c>
      <c r="H590" s="31">
        <f t="shared" si="19"/>
        <v>1038000</v>
      </c>
      <c r="I590" s="31">
        <f t="shared" si="20"/>
        <v>1012000</v>
      </c>
    </row>
    <row r="591" spans="1:9" x14ac:dyDescent="0.3">
      <c r="A591" s="3">
        <v>586</v>
      </c>
      <c r="B591" s="24">
        <v>45337</v>
      </c>
      <c r="C591" s="7">
        <v>1017000</v>
      </c>
      <c r="D591" s="5">
        <v>991000</v>
      </c>
      <c r="F591" s="19">
        <v>586</v>
      </c>
      <c r="G591" s="22">
        <v>45345</v>
      </c>
      <c r="H591" s="31">
        <f t="shared" si="19"/>
        <v>1035000</v>
      </c>
      <c r="I591" s="31">
        <f t="shared" si="20"/>
        <v>1009000</v>
      </c>
    </row>
    <row r="592" spans="1:9" x14ac:dyDescent="0.3">
      <c r="A592" s="3">
        <v>587</v>
      </c>
      <c r="B592" s="23">
        <v>45335</v>
      </c>
      <c r="C592" s="6">
        <v>1037000</v>
      </c>
      <c r="D592" s="4">
        <v>1011000</v>
      </c>
      <c r="F592" s="19">
        <v>587</v>
      </c>
      <c r="G592" s="22">
        <v>45344</v>
      </c>
      <c r="H592" s="31">
        <f t="shared" si="19"/>
        <v>1035000</v>
      </c>
      <c r="I592" s="31">
        <f t="shared" si="20"/>
        <v>1009000</v>
      </c>
    </row>
    <row r="593" spans="1:9" x14ac:dyDescent="0.3">
      <c r="A593" s="3">
        <v>588</v>
      </c>
      <c r="B593" s="24">
        <v>45334</v>
      </c>
      <c r="C593" s="7">
        <v>1043000</v>
      </c>
      <c r="D593" s="5">
        <v>1017000</v>
      </c>
      <c r="F593" s="19">
        <v>588</v>
      </c>
      <c r="G593" s="22">
        <v>45343</v>
      </c>
      <c r="H593" s="31">
        <f t="shared" si="19"/>
        <v>1033000</v>
      </c>
      <c r="I593" s="31">
        <f t="shared" si="20"/>
        <v>1007000</v>
      </c>
    </row>
    <row r="594" spans="1:9" x14ac:dyDescent="0.3">
      <c r="A594" s="3">
        <v>589</v>
      </c>
      <c r="B594" s="23">
        <v>45333</v>
      </c>
      <c r="C594" s="6">
        <v>1043000</v>
      </c>
      <c r="D594" s="4">
        <v>1017000</v>
      </c>
      <c r="F594" s="19">
        <v>589</v>
      </c>
      <c r="G594" s="22">
        <v>45342</v>
      </c>
      <c r="H594" s="31">
        <f t="shared" si="19"/>
        <v>1030000</v>
      </c>
      <c r="I594" s="31">
        <f t="shared" si="20"/>
        <v>1004000</v>
      </c>
    </row>
    <row r="595" spans="1:9" x14ac:dyDescent="0.3">
      <c r="A595" s="3">
        <v>590</v>
      </c>
      <c r="B595" s="24">
        <v>45332</v>
      </c>
      <c r="C595" s="7">
        <v>1043000</v>
      </c>
      <c r="D595" s="5">
        <v>1017000</v>
      </c>
      <c r="F595" s="19">
        <v>590</v>
      </c>
      <c r="G595" s="22">
        <v>45341</v>
      </c>
      <c r="H595" s="31">
        <f t="shared" si="19"/>
        <v>1027000</v>
      </c>
      <c r="I595" s="31">
        <f t="shared" si="20"/>
        <v>1001000</v>
      </c>
    </row>
    <row r="596" spans="1:9" x14ac:dyDescent="0.3">
      <c r="A596" s="3">
        <v>591</v>
      </c>
      <c r="B596" s="23">
        <v>45331</v>
      </c>
      <c r="C596" s="6">
        <v>1043000</v>
      </c>
      <c r="D596" s="4">
        <v>1017000</v>
      </c>
      <c r="F596" s="19">
        <v>591</v>
      </c>
      <c r="G596" s="22">
        <v>45340</v>
      </c>
      <c r="H596" s="31">
        <f t="shared" si="19"/>
        <v>1026000</v>
      </c>
      <c r="I596" s="31">
        <f t="shared" si="20"/>
        <v>1000000</v>
      </c>
    </row>
    <row r="597" spans="1:9" x14ac:dyDescent="0.3">
      <c r="A597" s="3">
        <v>592</v>
      </c>
      <c r="B597" s="24">
        <v>45330</v>
      </c>
      <c r="C597" s="7">
        <v>1046000</v>
      </c>
      <c r="D597" s="5">
        <v>1017000</v>
      </c>
      <c r="F597" s="19">
        <v>592</v>
      </c>
      <c r="G597" s="22">
        <v>45339</v>
      </c>
      <c r="H597" s="31">
        <f t="shared" si="19"/>
        <v>1026000</v>
      </c>
      <c r="I597" s="31">
        <f t="shared" si="20"/>
        <v>1000000</v>
      </c>
    </row>
    <row r="598" spans="1:9" x14ac:dyDescent="0.3">
      <c r="A598" s="3">
        <v>593</v>
      </c>
      <c r="B598" s="23">
        <v>45329</v>
      </c>
      <c r="C598" s="6">
        <v>1046000</v>
      </c>
      <c r="D598" s="4">
        <v>1017000</v>
      </c>
      <c r="F598" s="19">
        <v>593</v>
      </c>
      <c r="G598" s="22">
        <v>45338</v>
      </c>
      <c r="H598" s="31">
        <f t="shared" si="19"/>
        <v>1022000</v>
      </c>
      <c r="I598" s="31">
        <f t="shared" si="20"/>
        <v>993000</v>
      </c>
    </row>
    <row r="599" spans="1:9" x14ac:dyDescent="0.3">
      <c r="A599" s="3">
        <v>594</v>
      </c>
      <c r="B599" s="24">
        <v>45328</v>
      </c>
      <c r="C599" s="7">
        <v>1040000</v>
      </c>
      <c r="D599" s="5">
        <v>1011000</v>
      </c>
      <c r="F599" s="19">
        <v>594</v>
      </c>
      <c r="G599" s="22">
        <v>45337</v>
      </c>
      <c r="H599" s="31">
        <f t="shared" si="19"/>
        <v>1017000</v>
      </c>
      <c r="I599" s="31">
        <f t="shared" si="20"/>
        <v>991000</v>
      </c>
    </row>
    <row r="600" spans="1:9" x14ac:dyDescent="0.3">
      <c r="A600" s="3">
        <v>595</v>
      </c>
      <c r="B600" s="23">
        <v>45327</v>
      </c>
      <c r="C600" s="6">
        <v>1050000</v>
      </c>
      <c r="D600" s="4">
        <v>1021000</v>
      </c>
      <c r="F600" s="19">
        <v>595</v>
      </c>
      <c r="G600" s="22">
        <v>45336</v>
      </c>
      <c r="H600" s="31">
        <f t="shared" si="19"/>
        <v>1037000</v>
      </c>
      <c r="I600" s="31">
        <f t="shared" si="20"/>
        <v>1011000</v>
      </c>
    </row>
    <row r="601" spans="1:9" x14ac:dyDescent="0.3">
      <c r="A601" s="3">
        <v>596</v>
      </c>
      <c r="B601" s="24">
        <v>45326</v>
      </c>
      <c r="C601" s="7">
        <v>1050000</v>
      </c>
      <c r="D601" s="5">
        <v>1024000</v>
      </c>
      <c r="F601" s="19">
        <v>596</v>
      </c>
      <c r="G601" s="22">
        <v>45335</v>
      </c>
      <c r="H601" s="31">
        <f t="shared" si="19"/>
        <v>1037000</v>
      </c>
      <c r="I601" s="31">
        <f t="shared" si="20"/>
        <v>1011000</v>
      </c>
    </row>
    <row r="602" spans="1:9" x14ac:dyDescent="0.3">
      <c r="A602" s="3">
        <v>597</v>
      </c>
      <c r="B602" s="23">
        <v>45325</v>
      </c>
      <c r="C602" s="6">
        <v>1050000</v>
      </c>
      <c r="D602" s="4">
        <v>1024000</v>
      </c>
      <c r="F602" s="19">
        <v>597</v>
      </c>
      <c r="G602" s="22">
        <v>45334</v>
      </c>
      <c r="H602" s="31">
        <f t="shared" si="19"/>
        <v>1043000</v>
      </c>
      <c r="I602" s="31">
        <f t="shared" si="20"/>
        <v>1017000</v>
      </c>
    </row>
    <row r="603" spans="1:9" x14ac:dyDescent="0.3">
      <c r="A603" s="3">
        <v>598</v>
      </c>
      <c r="B603" s="24">
        <v>45324</v>
      </c>
      <c r="C603" s="7">
        <v>1062000</v>
      </c>
      <c r="D603" s="5">
        <v>1035000</v>
      </c>
      <c r="F603" s="19">
        <v>598</v>
      </c>
      <c r="G603" s="22">
        <v>45333</v>
      </c>
      <c r="H603" s="31">
        <f t="shared" si="19"/>
        <v>1043000</v>
      </c>
      <c r="I603" s="31">
        <f t="shared" si="20"/>
        <v>1017000</v>
      </c>
    </row>
    <row r="604" spans="1:9" x14ac:dyDescent="0.3">
      <c r="A604" s="3">
        <v>599</v>
      </c>
      <c r="B604" s="23">
        <v>45323</v>
      </c>
      <c r="C604" s="6">
        <v>1052000</v>
      </c>
      <c r="D604" s="4">
        <v>1028000</v>
      </c>
      <c r="F604" s="19">
        <v>599</v>
      </c>
      <c r="G604" s="22">
        <v>45332</v>
      </c>
      <c r="H604" s="31">
        <f t="shared" si="19"/>
        <v>1043000</v>
      </c>
      <c r="I604" s="31">
        <f t="shared" si="20"/>
        <v>1017000</v>
      </c>
    </row>
    <row r="605" spans="1:9" x14ac:dyDescent="0.3">
      <c r="A605" s="3">
        <v>600</v>
      </c>
      <c r="B605" s="24">
        <v>45322</v>
      </c>
      <c r="C605" s="7">
        <v>1053000</v>
      </c>
      <c r="D605" s="5">
        <v>1029000</v>
      </c>
      <c r="F605" s="19">
        <v>600</v>
      </c>
      <c r="G605" s="22">
        <v>45331</v>
      </c>
      <c r="H605" s="31">
        <f t="shared" si="19"/>
        <v>1043000</v>
      </c>
      <c r="I605" s="31">
        <f t="shared" si="20"/>
        <v>1017000</v>
      </c>
    </row>
    <row r="606" spans="1:9" x14ac:dyDescent="0.3">
      <c r="A606" s="3">
        <v>601</v>
      </c>
      <c r="B606" s="23">
        <v>45321</v>
      </c>
      <c r="C606" s="6">
        <v>1053000</v>
      </c>
      <c r="D606" s="4">
        <v>1026000</v>
      </c>
      <c r="F606" s="19">
        <v>601</v>
      </c>
      <c r="G606" s="22">
        <v>45330</v>
      </c>
      <c r="H606" s="31">
        <f t="shared" si="19"/>
        <v>1046000</v>
      </c>
      <c r="I606" s="31">
        <f t="shared" si="20"/>
        <v>1017000</v>
      </c>
    </row>
    <row r="607" spans="1:9" x14ac:dyDescent="0.3">
      <c r="A607" s="3">
        <v>602</v>
      </c>
      <c r="B607" s="24">
        <v>45320</v>
      </c>
      <c r="C607" s="7">
        <v>1045000</v>
      </c>
      <c r="D607" s="5">
        <v>1017000</v>
      </c>
      <c r="F607" s="19">
        <v>602</v>
      </c>
      <c r="G607" s="22">
        <v>45329</v>
      </c>
      <c r="H607" s="31">
        <f t="shared" si="19"/>
        <v>1046000</v>
      </c>
      <c r="I607" s="31">
        <f t="shared" si="20"/>
        <v>1017000</v>
      </c>
    </row>
    <row r="608" spans="1:9" x14ac:dyDescent="0.3">
      <c r="A608" s="3">
        <v>603</v>
      </c>
      <c r="B608" s="23">
        <v>45319</v>
      </c>
      <c r="C608" s="6">
        <v>1042000</v>
      </c>
      <c r="D608" s="4">
        <v>1017000</v>
      </c>
      <c r="F608" s="19">
        <v>603</v>
      </c>
      <c r="G608" s="22">
        <v>45328</v>
      </c>
      <c r="H608" s="31">
        <f t="shared" si="19"/>
        <v>1040000</v>
      </c>
      <c r="I608" s="31">
        <f t="shared" si="20"/>
        <v>1011000</v>
      </c>
    </row>
    <row r="609" spans="1:9" x14ac:dyDescent="0.3">
      <c r="A609" s="3">
        <v>604</v>
      </c>
      <c r="B609" s="24">
        <v>45318</v>
      </c>
      <c r="C609" s="7">
        <v>1042000</v>
      </c>
      <c r="D609" s="5">
        <v>1017000</v>
      </c>
      <c r="F609" s="19">
        <v>604</v>
      </c>
      <c r="G609" s="22">
        <v>45327</v>
      </c>
      <c r="H609" s="31">
        <f t="shared" si="19"/>
        <v>1050000</v>
      </c>
      <c r="I609" s="31">
        <f t="shared" si="20"/>
        <v>1021000</v>
      </c>
    </row>
    <row r="610" spans="1:9" x14ac:dyDescent="0.3">
      <c r="A610" s="3">
        <v>605</v>
      </c>
      <c r="B610" s="23">
        <v>45317</v>
      </c>
      <c r="C610" s="6">
        <v>1042000</v>
      </c>
      <c r="D610" s="4">
        <v>1014000</v>
      </c>
      <c r="F610" s="19">
        <v>605</v>
      </c>
      <c r="G610" s="22">
        <v>45326</v>
      </c>
      <c r="H610" s="31">
        <f t="shared" si="19"/>
        <v>1050000</v>
      </c>
      <c r="I610" s="31">
        <f t="shared" si="20"/>
        <v>1024000</v>
      </c>
    </row>
    <row r="611" spans="1:9" x14ac:dyDescent="0.3">
      <c r="A611" s="3">
        <v>606</v>
      </c>
      <c r="B611" s="24">
        <v>45316</v>
      </c>
      <c r="C611" s="7">
        <v>1037000</v>
      </c>
      <c r="D611" s="5">
        <v>1009000</v>
      </c>
      <c r="F611" s="19">
        <v>606</v>
      </c>
      <c r="G611" s="22">
        <v>45325</v>
      </c>
      <c r="H611" s="31">
        <f t="shared" si="19"/>
        <v>1050000</v>
      </c>
      <c r="I611" s="31">
        <f t="shared" si="20"/>
        <v>1024000</v>
      </c>
    </row>
    <row r="612" spans="1:9" x14ac:dyDescent="0.3">
      <c r="A612" s="3">
        <v>607</v>
      </c>
      <c r="B612" s="23">
        <v>45315</v>
      </c>
      <c r="C612" s="6">
        <v>1043000</v>
      </c>
      <c r="D612" s="4">
        <v>1014000</v>
      </c>
      <c r="F612" s="19">
        <v>607</v>
      </c>
      <c r="G612" s="22">
        <v>45324</v>
      </c>
      <c r="H612" s="31">
        <f t="shared" si="19"/>
        <v>1062000</v>
      </c>
      <c r="I612" s="31">
        <f t="shared" si="20"/>
        <v>1035000</v>
      </c>
    </row>
    <row r="613" spans="1:9" x14ac:dyDescent="0.3">
      <c r="A613" s="3">
        <v>608</v>
      </c>
      <c r="B613" s="24">
        <v>45314</v>
      </c>
      <c r="C613" s="7">
        <v>1040000</v>
      </c>
      <c r="D613" s="5">
        <v>1011000</v>
      </c>
      <c r="F613" s="19">
        <v>608</v>
      </c>
      <c r="G613" s="22">
        <v>45323</v>
      </c>
      <c r="H613" s="31">
        <f t="shared" si="19"/>
        <v>1052000</v>
      </c>
      <c r="I613" s="31">
        <f t="shared" si="20"/>
        <v>1028000</v>
      </c>
    </row>
    <row r="614" spans="1:9" x14ac:dyDescent="0.3">
      <c r="A614" s="3">
        <v>609</v>
      </c>
      <c r="B614" s="23">
        <v>45313</v>
      </c>
      <c r="C614" s="6">
        <v>1043000</v>
      </c>
      <c r="D614" s="4">
        <v>1014000</v>
      </c>
      <c r="F614" s="19">
        <v>609</v>
      </c>
      <c r="G614" s="22">
        <v>45322</v>
      </c>
      <c r="H614" s="31">
        <f t="shared" si="19"/>
        <v>1053000</v>
      </c>
      <c r="I614" s="31">
        <f t="shared" si="20"/>
        <v>1029000</v>
      </c>
    </row>
    <row r="615" spans="1:9" x14ac:dyDescent="0.3">
      <c r="A615" s="3">
        <v>610</v>
      </c>
      <c r="B615" s="24">
        <v>45312</v>
      </c>
      <c r="C615" s="7">
        <v>1042000</v>
      </c>
      <c r="D615" s="5">
        <v>1016000</v>
      </c>
      <c r="F615" s="19">
        <v>610</v>
      </c>
      <c r="G615" s="22">
        <v>45321</v>
      </c>
      <c r="H615" s="31">
        <f t="shared" si="19"/>
        <v>1053000</v>
      </c>
      <c r="I615" s="31">
        <f t="shared" si="20"/>
        <v>1026000</v>
      </c>
    </row>
    <row r="616" spans="1:9" x14ac:dyDescent="0.3">
      <c r="A616" s="3">
        <v>611</v>
      </c>
      <c r="B616" s="23">
        <v>45311</v>
      </c>
      <c r="C616" s="6">
        <v>1042000</v>
      </c>
      <c r="D616" s="4">
        <v>1016000</v>
      </c>
      <c r="F616" s="19">
        <v>611</v>
      </c>
      <c r="G616" s="22">
        <v>45320</v>
      </c>
      <c r="H616" s="31">
        <f t="shared" si="19"/>
        <v>1045000</v>
      </c>
      <c r="I616" s="31">
        <f t="shared" si="20"/>
        <v>1017000</v>
      </c>
    </row>
    <row r="617" spans="1:9" x14ac:dyDescent="0.3">
      <c r="A617" s="3">
        <v>612</v>
      </c>
      <c r="B617" s="24">
        <v>45310</v>
      </c>
      <c r="C617" s="7">
        <v>1041000</v>
      </c>
      <c r="D617" s="5">
        <v>1012000</v>
      </c>
      <c r="F617" s="19">
        <v>612</v>
      </c>
      <c r="G617" s="22">
        <v>45319</v>
      </c>
      <c r="H617" s="31">
        <f t="shared" si="19"/>
        <v>1042000</v>
      </c>
      <c r="I617" s="31">
        <f t="shared" si="20"/>
        <v>1017000</v>
      </c>
    </row>
    <row r="618" spans="1:9" x14ac:dyDescent="0.3">
      <c r="A618" s="3">
        <v>613</v>
      </c>
      <c r="B618" s="23">
        <v>45309</v>
      </c>
      <c r="C618" s="6">
        <v>1031000</v>
      </c>
      <c r="D618" s="4">
        <v>1002000</v>
      </c>
      <c r="F618" s="19">
        <v>613</v>
      </c>
      <c r="G618" s="22">
        <v>45318</v>
      </c>
      <c r="H618" s="31">
        <f t="shared" si="19"/>
        <v>1042000</v>
      </c>
      <c r="I618" s="31">
        <f t="shared" si="20"/>
        <v>1017000</v>
      </c>
    </row>
    <row r="619" spans="1:9" x14ac:dyDescent="0.3">
      <c r="A619" s="3">
        <v>614</v>
      </c>
      <c r="B619" s="24">
        <v>45308</v>
      </c>
      <c r="C619" s="7">
        <v>1037000</v>
      </c>
      <c r="D619" s="5">
        <v>1008000</v>
      </c>
      <c r="F619" s="19">
        <v>614</v>
      </c>
      <c r="G619" s="22">
        <v>45317</v>
      </c>
      <c r="H619" s="31">
        <f t="shared" si="19"/>
        <v>1042000</v>
      </c>
      <c r="I619" s="31">
        <f t="shared" si="20"/>
        <v>1014000</v>
      </c>
    </row>
    <row r="620" spans="1:9" x14ac:dyDescent="0.3">
      <c r="A620" s="3">
        <v>615</v>
      </c>
      <c r="B620" s="23">
        <v>45307</v>
      </c>
      <c r="C620" s="6">
        <v>1047000</v>
      </c>
      <c r="D620" s="4">
        <v>1017000</v>
      </c>
      <c r="F620" s="19">
        <v>615</v>
      </c>
      <c r="G620" s="22">
        <v>45316</v>
      </c>
      <c r="H620" s="31">
        <f t="shared" si="19"/>
        <v>1037000</v>
      </c>
      <c r="I620" s="31">
        <f t="shared" si="20"/>
        <v>1009000</v>
      </c>
    </row>
    <row r="621" spans="1:9" x14ac:dyDescent="0.3">
      <c r="A621" s="3">
        <v>616</v>
      </c>
      <c r="B621" s="24">
        <v>45306</v>
      </c>
      <c r="C621" s="7">
        <v>1043000</v>
      </c>
      <c r="D621" s="5">
        <v>1013000</v>
      </c>
      <c r="F621" s="19">
        <v>616</v>
      </c>
      <c r="G621" s="22">
        <v>45315</v>
      </c>
      <c r="H621" s="31">
        <f t="shared" si="19"/>
        <v>1043000</v>
      </c>
      <c r="I621" s="31">
        <f t="shared" si="20"/>
        <v>1014000</v>
      </c>
    </row>
    <row r="622" spans="1:9" x14ac:dyDescent="0.3">
      <c r="A622" s="3">
        <v>617</v>
      </c>
      <c r="B622" s="23">
        <v>45305</v>
      </c>
      <c r="C622" s="6">
        <v>1042000</v>
      </c>
      <c r="D622" s="4">
        <v>1015000</v>
      </c>
      <c r="F622" s="19">
        <v>617</v>
      </c>
      <c r="G622" s="22">
        <v>45314</v>
      </c>
      <c r="H622" s="31">
        <f t="shared" si="19"/>
        <v>1040000</v>
      </c>
      <c r="I622" s="31">
        <f t="shared" si="20"/>
        <v>1011000</v>
      </c>
    </row>
    <row r="623" spans="1:9" x14ac:dyDescent="0.3">
      <c r="A623" s="3">
        <v>618</v>
      </c>
      <c r="B623" s="24">
        <v>45304</v>
      </c>
      <c r="C623" s="7">
        <v>1042000</v>
      </c>
      <c r="D623" s="5">
        <v>1015000</v>
      </c>
      <c r="F623" s="19">
        <v>618</v>
      </c>
      <c r="G623" s="22">
        <v>45313</v>
      </c>
      <c r="H623" s="31">
        <f t="shared" si="19"/>
        <v>1043000</v>
      </c>
      <c r="I623" s="31">
        <f t="shared" si="20"/>
        <v>1014000</v>
      </c>
    </row>
    <row r="624" spans="1:9" x14ac:dyDescent="0.3">
      <c r="A624" s="3">
        <v>619</v>
      </c>
      <c r="B624" s="23">
        <v>45303</v>
      </c>
      <c r="C624" s="6">
        <v>1039000</v>
      </c>
      <c r="D624" s="4">
        <v>1011000</v>
      </c>
      <c r="F624" s="19">
        <v>619</v>
      </c>
      <c r="G624" s="22">
        <v>45312</v>
      </c>
      <c r="H624" s="31">
        <f t="shared" si="19"/>
        <v>1042000</v>
      </c>
      <c r="I624" s="31">
        <f t="shared" si="20"/>
        <v>1016000</v>
      </c>
    </row>
    <row r="625" spans="1:9" x14ac:dyDescent="0.3">
      <c r="A625" s="3">
        <v>620</v>
      </c>
      <c r="B625" s="24">
        <v>45302</v>
      </c>
      <c r="C625" s="7">
        <v>1032000</v>
      </c>
      <c r="D625" s="5">
        <v>1004000</v>
      </c>
      <c r="F625" s="19">
        <v>620</v>
      </c>
      <c r="G625" s="22">
        <v>45311</v>
      </c>
      <c r="H625" s="31">
        <f t="shared" si="19"/>
        <v>1042000</v>
      </c>
      <c r="I625" s="31">
        <f t="shared" si="20"/>
        <v>1016000</v>
      </c>
    </row>
    <row r="626" spans="1:9" x14ac:dyDescent="0.3">
      <c r="A626" s="3">
        <v>621</v>
      </c>
      <c r="B626" s="23">
        <v>45301</v>
      </c>
      <c r="C626" s="6">
        <v>1030000</v>
      </c>
      <c r="D626" s="4">
        <v>1001000</v>
      </c>
      <c r="F626" s="19">
        <v>621</v>
      </c>
      <c r="G626" s="22">
        <v>45310</v>
      </c>
      <c r="H626" s="31">
        <f t="shared" si="19"/>
        <v>1041000</v>
      </c>
      <c r="I626" s="31">
        <f t="shared" si="20"/>
        <v>1012000</v>
      </c>
    </row>
    <row r="627" spans="1:9" x14ac:dyDescent="0.3">
      <c r="A627" s="3">
        <v>622</v>
      </c>
      <c r="B627" s="24">
        <v>45300</v>
      </c>
      <c r="C627" s="7">
        <v>1030000</v>
      </c>
      <c r="D627" s="5">
        <v>1001000</v>
      </c>
      <c r="F627" s="19">
        <v>622</v>
      </c>
      <c r="G627" s="22">
        <v>45309</v>
      </c>
      <c r="H627" s="31">
        <f t="shared" si="19"/>
        <v>1031000</v>
      </c>
      <c r="I627" s="31">
        <f t="shared" si="20"/>
        <v>1002000</v>
      </c>
    </row>
    <row r="628" spans="1:9" x14ac:dyDescent="0.3">
      <c r="A628" s="3">
        <v>623</v>
      </c>
      <c r="B628" s="23">
        <v>45299</v>
      </c>
      <c r="C628" s="6">
        <v>1037000</v>
      </c>
      <c r="D628" s="4">
        <v>1008000</v>
      </c>
      <c r="F628" s="19">
        <v>623</v>
      </c>
      <c r="G628" s="22">
        <v>45308</v>
      </c>
      <c r="H628" s="31">
        <f t="shared" si="19"/>
        <v>1037000</v>
      </c>
      <c r="I628" s="31">
        <f t="shared" si="20"/>
        <v>1008000</v>
      </c>
    </row>
    <row r="629" spans="1:9" x14ac:dyDescent="0.3">
      <c r="A629" s="3">
        <v>624</v>
      </c>
      <c r="B629" s="24">
        <v>45298</v>
      </c>
      <c r="C629" s="7">
        <v>1035000</v>
      </c>
      <c r="D629" s="5">
        <v>1009000</v>
      </c>
      <c r="F629" s="19">
        <v>624</v>
      </c>
      <c r="G629" s="22">
        <v>45307</v>
      </c>
      <c r="H629" s="31">
        <f t="shared" si="19"/>
        <v>1047000</v>
      </c>
      <c r="I629" s="31">
        <f t="shared" si="20"/>
        <v>1017000</v>
      </c>
    </row>
    <row r="630" spans="1:9" x14ac:dyDescent="0.3">
      <c r="A630" s="3">
        <v>625</v>
      </c>
      <c r="B630" s="23">
        <v>45297</v>
      </c>
      <c r="C630" s="6">
        <v>1035000</v>
      </c>
      <c r="D630" s="4">
        <v>1009000</v>
      </c>
      <c r="F630" s="19">
        <v>625</v>
      </c>
      <c r="G630" s="22">
        <v>45306</v>
      </c>
      <c r="H630" s="31">
        <f t="shared" si="19"/>
        <v>1043000</v>
      </c>
      <c r="I630" s="31">
        <f t="shared" si="20"/>
        <v>1013000</v>
      </c>
    </row>
    <row r="631" spans="1:9" x14ac:dyDescent="0.3">
      <c r="A631" s="3">
        <v>626</v>
      </c>
      <c r="B631" s="24">
        <v>45296</v>
      </c>
      <c r="C631" s="7">
        <v>1034000</v>
      </c>
      <c r="D631" s="5">
        <v>1005000</v>
      </c>
      <c r="F631" s="19">
        <v>626</v>
      </c>
      <c r="G631" s="22">
        <v>45305</v>
      </c>
      <c r="H631" s="31">
        <f t="shared" si="19"/>
        <v>1042000</v>
      </c>
      <c r="I631" s="31">
        <f t="shared" si="20"/>
        <v>1015000</v>
      </c>
    </row>
    <row r="632" spans="1:9" x14ac:dyDescent="0.3">
      <c r="A632" s="3">
        <v>627</v>
      </c>
      <c r="B632" s="23">
        <v>45295</v>
      </c>
      <c r="C632" s="6">
        <v>1032000</v>
      </c>
      <c r="D632" s="4">
        <v>1003000</v>
      </c>
      <c r="F632" s="19">
        <v>627</v>
      </c>
      <c r="G632" s="22">
        <v>45304</v>
      </c>
      <c r="H632" s="31">
        <f t="shared" si="19"/>
        <v>1042000</v>
      </c>
      <c r="I632" s="31">
        <f t="shared" si="20"/>
        <v>1015000</v>
      </c>
    </row>
    <row r="633" spans="1:9" x14ac:dyDescent="0.3">
      <c r="A633" s="3">
        <v>628</v>
      </c>
      <c r="B633" s="24">
        <v>45294</v>
      </c>
      <c r="C633" s="7">
        <v>1038000</v>
      </c>
      <c r="D633" s="5">
        <v>1009000</v>
      </c>
      <c r="F633" s="19">
        <v>628</v>
      </c>
      <c r="G633" s="22">
        <v>45303</v>
      </c>
      <c r="H633" s="31">
        <f t="shared" si="19"/>
        <v>1039000</v>
      </c>
      <c r="I633" s="31">
        <f t="shared" si="20"/>
        <v>1011000</v>
      </c>
    </row>
    <row r="634" spans="1:9" x14ac:dyDescent="0.3">
      <c r="A634" s="3">
        <v>629</v>
      </c>
      <c r="B634" s="23">
        <v>45293</v>
      </c>
      <c r="C634" s="6">
        <v>1038000</v>
      </c>
      <c r="D634" s="4">
        <v>1009000</v>
      </c>
      <c r="F634" s="19">
        <v>629</v>
      </c>
      <c r="G634" s="22">
        <v>45302</v>
      </c>
      <c r="H634" s="31">
        <f t="shared" si="19"/>
        <v>1032000</v>
      </c>
      <c r="I634" s="31">
        <f t="shared" si="20"/>
        <v>1004000</v>
      </c>
    </row>
    <row r="635" spans="1:9" x14ac:dyDescent="0.3">
      <c r="A635" s="3">
        <v>630</v>
      </c>
      <c r="B635" s="24">
        <v>45292</v>
      </c>
      <c r="C635" s="7">
        <v>1042000</v>
      </c>
      <c r="D635" s="5">
        <v>1016000</v>
      </c>
      <c r="F635" s="19">
        <v>630</v>
      </c>
      <c r="G635" s="22">
        <v>45301</v>
      </c>
      <c r="H635" s="31">
        <f t="shared" si="19"/>
        <v>1030000</v>
      </c>
      <c r="I635" s="31">
        <f t="shared" si="20"/>
        <v>1001000</v>
      </c>
    </row>
    <row r="636" spans="1:9" x14ac:dyDescent="0.3">
      <c r="A636" s="3">
        <v>631</v>
      </c>
      <c r="B636" s="23">
        <v>45291</v>
      </c>
      <c r="C636" s="6">
        <v>1042000</v>
      </c>
      <c r="D636" s="4">
        <v>1016000</v>
      </c>
      <c r="F636" s="19">
        <v>631</v>
      </c>
      <c r="G636" s="22">
        <v>45300</v>
      </c>
      <c r="H636" s="31">
        <f t="shared" si="19"/>
        <v>1030000</v>
      </c>
      <c r="I636" s="31">
        <f t="shared" si="20"/>
        <v>1001000</v>
      </c>
    </row>
    <row r="637" spans="1:9" x14ac:dyDescent="0.3">
      <c r="A637" s="3">
        <v>632</v>
      </c>
      <c r="B637" s="24">
        <v>45290</v>
      </c>
      <c r="C637" s="7">
        <v>1042000</v>
      </c>
      <c r="D637" s="5">
        <v>1016000</v>
      </c>
      <c r="F637" s="19">
        <v>632</v>
      </c>
      <c r="G637" s="22">
        <v>45299</v>
      </c>
      <c r="H637" s="31">
        <f t="shared" si="19"/>
        <v>1037000</v>
      </c>
      <c r="I637" s="31">
        <f t="shared" si="20"/>
        <v>1008000</v>
      </c>
    </row>
    <row r="638" spans="1:9" x14ac:dyDescent="0.3">
      <c r="A638" s="3">
        <v>633</v>
      </c>
      <c r="B638" s="23">
        <v>45289</v>
      </c>
      <c r="C638" s="6">
        <v>1037000</v>
      </c>
      <c r="D638" s="4">
        <v>1011000</v>
      </c>
      <c r="F638" s="19">
        <v>633</v>
      </c>
      <c r="G638" s="22">
        <v>45298</v>
      </c>
      <c r="H638" s="31">
        <f t="shared" si="19"/>
        <v>1035000</v>
      </c>
      <c r="I638" s="31">
        <f t="shared" si="20"/>
        <v>1009000</v>
      </c>
    </row>
    <row r="639" spans="1:9" x14ac:dyDescent="0.3">
      <c r="A639" s="3">
        <v>634</v>
      </c>
      <c r="B639" s="24">
        <v>45288</v>
      </c>
      <c r="C639" s="7">
        <v>1048000</v>
      </c>
      <c r="D639" s="5">
        <v>1022000</v>
      </c>
      <c r="F639" s="19">
        <v>634</v>
      </c>
      <c r="G639" s="22">
        <v>45297</v>
      </c>
      <c r="H639" s="31">
        <f t="shared" si="19"/>
        <v>1035000</v>
      </c>
      <c r="I639" s="31">
        <f t="shared" si="20"/>
        <v>1009000</v>
      </c>
    </row>
    <row r="640" spans="1:9" x14ac:dyDescent="0.3">
      <c r="A640" s="3">
        <v>635</v>
      </c>
      <c r="B640" s="23">
        <v>45287</v>
      </c>
      <c r="C640" s="6">
        <v>1044000</v>
      </c>
      <c r="D640" s="4">
        <v>1018000</v>
      </c>
      <c r="F640" s="19">
        <v>635</v>
      </c>
      <c r="G640" s="22">
        <v>45296</v>
      </c>
      <c r="H640" s="31">
        <f t="shared" si="19"/>
        <v>1034000</v>
      </c>
      <c r="I640" s="31">
        <f t="shared" si="20"/>
        <v>1005000</v>
      </c>
    </row>
    <row r="641" spans="1:9" x14ac:dyDescent="0.3">
      <c r="A641" s="3">
        <v>636</v>
      </c>
      <c r="B641" s="24">
        <v>45286</v>
      </c>
      <c r="C641" s="7">
        <v>1044000</v>
      </c>
      <c r="D641" s="5">
        <v>1018000</v>
      </c>
      <c r="F641" s="19">
        <v>636</v>
      </c>
      <c r="G641" s="22">
        <v>45295</v>
      </c>
      <c r="H641" s="31">
        <f t="shared" si="19"/>
        <v>1032000</v>
      </c>
      <c r="I641" s="31">
        <f t="shared" si="20"/>
        <v>1003000</v>
      </c>
    </row>
    <row r="642" spans="1:9" x14ac:dyDescent="0.3">
      <c r="A642" s="3">
        <v>637</v>
      </c>
      <c r="B642" s="23">
        <v>45285</v>
      </c>
      <c r="C642" s="6">
        <v>1044000</v>
      </c>
      <c r="D642" s="4">
        <v>1018000</v>
      </c>
      <c r="F642" s="19">
        <v>637</v>
      </c>
      <c r="G642" s="22">
        <v>45294</v>
      </c>
      <c r="H642" s="31">
        <f t="shared" si="19"/>
        <v>1038000</v>
      </c>
      <c r="I642" s="31">
        <f t="shared" si="20"/>
        <v>1009000</v>
      </c>
    </row>
    <row r="643" spans="1:9" x14ac:dyDescent="0.3">
      <c r="A643" s="3">
        <v>638</v>
      </c>
      <c r="B643" s="24">
        <v>45284</v>
      </c>
      <c r="C643" s="7">
        <v>1044000</v>
      </c>
      <c r="D643" s="5">
        <v>1018000</v>
      </c>
      <c r="F643" s="19">
        <v>638</v>
      </c>
      <c r="G643" s="22">
        <v>45293</v>
      </c>
      <c r="H643" s="31">
        <f t="shared" si="19"/>
        <v>1038000</v>
      </c>
      <c r="I643" s="31">
        <f t="shared" si="20"/>
        <v>1009000</v>
      </c>
    </row>
    <row r="644" spans="1:9" x14ac:dyDescent="0.3">
      <c r="A644" s="3">
        <v>639</v>
      </c>
      <c r="B644" s="23">
        <v>45283</v>
      </c>
      <c r="C644" s="6">
        <v>1044000</v>
      </c>
      <c r="D644" s="4">
        <v>1018000</v>
      </c>
      <c r="F644" s="19">
        <v>639</v>
      </c>
      <c r="G644" s="22">
        <v>45292</v>
      </c>
      <c r="H644" s="31">
        <f t="shared" si="19"/>
        <v>1042000</v>
      </c>
      <c r="I644" s="31">
        <f t="shared" si="20"/>
        <v>1016000</v>
      </c>
    </row>
    <row r="645" spans="1:9" x14ac:dyDescent="0.3">
      <c r="A645" s="3">
        <v>640</v>
      </c>
      <c r="B645" s="24">
        <v>45282</v>
      </c>
      <c r="C645" s="7">
        <v>1042000</v>
      </c>
      <c r="D645" s="5">
        <v>1013000</v>
      </c>
      <c r="F645" s="19">
        <v>640</v>
      </c>
      <c r="G645" s="22">
        <v>45291</v>
      </c>
      <c r="H645" s="31">
        <f t="shared" si="19"/>
        <v>1042000</v>
      </c>
      <c r="I645" s="31">
        <f t="shared" si="20"/>
        <v>1016000</v>
      </c>
    </row>
    <row r="646" spans="1:9" x14ac:dyDescent="0.3">
      <c r="A646" s="3">
        <v>641</v>
      </c>
      <c r="B646" s="23">
        <v>45281</v>
      </c>
      <c r="C646" s="6">
        <v>1035000</v>
      </c>
      <c r="D646" s="4">
        <v>1006000</v>
      </c>
      <c r="F646" s="19">
        <v>641</v>
      </c>
      <c r="G646" s="22">
        <v>45290</v>
      </c>
      <c r="H646" s="31">
        <f t="shared" ref="H646:H709" si="21">_xlfn.XLOOKUP(G646,$B$6:$B$994,$C$6:$C$994,,-1)</f>
        <v>1042000</v>
      </c>
      <c r="I646" s="31">
        <f t="shared" ref="I646:I709" si="22">_xlfn.XLOOKUP(G646,$B$6:$B$994,$D$6:$D$994,,-1)</f>
        <v>1016000</v>
      </c>
    </row>
    <row r="647" spans="1:9" x14ac:dyDescent="0.3">
      <c r="A647" s="3">
        <v>642</v>
      </c>
      <c r="B647" s="24">
        <v>45280</v>
      </c>
      <c r="C647" s="7">
        <v>1039000</v>
      </c>
      <c r="D647" s="5">
        <v>1009000</v>
      </c>
      <c r="F647" s="19">
        <v>642</v>
      </c>
      <c r="G647" s="22">
        <v>45289</v>
      </c>
      <c r="H647" s="31">
        <f t="shared" si="21"/>
        <v>1037000</v>
      </c>
      <c r="I647" s="31">
        <f t="shared" si="22"/>
        <v>1011000</v>
      </c>
    </row>
    <row r="648" spans="1:9" x14ac:dyDescent="0.3">
      <c r="A648" s="3">
        <v>643</v>
      </c>
      <c r="B648" s="23">
        <v>45279</v>
      </c>
      <c r="C648" s="6">
        <v>1032000</v>
      </c>
      <c r="D648" s="4">
        <v>1003000</v>
      </c>
      <c r="F648" s="19">
        <v>643</v>
      </c>
      <c r="G648" s="22">
        <v>45288</v>
      </c>
      <c r="H648" s="31">
        <f t="shared" si="21"/>
        <v>1048000</v>
      </c>
      <c r="I648" s="31">
        <f t="shared" si="22"/>
        <v>1022000</v>
      </c>
    </row>
    <row r="649" spans="1:9" x14ac:dyDescent="0.3">
      <c r="A649" s="3">
        <v>644</v>
      </c>
      <c r="B649" s="24">
        <v>45278</v>
      </c>
      <c r="C649" s="7">
        <v>1028000</v>
      </c>
      <c r="D649" s="5">
        <v>999000</v>
      </c>
      <c r="F649" s="19">
        <v>644</v>
      </c>
      <c r="G649" s="22">
        <v>45287</v>
      </c>
      <c r="H649" s="31">
        <f t="shared" si="21"/>
        <v>1044000</v>
      </c>
      <c r="I649" s="31">
        <f t="shared" si="22"/>
        <v>1018000</v>
      </c>
    </row>
    <row r="650" spans="1:9" x14ac:dyDescent="0.3">
      <c r="A650" s="3">
        <v>645</v>
      </c>
      <c r="B650" s="23">
        <v>45277</v>
      </c>
      <c r="C650" s="6">
        <v>1027000</v>
      </c>
      <c r="D650" s="4">
        <v>1000000</v>
      </c>
      <c r="F650" s="19">
        <v>645</v>
      </c>
      <c r="G650" s="22">
        <v>45286</v>
      </c>
      <c r="H650" s="31">
        <f t="shared" si="21"/>
        <v>1044000</v>
      </c>
      <c r="I650" s="31">
        <f t="shared" si="22"/>
        <v>1018000</v>
      </c>
    </row>
    <row r="651" spans="1:9" x14ac:dyDescent="0.3">
      <c r="A651" s="3">
        <v>646</v>
      </c>
      <c r="B651" s="24">
        <v>45276</v>
      </c>
      <c r="C651" s="7">
        <v>1027000</v>
      </c>
      <c r="D651" s="5">
        <v>1000000</v>
      </c>
      <c r="F651" s="19">
        <v>646</v>
      </c>
      <c r="G651" s="22">
        <v>45285</v>
      </c>
      <c r="H651" s="31">
        <f t="shared" si="21"/>
        <v>1044000</v>
      </c>
      <c r="I651" s="31">
        <f t="shared" si="22"/>
        <v>1018000</v>
      </c>
    </row>
    <row r="652" spans="1:9" x14ac:dyDescent="0.3">
      <c r="A652" s="3">
        <v>647</v>
      </c>
      <c r="B652" s="23">
        <v>45275</v>
      </c>
      <c r="C652" s="6">
        <v>1041000</v>
      </c>
      <c r="D652" s="4">
        <v>1014000</v>
      </c>
      <c r="F652" s="19">
        <v>647</v>
      </c>
      <c r="G652" s="22">
        <v>45284</v>
      </c>
      <c r="H652" s="31">
        <f t="shared" si="21"/>
        <v>1044000</v>
      </c>
      <c r="I652" s="31">
        <f t="shared" si="22"/>
        <v>1018000</v>
      </c>
    </row>
    <row r="653" spans="1:9" x14ac:dyDescent="0.3">
      <c r="A653" s="3">
        <v>648</v>
      </c>
      <c r="B653" s="24">
        <v>45274</v>
      </c>
      <c r="C653" s="7">
        <v>1038000</v>
      </c>
      <c r="D653" s="5">
        <v>1011000</v>
      </c>
      <c r="F653" s="19">
        <v>648</v>
      </c>
      <c r="G653" s="22">
        <v>45283</v>
      </c>
      <c r="H653" s="31">
        <f t="shared" si="21"/>
        <v>1044000</v>
      </c>
      <c r="I653" s="31">
        <f t="shared" si="22"/>
        <v>1018000</v>
      </c>
    </row>
    <row r="654" spans="1:9" x14ac:dyDescent="0.3">
      <c r="A654" s="3">
        <v>649</v>
      </c>
      <c r="B654" s="23">
        <v>45273</v>
      </c>
      <c r="C654" s="6">
        <v>1013000</v>
      </c>
      <c r="D654" s="4">
        <v>989000</v>
      </c>
      <c r="F654" s="19">
        <v>649</v>
      </c>
      <c r="G654" s="22">
        <v>45282</v>
      </c>
      <c r="H654" s="31">
        <f t="shared" si="21"/>
        <v>1042000</v>
      </c>
      <c r="I654" s="31">
        <f t="shared" si="22"/>
        <v>1013000</v>
      </c>
    </row>
    <row r="655" spans="1:9" x14ac:dyDescent="0.3">
      <c r="A655" s="3">
        <v>650</v>
      </c>
      <c r="B655" s="24">
        <v>45272</v>
      </c>
      <c r="C655" s="7">
        <v>1006000</v>
      </c>
      <c r="D655" s="5">
        <v>982000</v>
      </c>
      <c r="F655" s="19">
        <v>650</v>
      </c>
      <c r="G655" s="22">
        <v>45281</v>
      </c>
      <c r="H655" s="31">
        <f t="shared" si="21"/>
        <v>1035000</v>
      </c>
      <c r="I655" s="31">
        <f t="shared" si="22"/>
        <v>1006000</v>
      </c>
    </row>
    <row r="656" spans="1:9" x14ac:dyDescent="0.3">
      <c r="A656" s="3">
        <v>651</v>
      </c>
      <c r="B656" s="23">
        <v>45271</v>
      </c>
      <c r="C656" s="6">
        <v>1020000</v>
      </c>
      <c r="D656" s="4">
        <v>996000</v>
      </c>
      <c r="F656" s="19">
        <v>651</v>
      </c>
      <c r="G656" s="22">
        <v>45280</v>
      </c>
      <c r="H656" s="31">
        <f t="shared" si="21"/>
        <v>1039000</v>
      </c>
      <c r="I656" s="31">
        <f t="shared" si="22"/>
        <v>1009000</v>
      </c>
    </row>
    <row r="657" spans="1:9" x14ac:dyDescent="0.3">
      <c r="A657" s="3">
        <v>652</v>
      </c>
      <c r="B657" s="24">
        <v>45270</v>
      </c>
      <c r="C657" s="7">
        <v>1020000</v>
      </c>
      <c r="D657" s="5">
        <v>996000</v>
      </c>
      <c r="F657" s="19">
        <v>652</v>
      </c>
      <c r="G657" s="22">
        <v>45279</v>
      </c>
      <c r="H657" s="31">
        <f t="shared" si="21"/>
        <v>1032000</v>
      </c>
      <c r="I657" s="31">
        <f t="shared" si="22"/>
        <v>1003000</v>
      </c>
    </row>
    <row r="658" spans="1:9" x14ac:dyDescent="0.3">
      <c r="A658" s="3">
        <v>653</v>
      </c>
      <c r="B658" s="23">
        <v>45269</v>
      </c>
      <c r="C658" s="6">
        <v>1020000</v>
      </c>
      <c r="D658" s="4">
        <v>996000</v>
      </c>
      <c r="F658" s="19">
        <v>653</v>
      </c>
      <c r="G658" s="22">
        <v>45278</v>
      </c>
      <c r="H658" s="31">
        <f t="shared" si="21"/>
        <v>1028000</v>
      </c>
      <c r="I658" s="31">
        <f t="shared" si="22"/>
        <v>999000</v>
      </c>
    </row>
    <row r="659" spans="1:9" x14ac:dyDescent="0.3">
      <c r="A659" s="3">
        <v>654</v>
      </c>
      <c r="B659" s="24">
        <v>45268</v>
      </c>
      <c r="C659" s="7">
        <v>1026000</v>
      </c>
      <c r="D659" s="5">
        <v>1000000</v>
      </c>
      <c r="F659" s="19">
        <v>654</v>
      </c>
      <c r="G659" s="22">
        <v>45277</v>
      </c>
      <c r="H659" s="31">
        <f t="shared" si="21"/>
        <v>1027000</v>
      </c>
      <c r="I659" s="31">
        <f t="shared" si="22"/>
        <v>1000000</v>
      </c>
    </row>
    <row r="660" spans="1:9" x14ac:dyDescent="0.3">
      <c r="A660" s="3">
        <v>655</v>
      </c>
      <c r="B660" s="23">
        <v>45267</v>
      </c>
      <c r="C660" s="6">
        <v>1026000</v>
      </c>
      <c r="D660" s="4">
        <v>1000000</v>
      </c>
      <c r="F660" s="19">
        <v>655</v>
      </c>
      <c r="G660" s="22">
        <v>45276</v>
      </c>
      <c r="H660" s="31">
        <f t="shared" si="21"/>
        <v>1027000</v>
      </c>
      <c r="I660" s="31">
        <f t="shared" si="22"/>
        <v>1000000</v>
      </c>
    </row>
    <row r="661" spans="1:9" x14ac:dyDescent="0.3">
      <c r="A661" s="3">
        <v>656</v>
      </c>
      <c r="B661" s="24">
        <v>45266</v>
      </c>
      <c r="C661" s="7">
        <v>1019000</v>
      </c>
      <c r="D661" s="5">
        <v>993000</v>
      </c>
      <c r="F661" s="19">
        <v>656</v>
      </c>
      <c r="G661" s="22">
        <v>45275</v>
      </c>
      <c r="H661" s="31">
        <f t="shared" si="21"/>
        <v>1041000</v>
      </c>
      <c r="I661" s="31">
        <f t="shared" si="22"/>
        <v>1014000</v>
      </c>
    </row>
    <row r="662" spans="1:9" x14ac:dyDescent="0.3">
      <c r="A662" s="3">
        <v>657</v>
      </c>
      <c r="B662" s="23">
        <v>45265</v>
      </c>
      <c r="C662" s="6">
        <v>1030000</v>
      </c>
      <c r="D662" s="4">
        <v>1004000</v>
      </c>
      <c r="F662" s="19">
        <v>657</v>
      </c>
      <c r="G662" s="22">
        <v>45274</v>
      </c>
      <c r="H662" s="31">
        <f t="shared" si="21"/>
        <v>1038000</v>
      </c>
      <c r="I662" s="31">
        <f t="shared" si="22"/>
        <v>1011000</v>
      </c>
    </row>
    <row r="663" spans="1:9" x14ac:dyDescent="0.3">
      <c r="A663" s="3">
        <v>658</v>
      </c>
      <c r="B663" s="24">
        <v>45264</v>
      </c>
      <c r="C663" s="7">
        <v>1055000</v>
      </c>
      <c r="D663" s="5">
        <v>1030000</v>
      </c>
      <c r="F663" s="19">
        <v>658</v>
      </c>
      <c r="G663" s="22">
        <v>45273</v>
      </c>
      <c r="H663" s="31">
        <f t="shared" si="21"/>
        <v>1013000</v>
      </c>
      <c r="I663" s="31">
        <f t="shared" si="22"/>
        <v>989000</v>
      </c>
    </row>
    <row r="664" spans="1:9" x14ac:dyDescent="0.3">
      <c r="A664" s="3">
        <v>659</v>
      </c>
      <c r="B664" s="23">
        <v>45263</v>
      </c>
      <c r="C664" s="6">
        <v>1041000</v>
      </c>
      <c r="D664" s="4">
        <v>1015000</v>
      </c>
      <c r="F664" s="19">
        <v>659</v>
      </c>
      <c r="G664" s="22">
        <v>45272</v>
      </c>
      <c r="H664" s="31">
        <f t="shared" si="21"/>
        <v>1006000</v>
      </c>
      <c r="I664" s="31">
        <f t="shared" si="22"/>
        <v>982000</v>
      </c>
    </row>
    <row r="665" spans="1:9" x14ac:dyDescent="0.3">
      <c r="A665" s="3">
        <v>660</v>
      </c>
      <c r="B665" s="24">
        <v>45262</v>
      </c>
      <c r="C665" s="7">
        <v>1041000</v>
      </c>
      <c r="D665" s="5">
        <v>1015000</v>
      </c>
      <c r="F665" s="19">
        <v>660</v>
      </c>
      <c r="G665" s="22">
        <v>45271</v>
      </c>
      <c r="H665" s="31">
        <f t="shared" si="21"/>
        <v>1020000</v>
      </c>
      <c r="I665" s="31">
        <f t="shared" si="22"/>
        <v>996000</v>
      </c>
    </row>
    <row r="666" spans="1:9" x14ac:dyDescent="0.3">
      <c r="A666" s="3">
        <v>661</v>
      </c>
      <c r="B666" s="23">
        <v>45261</v>
      </c>
      <c r="C666" s="6">
        <v>1020000</v>
      </c>
      <c r="D666" s="4">
        <v>994000</v>
      </c>
      <c r="F666" s="19">
        <v>661</v>
      </c>
      <c r="G666" s="22">
        <v>45270</v>
      </c>
      <c r="H666" s="31">
        <f t="shared" si="21"/>
        <v>1020000</v>
      </c>
      <c r="I666" s="31">
        <f t="shared" si="22"/>
        <v>996000</v>
      </c>
    </row>
    <row r="667" spans="1:9" x14ac:dyDescent="0.3">
      <c r="A667" s="3">
        <v>662</v>
      </c>
      <c r="B667" s="24">
        <v>45260</v>
      </c>
      <c r="C667" s="7">
        <v>1025000</v>
      </c>
      <c r="D667" s="5">
        <v>999000</v>
      </c>
      <c r="F667" s="19">
        <v>662</v>
      </c>
      <c r="G667" s="22">
        <v>45269</v>
      </c>
      <c r="H667" s="31">
        <f t="shared" si="21"/>
        <v>1020000</v>
      </c>
      <c r="I667" s="31">
        <f t="shared" si="22"/>
        <v>996000</v>
      </c>
    </row>
    <row r="668" spans="1:9" x14ac:dyDescent="0.3">
      <c r="A668" s="3">
        <v>663</v>
      </c>
      <c r="B668" s="23">
        <v>45259</v>
      </c>
      <c r="C668" s="6">
        <v>1030000</v>
      </c>
      <c r="D668" s="4">
        <v>1005000</v>
      </c>
      <c r="F668" s="19">
        <v>663</v>
      </c>
      <c r="G668" s="22">
        <v>45268</v>
      </c>
      <c r="H668" s="31">
        <f t="shared" si="21"/>
        <v>1026000</v>
      </c>
      <c r="I668" s="31">
        <f t="shared" si="22"/>
        <v>1000000</v>
      </c>
    </row>
    <row r="669" spans="1:9" x14ac:dyDescent="0.3">
      <c r="A669" s="3">
        <v>664</v>
      </c>
      <c r="B669" s="24">
        <v>45258</v>
      </c>
      <c r="C669" s="7">
        <v>1020000</v>
      </c>
      <c r="D669" s="5">
        <v>995000</v>
      </c>
      <c r="F669" s="19">
        <v>664</v>
      </c>
      <c r="G669" s="22">
        <v>45267</v>
      </c>
      <c r="H669" s="31">
        <f t="shared" si="21"/>
        <v>1026000</v>
      </c>
      <c r="I669" s="31">
        <f t="shared" si="22"/>
        <v>1000000</v>
      </c>
    </row>
    <row r="670" spans="1:9" x14ac:dyDescent="0.3">
      <c r="A670" s="3">
        <v>665</v>
      </c>
      <c r="B670" s="23">
        <v>45257</v>
      </c>
      <c r="C670" s="6">
        <v>1015400</v>
      </c>
      <c r="D670" s="4">
        <v>990000</v>
      </c>
      <c r="F670" s="19">
        <v>665</v>
      </c>
      <c r="G670" s="22">
        <v>45266</v>
      </c>
      <c r="H670" s="31">
        <f t="shared" si="21"/>
        <v>1019000</v>
      </c>
      <c r="I670" s="31">
        <f t="shared" si="22"/>
        <v>993000</v>
      </c>
    </row>
    <row r="671" spans="1:9" x14ac:dyDescent="0.3">
      <c r="A671" s="3">
        <v>666</v>
      </c>
      <c r="B671" s="24">
        <v>45256</v>
      </c>
      <c r="C671" s="7">
        <v>1015400</v>
      </c>
      <c r="D671" s="5">
        <v>990000</v>
      </c>
      <c r="F671" s="19">
        <v>666</v>
      </c>
      <c r="G671" s="22">
        <v>45265</v>
      </c>
      <c r="H671" s="31">
        <f t="shared" si="21"/>
        <v>1030000</v>
      </c>
      <c r="I671" s="31">
        <f t="shared" si="22"/>
        <v>1004000</v>
      </c>
    </row>
    <row r="672" spans="1:9" x14ac:dyDescent="0.3">
      <c r="A672" s="3">
        <v>667</v>
      </c>
      <c r="B672" s="23">
        <v>45255</v>
      </c>
      <c r="C672" s="6">
        <v>1015400</v>
      </c>
      <c r="D672" s="4">
        <v>990000</v>
      </c>
      <c r="F672" s="19">
        <v>667</v>
      </c>
      <c r="G672" s="22">
        <v>45264</v>
      </c>
      <c r="H672" s="31">
        <f t="shared" si="21"/>
        <v>1055000</v>
      </c>
      <c r="I672" s="31">
        <f t="shared" si="22"/>
        <v>1030000</v>
      </c>
    </row>
    <row r="673" spans="1:9" x14ac:dyDescent="0.3">
      <c r="A673" s="3">
        <v>668</v>
      </c>
      <c r="B673" s="24">
        <v>45254</v>
      </c>
      <c r="C673" s="7">
        <v>1010900</v>
      </c>
      <c r="D673" s="5">
        <v>985500</v>
      </c>
      <c r="F673" s="19">
        <v>668</v>
      </c>
      <c r="G673" s="22">
        <v>45263</v>
      </c>
      <c r="H673" s="31">
        <f t="shared" si="21"/>
        <v>1041000</v>
      </c>
      <c r="I673" s="31">
        <f t="shared" si="22"/>
        <v>1015000</v>
      </c>
    </row>
    <row r="674" spans="1:9" x14ac:dyDescent="0.3">
      <c r="A674" s="3">
        <v>669</v>
      </c>
      <c r="B674" s="23">
        <v>45253</v>
      </c>
      <c r="C674" s="6">
        <v>999400</v>
      </c>
      <c r="D674" s="4">
        <v>974000</v>
      </c>
      <c r="F674" s="19">
        <v>669</v>
      </c>
      <c r="G674" s="22">
        <v>45262</v>
      </c>
      <c r="H674" s="31">
        <f t="shared" si="21"/>
        <v>1041000</v>
      </c>
      <c r="I674" s="31">
        <f t="shared" si="22"/>
        <v>1015000</v>
      </c>
    </row>
    <row r="675" spans="1:9" x14ac:dyDescent="0.3">
      <c r="A675" s="3">
        <v>670</v>
      </c>
      <c r="B675" s="24">
        <v>45252</v>
      </c>
      <c r="C675" s="7">
        <v>1000900</v>
      </c>
      <c r="D675" s="5">
        <v>976800</v>
      </c>
      <c r="F675" s="19">
        <v>670</v>
      </c>
      <c r="G675" s="22">
        <v>45261</v>
      </c>
      <c r="H675" s="31">
        <f t="shared" si="21"/>
        <v>1020000</v>
      </c>
      <c r="I675" s="31">
        <f t="shared" si="22"/>
        <v>994000</v>
      </c>
    </row>
    <row r="676" spans="1:9" x14ac:dyDescent="0.3">
      <c r="A676" s="3">
        <v>671</v>
      </c>
      <c r="B676" s="23">
        <v>45251</v>
      </c>
      <c r="C676" s="6">
        <v>998000</v>
      </c>
      <c r="D676" s="4">
        <v>973000</v>
      </c>
      <c r="F676" s="19">
        <v>671</v>
      </c>
      <c r="G676" s="22">
        <v>45260</v>
      </c>
      <c r="H676" s="31">
        <f t="shared" si="21"/>
        <v>1025000</v>
      </c>
      <c r="I676" s="31">
        <f t="shared" si="22"/>
        <v>999000</v>
      </c>
    </row>
    <row r="677" spans="1:9" x14ac:dyDescent="0.3">
      <c r="A677" s="3">
        <v>672</v>
      </c>
      <c r="B677" s="24">
        <v>45250</v>
      </c>
      <c r="C677" s="7">
        <v>1000100</v>
      </c>
      <c r="D677" s="5">
        <v>976000</v>
      </c>
      <c r="F677" s="19">
        <v>672</v>
      </c>
      <c r="G677" s="22">
        <v>45259</v>
      </c>
      <c r="H677" s="31">
        <f t="shared" si="21"/>
        <v>1030000</v>
      </c>
      <c r="I677" s="31">
        <f t="shared" si="22"/>
        <v>1005000</v>
      </c>
    </row>
    <row r="678" spans="1:9" x14ac:dyDescent="0.3">
      <c r="A678" s="3">
        <v>673</v>
      </c>
      <c r="B678" s="23">
        <v>45249</v>
      </c>
      <c r="C678" s="6">
        <v>1007500</v>
      </c>
      <c r="D678" s="4">
        <v>982000</v>
      </c>
      <c r="F678" s="19">
        <v>673</v>
      </c>
      <c r="G678" s="22">
        <v>45258</v>
      </c>
      <c r="H678" s="31">
        <f t="shared" si="21"/>
        <v>1020000</v>
      </c>
      <c r="I678" s="31">
        <f t="shared" si="22"/>
        <v>995000</v>
      </c>
    </row>
    <row r="679" spans="1:9" x14ac:dyDescent="0.3">
      <c r="A679" s="3">
        <v>674</v>
      </c>
      <c r="B679" s="24">
        <v>45248</v>
      </c>
      <c r="C679" s="7">
        <v>1007500</v>
      </c>
      <c r="D679" s="5">
        <v>982000</v>
      </c>
      <c r="F679" s="19">
        <v>674</v>
      </c>
      <c r="G679" s="22">
        <v>45257</v>
      </c>
      <c r="H679" s="31">
        <f t="shared" si="21"/>
        <v>1015400</v>
      </c>
      <c r="I679" s="31">
        <f t="shared" si="22"/>
        <v>990000</v>
      </c>
    </row>
    <row r="680" spans="1:9" x14ac:dyDescent="0.3">
      <c r="A680" s="3">
        <v>675</v>
      </c>
      <c r="B680" s="23">
        <v>45247</v>
      </c>
      <c r="C680" s="6">
        <v>1002450</v>
      </c>
      <c r="D680" s="4">
        <v>977000</v>
      </c>
      <c r="F680" s="19">
        <v>675</v>
      </c>
      <c r="G680" s="22">
        <v>45256</v>
      </c>
      <c r="H680" s="31">
        <f t="shared" si="21"/>
        <v>1015400</v>
      </c>
      <c r="I680" s="31">
        <f t="shared" si="22"/>
        <v>990000</v>
      </c>
    </row>
    <row r="681" spans="1:9" x14ac:dyDescent="0.3">
      <c r="A681" s="3">
        <v>676</v>
      </c>
      <c r="B681" s="24">
        <v>45246</v>
      </c>
      <c r="C681" s="7">
        <v>1003500</v>
      </c>
      <c r="D681" s="5">
        <v>987000</v>
      </c>
      <c r="F681" s="19">
        <v>676</v>
      </c>
      <c r="G681" s="22">
        <v>45255</v>
      </c>
      <c r="H681" s="31">
        <f t="shared" si="21"/>
        <v>1015400</v>
      </c>
      <c r="I681" s="31">
        <f t="shared" si="22"/>
        <v>990000</v>
      </c>
    </row>
    <row r="682" spans="1:9" x14ac:dyDescent="0.3">
      <c r="A682" s="3">
        <v>677</v>
      </c>
      <c r="B682" s="23">
        <v>45245</v>
      </c>
      <c r="C682" s="6">
        <v>1006500</v>
      </c>
      <c r="D682" s="4">
        <v>991000</v>
      </c>
      <c r="F682" s="19">
        <v>677</v>
      </c>
      <c r="G682" s="22">
        <v>45254</v>
      </c>
      <c r="H682" s="31">
        <f t="shared" si="21"/>
        <v>1010900</v>
      </c>
      <c r="I682" s="31">
        <f t="shared" si="22"/>
        <v>985500</v>
      </c>
    </row>
    <row r="683" spans="1:9" x14ac:dyDescent="0.3">
      <c r="A683" s="3">
        <v>678</v>
      </c>
      <c r="B683" s="24">
        <v>45244</v>
      </c>
      <c r="C683" s="7">
        <v>998500</v>
      </c>
      <c r="D683" s="5">
        <v>973500</v>
      </c>
      <c r="F683" s="19">
        <v>678</v>
      </c>
      <c r="G683" s="22">
        <v>45253</v>
      </c>
      <c r="H683" s="31">
        <f t="shared" si="21"/>
        <v>999400</v>
      </c>
      <c r="I683" s="31">
        <f t="shared" si="22"/>
        <v>974000</v>
      </c>
    </row>
    <row r="684" spans="1:9" x14ac:dyDescent="0.3">
      <c r="A684" s="3">
        <v>679</v>
      </c>
      <c r="B684" s="23">
        <v>45243</v>
      </c>
      <c r="C684" s="6">
        <v>992050</v>
      </c>
      <c r="D684" s="4">
        <v>967000</v>
      </c>
      <c r="F684" s="19">
        <v>679</v>
      </c>
      <c r="G684" s="22">
        <v>45252</v>
      </c>
      <c r="H684" s="31">
        <f t="shared" si="21"/>
        <v>1000900</v>
      </c>
      <c r="I684" s="31">
        <f t="shared" si="22"/>
        <v>976800</v>
      </c>
    </row>
    <row r="685" spans="1:9" x14ac:dyDescent="0.3">
      <c r="A685" s="3">
        <v>680</v>
      </c>
      <c r="B685" s="24">
        <v>45242</v>
      </c>
      <c r="C685" s="7">
        <v>992050</v>
      </c>
      <c r="D685" s="5">
        <v>967000</v>
      </c>
      <c r="F685" s="19">
        <v>680</v>
      </c>
      <c r="G685" s="22">
        <v>45251</v>
      </c>
      <c r="H685" s="31">
        <f t="shared" si="21"/>
        <v>998000</v>
      </c>
      <c r="I685" s="31">
        <f t="shared" si="22"/>
        <v>973000</v>
      </c>
    </row>
    <row r="686" spans="1:9" x14ac:dyDescent="0.3">
      <c r="A686" s="3">
        <v>681</v>
      </c>
      <c r="B686" s="23">
        <v>45241</v>
      </c>
      <c r="C686" s="6">
        <v>992050</v>
      </c>
      <c r="D686" s="4">
        <v>967000</v>
      </c>
      <c r="F686" s="19">
        <v>681</v>
      </c>
      <c r="G686" s="22">
        <v>45250</v>
      </c>
      <c r="H686" s="31">
        <f t="shared" si="21"/>
        <v>1000100</v>
      </c>
      <c r="I686" s="31">
        <f t="shared" si="22"/>
        <v>976000</v>
      </c>
    </row>
    <row r="687" spans="1:9" x14ac:dyDescent="0.3">
      <c r="A687" s="3">
        <v>682</v>
      </c>
      <c r="B687" s="24">
        <v>45240</v>
      </c>
      <c r="C687" s="7">
        <v>999000</v>
      </c>
      <c r="D687" s="5">
        <v>970000</v>
      </c>
      <c r="F687" s="19">
        <v>682</v>
      </c>
      <c r="G687" s="22">
        <v>45249</v>
      </c>
      <c r="H687" s="31">
        <f t="shared" si="21"/>
        <v>1007500</v>
      </c>
      <c r="I687" s="31">
        <f t="shared" si="22"/>
        <v>982000</v>
      </c>
    </row>
    <row r="688" spans="1:9" x14ac:dyDescent="0.3">
      <c r="A688" s="3">
        <v>683</v>
      </c>
      <c r="B688" s="23">
        <v>45239</v>
      </c>
      <c r="C688" s="6">
        <v>991550</v>
      </c>
      <c r="D688" s="4">
        <v>964500</v>
      </c>
      <c r="F688" s="19">
        <v>683</v>
      </c>
      <c r="G688" s="22">
        <v>45248</v>
      </c>
      <c r="H688" s="31">
        <f t="shared" si="21"/>
        <v>1007500</v>
      </c>
      <c r="I688" s="31">
        <f t="shared" si="22"/>
        <v>982000</v>
      </c>
    </row>
    <row r="689" spans="1:9" x14ac:dyDescent="0.3">
      <c r="A689" s="3">
        <v>684</v>
      </c>
      <c r="B689" s="24">
        <v>45238</v>
      </c>
      <c r="C689" s="7">
        <v>995500</v>
      </c>
      <c r="D689" s="5">
        <v>969000</v>
      </c>
      <c r="F689" s="19">
        <v>684</v>
      </c>
      <c r="G689" s="22">
        <v>45247</v>
      </c>
      <c r="H689" s="31">
        <f t="shared" si="21"/>
        <v>1002450</v>
      </c>
      <c r="I689" s="31">
        <f t="shared" si="22"/>
        <v>977000</v>
      </c>
    </row>
    <row r="690" spans="1:9" x14ac:dyDescent="0.3">
      <c r="A690" s="3">
        <v>685</v>
      </c>
      <c r="B690" s="23">
        <v>45237</v>
      </c>
      <c r="C690" s="6">
        <v>1001500</v>
      </c>
      <c r="D690" s="4">
        <v>975000</v>
      </c>
      <c r="F690" s="19">
        <v>685</v>
      </c>
      <c r="G690" s="22">
        <v>45246</v>
      </c>
      <c r="H690" s="31">
        <f t="shared" si="21"/>
        <v>1003500</v>
      </c>
      <c r="I690" s="31">
        <f t="shared" si="22"/>
        <v>987000</v>
      </c>
    </row>
    <row r="691" spans="1:9" x14ac:dyDescent="0.3">
      <c r="A691" s="3">
        <v>686</v>
      </c>
      <c r="B691" s="24">
        <v>45236</v>
      </c>
      <c r="C691" s="7">
        <v>1008450</v>
      </c>
      <c r="D691" s="5">
        <v>981000</v>
      </c>
      <c r="F691" s="19">
        <v>686</v>
      </c>
      <c r="G691" s="22">
        <v>45245</v>
      </c>
      <c r="H691" s="31">
        <f t="shared" si="21"/>
        <v>1006500</v>
      </c>
      <c r="I691" s="31">
        <f t="shared" si="22"/>
        <v>991000</v>
      </c>
    </row>
    <row r="692" spans="1:9" x14ac:dyDescent="0.3">
      <c r="A692" s="3">
        <v>687</v>
      </c>
      <c r="B692" s="23">
        <v>45235</v>
      </c>
      <c r="C692" s="6">
        <v>1010000</v>
      </c>
      <c r="D692" s="4">
        <v>982500</v>
      </c>
      <c r="F692" s="19">
        <v>687</v>
      </c>
      <c r="G692" s="22">
        <v>45244</v>
      </c>
      <c r="H692" s="31">
        <f t="shared" si="21"/>
        <v>998500</v>
      </c>
      <c r="I692" s="31">
        <f t="shared" si="22"/>
        <v>973500</v>
      </c>
    </row>
    <row r="693" spans="1:9" x14ac:dyDescent="0.3">
      <c r="A693" s="3">
        <v>688</v>
      </c>
      <c r="B693" s="24">
        <v>45234</v>
      </c>
      <c r="C693" s="7">
        <v>1010000</v>
      </c>
      <c r="D693" s="5">
        <v>982500</v>
      </c>
      <c r="F693" s="19">
        <v>688</v>
      </c>
      <c r="G693" s="22">
        <v>45243</v>
      </c>
      <c r="H693" s="31">
        <f t="shared" si="21"/>
        <v>992050</v>
      </c>
      <c r="I693" s="31">
        <f t="shared" si="22"/>
        <v>967000</v>
      </c>
    </row>
    <row r="694" spans="1:9" x14ac:dyDescent="0.3">
      <c r="A694" s="3">
        <v>689</v>
      </c>
      <c r="B694" s="23">
        <v>45233</v>
      </c>
      <c r="C694" s="6">
        <v>1013400</v>
      </c>
      <c r="D694" s="4">
        <v>985000</v>
      </c>
      <c r="F694" s="19">
        <v>689</v>
      </c>
      <c r="G694" s="22">
        <v>45242</v>
      </c>
      <c r="H694" s="31">
        <f t="shared" si="21"/>
        <v>992050</v>
      </c>
      <c r="I694" s="31">
        <f t="shared" si="22"/>
        <v>967000</v>
      </c>
    </row>
    <row r="695" spans="1:9" x14ac:dyDescent="0.3">
      <c r="A695" s="3">
        <v>690</v>
      </c>
      <c r="B695" s="24">
        <v>45232</v>
      </c>
      <c r="C695" s="7">
        <v>1008900</v>
      </c>
      <c r="D695" s="5">
        <v>980000</v>
      </c>
      <c r="F695" s="19">
        <v>690</v>
      </c>
      <c r="G695" s="22">
        <v>45241</v>
      </c>
      <c r="H695" s="31">
        <f t="shared" si="21"/>
        <v>992050</v>
      </c>
      <c r="I695" s="31">
        <f t="shared" si="22"/>
        <v>967000</v>
      </c>
    </row>
    <row r="696" spans="1:9" x14ac:dyDescent="0.3">
      <c r="A696" s="3">
        <v>691</v>
      </c>
      <c r="B696" s="23">
        <v>45231</v>
      </c>
      <c r="C696" s="6">
        <v>1008900</v>
      </c>
      <c r="D696" s="4">
        <v>980000</v>
      </c>
      <c r="F696" s="19">
        <v>691</v>
      </c>
      <c r="G696" s="22">
        <v>45240</v>
      </c>
      <c r="H696" s="31">
        <f t="shared" si="21"/>
        <v>999000</v>
      </c>
      <c r="I696" s="31">
        <f t="shared" si="22"/>
        <v>970000</v>
      </c>
    </row>
    <row r="697" spans="1:9" x14ac:dyDescent="0.3">
      <c r="A697" s="3">
        <v>692</v>
      </c>
      <c r="B697" s="24">
        <v>45230</v>
      </c>
      <c r="C697" s="7">
        <v>1011600</v>
      </c>
      <c r="D697" s="5">
        <v>985000</v>
      </c>
      <c r="F697" s="19">
        <v>692</v>
      </c>
      <c r="G697" s="22">
        <v>45239</v>
      </c>
      <c r="H697" s="31">
        <f t="shared" si="21"/>
        <v>991550</v>
      </c>
      <c r="I697" s="31">
        <f t="shared" si="22"/>
        <v>964500</v>
      </c>
    </row>
    <row r="698" spans="1:9" x14ac:dyDescent="0.3">
      <c r="A698" s="3">
        <v>693</v>
      </c>
      <c r="B698" s="23">
        <v>45229</v>
      </c>
      <c r="C698" s="6">
        <v>1015400</v>
      </c>
      <c r="D698" s="4">
        <v>989000</v>
      </c>
      <c r="F698" s="19">
        <v>693</v>
      </c>
      <c r="G698" s="22">
        <v>45238</v>
      </c>
      <c r="H698" s="31">
        <f t="shared" si="21"/>
        <v>995500</v>
      </c>
      <c r="I698" s="31">
        <f t="shared" si="22"/>
        <v>969000</v>
      </c>
    </row>
    <row r="699" spans="1:9" x14ac:dyDescent="0.3">
      <c r="A699" s="3">
        <v>694</v>
      </c>
      <c r="B699" s="24">
        <v>45228</v>
      </c>
      <c r="C699" s="7">
        <v>1016400</v>
      </c>
      <c r="D699" s="5">
        <v>990500</v>
      </c>
      <c r="F699" s="19">
        <v>694</v>
      </c>
      <c r="G699" s="22">
        <v>45237</v>
      </c>
      <c r="H699" s="31">
        <f t="shared" si="21"/>
        <v>1001500</v>
      </c>
      <c r="I699" s="31">
        <f t="shared" si="22"/>
        <v>975000</v>
      </c>
    </row>
    <row r="700" spans="1:9" x14ac:dyDescent="0.3">
      <c r="A700" s="3">
        <v>695</v>
      </c>
      <c r="B700" s="23">
        <v>45227</v>
      </c>
      <c r="C700" s="6">
        <v>1016400</v>
      </c>
      <c r="D700" s="4">
        <v>990500</v>
      </c>
      <c r="F700" s="19">
        <v>695</v>
      </c>
      <c r="G700" s="22">
        <v>45236</v>
      </c>
      <c r="H700" s="31">
        <f t="shared" si="21"/>
        <v>1008450</v>
      </c>
      <c r="I700" s="31">
        <f t="shared" si="22"/>
        <v>981000</v>
      </c>
    </row>
    <row r="701" spans="1:9" x14ac:dyDescent="0.3">
      <c r="A701" s="3">
        <v>696</v>
      </c>
      <c r="B701" s="24">
        <v>45226</v>
      </c>
      <c r="C701" s="7">
        <v>1010450</v>
      </c>
      <c r="D701" s="5">
        <v>981500</v>
      </c>
      <c r="F701" s="19">
        <v>696</v>
      </c>
      <c r="G701" s="22">
        <v>45235</v>
      </c>
      <c r="H701" s="31">
        <f t="shared" si="21"/>
        <v>1010000</v>
      </c>
      <c r="I701" s="31">
        <f t="shared" si="22"/>
        <v>982500</v>
      </c>
    </row>
    <row r="702" spans="1:9" x14ac:dyDescent="0.3">
      <c r="A702" s="3">
        <v>697</v>
      </c>
      <c r="B702" s="23">
        <v>45225</v>
      </c>
      <c r="C702" s="6">
        <v>1014900</v>
      </c>
      <c r="D702" s="4">
        <v>988000</v>
      </c>
      <c r="F702" s="19">
        <v>697</v>
      </c>
      <c r="G702" s="22">
        <v>45234</v>
      </c>
      <c r="H702" s="31">
        <f t="shared" si="21"/>
        <v>1010000</v>
      </c>
      <c r="I702" s="31">
        <f t="shared" si="22"/>
        <v>982500</v>
      </c>
    </row>
    <row r="703" spans="1:9" x14ac:dyDescent="0.3">
      <c r="A703" s="3">
        <v>698</v>
      </c>
      <c r="B703" s="24">
        <v>45224</v>
      </c>
      <c r="C703" s="7">
        <v>1012900</v>
      </c>
      <c r="D703" s="5">
        <v>986000</v>
      </c>
      <c r="F703" s="19">
        <v>698</v>
      </c>
      <c r="G703" s="22">
        <v>45233</v>
      </c>
      <c r="H703" s="31">
        <f t="shared" si="21"/>
        <v>1013400</v>
      </c>
      <c r="I703" s="31">
        <f t="shared" si="22"/>
        <v>985000</v>
      </c>
    </row>
    <row r="704" spans="1:9" x14ac:dyDescent="0.3">
      <c r="A704" s="3">
        <v>699</v>
      </c>
      <c r="B704" s="23">
        <v>45223</v>
      </c>
      <c r="C704" s="6">
        <v>1011900</v>
      </c>
      <c r="D704" s="4">
        <v>986000</v>
      </c>
      <c r="F704" s="19">
        <v>699</v>
      </c>
      <c r="G704" s="22">
        <v>45232</v>
      </c>
      <c r="H704" s="31">
        <f t="shared" si="21"/>
        <v>1008900</v>
      </c>
      <c r="I704" s="31">
        <f t="shared" si="22"/>
        <v>980000</v>
      </c>
    </row>
    <row r="705" spans="1:9" x14ac:dyDescent="0.3">
      <c r="A705" s="3">
        <v>700</v>
      </c>
      <c r="B705" s="24">
        <v>45222</v>
      </c>
      <c r="C705" s="7">
        <v>1010410</v>
      </c>
      <c r="D705" s="5">
        <v>985000</v>
      </c>
      <c r="F705" s="19">
        <v>700</v>
      </c>
      <c r="G705" s="22">
        <v>45231</v>
      </c>
      <c r="H705" s="31">
        <f t="shared" si="21"/>
        <v>1008900</v>
      </c>
      <c r="I705" s="31">
        <f t="shared" si="22"/>
        <v>980000</v>
      </c>
    </row>
    <row r="706" spans="1:9" x14ac:dyDescent="0.3">
      <c r="A706" s="3">
        <v>701</v>
      </c>
      <c r="B706" s="23">
        <v>45221</v>
      </c>
      <c r="C706" s="6">
        <v>1017900</v>
      </c>
      <c r="D706" s="4">
        <v>992000</v>
      </c>
      <c r="F706" s="19">
        <v>701</v>
      </c>
      <c r="G706" s="22">
        <v>45230</v>
      </c>
      <c r="H706" s="31">
        <f t="shared" si="21"/>
        <v>1011600</v>
      </c>
      <c r="I706" s="31">
        <f t="shared" si="22"/>
        <v>985000</v>
      </c>
    </row>
    <row r="707" spans="1:9" x14ac:dyDescent="0.3">
      <c r="A707" s="3">
        <v>702</v>
      </c>
      <c r="B707" s="24">
        <v>45220</v>
      </c>
      <c r="C707" s="7">
        <v>1017900</v>
      </c>
      <c r="D707" s="5">
        <v>992000</v>
      </c>
      <c r="F707" s="19">
        <v>702</v>
      </c>
      <c r="G707" s="22">
        <v>45229</v>
      </c>
      <c r="H707" s="31">
        <f t="shared" si="21"/>
        <v>1015400</v>
      </c>
      <c r="I707" s="31">
        <f t="shared" si="22"/>
        <v>989000</v>
      </c>
    </row>
    <row r="708" spans="1:9" x14ac:dyDescent="0.3">
      <c r="A708" s="3">
        <v>703</v>
      </c>
      <c r="B708" s="23">
        <v>45219</v>
      </c>
      <c r="C708" s="6">
        <v>1014400</v>
      </c>
      <c r="D708" s="4">
        <v>988500</v>
      </c>
      <c r="F708" s="19">
        <v>703</v>
      </c>
      <c r="G708" s="22">
        <v>45228</v>
      </c>
      <c r="H708" s="31">
        <f t="shared" si="21"/>
        <v>1016400</v>
      </c>
      <c r="I708" s="31">
        <f t="shared" si="22"/>
        <v>990500</v>
      </c>
    </row>
    <row r="709" spans="1:9" x14ac:dyDescent="0.3">
      <c r="A709" s="3">
        <v>704</v>
      </c>
      <c r="B709" s="24">
        <v>45218</v>
      </c>
      <c r="C709" s="7">
        <v>988050</v>
      </c>
      <c r="D709" s="5">
        <v>963000</v>
      </c>
      <c r="F709" s="19">
        <v>704</v>
      </c>
      <c r="G709" s="22">
        <v>45227</v>
      </c>
      <c r="H709" s="31">
        <f t="shared" si="21"/>
        <v>1016400</v>
      </c>
      <c r="I709" s="31">
        <f t="shared" si="22"/>
        <v>990500</v>
      </c>
    </row>
    <row r="710" spans="1:9" x14ac:dyDescent="0.3">
      <c r="A710" s="3">
        <v>705</v>
      </c>
      <c r="B710" s="23">
        <v>45217</v>
      </c>
      <c r="C710" s="6">
        <v>987100</v>
      </c>
      <c r="D710" s="4">
        <v>967000</v>
      </c>
      <c r="F710" s="19">
        <v>705</v>
      </c>
      <c r="G710" s="22">
        <v>45226</v>
      </c>
      <c r="H710" s="31">
        <f t="shared" ref="H710:H773" si="23">_xlfn.XLOOKUP(G710,$B$6:$B$994,$C$6:$C$994,,-1)</f>
        <v>1010450</v>
      </c>
      <c r="I710" s="31">
        <f t="shared" ref="I710:I773" si="24">_xlfn.XLOOKUP(G710,$B$6:$B$994,$D$6:$D$994,,-1)</f>
        <v>981500</v>
      </c>
    </row>
    <row r="711" spans="1:9" x14ac:dyDescent="0.3">
      <c r="A711" s="3">
        <v>706</v>
      </c>
      <c r="B711" s="24">
        <v>45216</v>
      </c>
      <c r="C711" s="7">
        <v>979600</v>
      </c>
      <c r="D711" s="5">
        <v>955000</v>
      </c>
      <c r="F711" s="19">
        <v>706</v>
      </c>
      <c r="G711" s="22">
        <v>45225</v>
      </c>
      <c r="H711" s="31">
        <f t="shared" si="23"/>
        <v>1014900</v>
      </c>
      <c r="I711" s="31">
        <f t="shared" si="24"/>
        <v>988000</v>
      </c>
    </row>
    <row r="712" spans="1:9" x14ac:dyDescent="0.3">
      <c r="A712" s="3">
        <v>707</v>
      </c>
      <c r="B712" s="23">
        <v>45215</v>
      </c>
      <c r="C712" s="6">
        <v>981050</v>
      </c>
      <c r="D712" s="4">
        <v>957000</v>
      </c>
      <c r="F712" s="19">
        <v>707</v>
      </c>
      <c r="G712" s="22">
        <v>45224</v>
      </c>
      <c r="H712" s="31">
        <f t="shared" si="23"/>
        <v>1012900</v>
      </c>
      <c r="I712" s="31">
        <f t="shared" si="24"/>
        <v>986000</v>
      </c>
    </row>
    <row r="713" spans="1:9" x14ac:dyDescent="0.3">
      <c r="A713" s="3">
        <v>708</v>
      </c>
      <c r="B713" s="24">
        <v>45214</v>
      </c>
      <c r="C713" s="7">
        <v>983050</v>
      </c>
      <c r="D713" s="5">
        <v>958000</v>
      </c>
      <c r="F713" s="19">
        <v>708</v>
      </c>
      <c r="G713" s="22">
        <v>45223</v>
      </c>
      <c r="H713" s="31">
        <f t="shared" si="23"/>
        <v>1011900</v>
      </c>
      <c r="I713" s="31">
        <f t="shared" si="24"/>
        <v>986000</v>
      </c>
    </row>
    <row r="714" spans="1:9" x14ac:dyDescent="0.3">
      <c r="A714" s="3">
        <v>709</v>
      </c>
      <c r="B714" s="23">
        <v>45213</v>
      </c>
      <c r="C714" s="6">
        <v>983050</v>
      </c>
      <c r="D714" s="4">
        <v>958000</v>
      </c>
      <c r="F714" s="19">
        <v>709</v>
      </c>
      <c r="G714" s="22">
        <v>45222</v>
      </c>
      <c r="H714" s="31">
        <f t="shared" si="23"/>
        <v>1010410</v>
      </c>
      <c r="I714" s="31">
        <f t="shared" si="24"/>
        <v>985000</v>
      </c>
    </row>
    <row r="715" spans="1:9" x14ac:dyDescent="0.3">
      <c r="A715" s="3">
        <v>710</v>
      </c>
      <c r="B715" s="24">
        <v>45212</v>
      </c>
      <c r="C715" s="7">
        <v>964150</v>
      </c>
      <c r="D715" s="5">
        <v>945000</v>
      </c>
      <c r="F715" s="19">
        <v>710</v>
      </c>
      <c r="G715" s="22">
        <v>45221</v>
      </c>
      <c r="H715" s="31">
        <f t="shared" si="23"/>
        <v>1017900</v>
      </c>
      <c r="I715" s="31">
        <f t="shared" si="24"/>
        <v>992000</v>
      </c>
    </row>
    <row r="716" spans="1:9" x14ac:dyDescent="0.3">
      <c r="A716" s="3">
        <v>711</v>
      </c>
      <c r="B716" s="23">
        <v>45211</v>
      </c>
      <c r="C716" s="6">
        <v>964150</v>
      </c>
      <c r="D716" s="4">
        <v>945000</v>
      </c>
      <c r="F716" s="19">
        <v>711</v>
      </c>
      <c r="G716" s="22">
        <v>45220</v>
      </c>
      <c r="H716" s="31">
        <f t="shared" si="23"/>
        <v>1017900</v>
      </c>
      <c r="I716" s="31">
        <f t="shared" si="24"/>
        <v>992000</v>
      </c>
    </row>
    <row r="717" spans="1:9" x14ac:dyDescent="0.3">
      <c r="A717" s="3">
        <v>712</v>
      </c>
      <c r="B717" s="24">
        <v>45210</v>
      </c>
      <c r="C717" s="7">
        <v>953750</v>
      </c>
      <c r="D717" s="5">
        <v>934000</v>
      </c>
      <c r="F717" s="19">
        <v>712</v>
      </c>
      <c r="G717" s="22">
        <v>45219</v>
      </c>
      <c r="H717" s="31">
        <f t="shared" si="23"/>
        <v>1014400</v>
      </c>
      <c r="I717" s="31">
        <f t="shared" si="24"/>
        <v>988500</v>
      </c>
    </row>
    <row r="718" spans="1:9" x14ac:dyDescent="0.3">
      <c r="A718" s="3">
        <v>713</v>
      </c>
      <c r="B718" s="23">
        <v>45209</v>
      </c>
      <c r="C718" s="6">
        <v>952300</v>
      </c>
      <c r="D718" s="4">
        <v>933500</v>
      </c>
      <c r="F718" s="19">
        <v>713</v>
      </c>
      <c r="G718" s="22">
        <v>45218</v>
      </c>
      <c r="H718" s="31">
        <f t="shared" si="23"/>
        <v>988050</v>
      </c>
      <c r="I718" s="31">
        <f t="shared" si="24"/>
        <v>963000</v>
      </c>
    </row>
    <row r="719" spans="1:9" x14ac:dyDescent="0.3">
      <c r="A719" s="3">
        <v>714</v>
      </c>
      <c r="B719" s="24">
        <v>45208</v>
      </c>
      <c r="C719" s="7">
        <v>948750</v>
      </c>
      <c r="D719" s="5">
        <v>930000</v>
      </c>
      <c r="F719" s="19">
        <v>714</v>
      </c>
      <c r="G719" s="22">
        <v>45217</v>
      </c>
      <c r="H719" s="31">
        <f t="shared" si="23"/>
        <v>987100</v>
      </c>
      <c r="I719" s="31">
        <f t="shared" si="24"/>
        <v>967000</v>
      </c>
    </row>
    <row r="720" spans="1:9" x14ac:dyDescent="0.3">
      <c r="A720" s="3">
        <v>715</v>
      </c>
      <c r="B720" s="23">
        <v>45207</v>
      </c>
      <c r="C720" s="6">
        <v>939800</v>
      </c>
      <c r="D720" s="4">
        <v>921000</v>
      </c>
      <c r="F720" s="19">
        <v>715</v>
      </c>
      <c r="G720" s="22">
        <v>45216</v>
      </c>
      <c r="H720" s="31">
        <f t="shared" si="23"/>
        <v>979600</v>
      </c>
      <c r="I720" s="31">
        <f t="shared" si="24"/>
        <v>955000</v>
      </c>
    </row>
    <row r="721" spans="1:9" x14ac:dyDescent="0.3">
      <c r="A721" s="3">
        <v>716</v>
      </c>
      <c r="B721" s="24">
        <v>45206</v>
      </c>
      <c r="C721" s="7">
        <v>939780</v>
      </c>
      <c r="D721" s="5">
        <v>921000</v>
      </c>
      <c r="F721" s="19">
        <v>716</v>
      </c>
      <c r="G721" s="22">
        <v>45215</v>
      </c>
      <c r="H721" s="31">
        <f t="shared" si="23"/>
        <v>981050</v>
      </c>
      <c r="I721" s="31">
        <f t="shared" si="24"/>
        <v>957000</v>
      </c>
    </row>
    <row r="722" spans="1:9" x14ac:dyDescent="0.3">
      <c r="A722" s="3">
        <v>717</v>
      </c>
      <c r="B722" s="23">
        <v>45205</v>
      </c>
      <c r="C722" s="6">
        <v>931350</v>
      </c>
      <c r="D722" s="4">
        <v>913000</v>
      </c>
      <c r="F722" s="19">
        <v>717</v>
      </c>
      <c r="G722" s="22">
        <v>45214</v>
      </c>
      <c r="H722" s="31">
        <f t="shared" si="23"/>
        <v>983050</v>
      </c>
      <c r="I722" s="31">
        <f t="shared" si="24"/>
        <v>958000</v>
      </c>
    </row>
    <row r="723" spans="1:9" x14ac:dyDescent="0.3">
      <c r="A723" s="3">
        <v>718</v>
      </c>
      <c r="B723" s="24">
        <v>45204</v>
      </c>
      <c r="C723" s="7">
        <v>930850</v>
      </c>
      <c r="D723" s="5">
        <v>913500</v>
      </c>
      <c r="F723" s="19">
        <v>718</v>
      </c>
      <c r="G723" s="22">
        <v>45213</v>
      </c>
      <c r="H723" s="31">
        <f t="shared" si="23"/>
        <v>983050</v>
      </c>
      <c r="I723" s="31">
        <f t="shared" si="24"/>
        <v>958000</v>
      </c>
    </row>
    <row r="724" spans="1:9" x14ac:dyDescent="0.3">
      <c r="A724" s="3">
        <v>719</v>
      </c>
      <c r="B724" s="23">
        <v>45203</v>
      </c>
      <c r="C724" s="6">
        <v>925900</v>
      </c>
      <c r="D724" s="4">
        <v>913500</v>
      </c>
      <c r="F724" s="19">
        <v>719</v>
      </c>
      <c r="G724" s="22">
        <v>45212</v>
      </c>
      <c r="H724" s="31">
        <f t="shared" si="23"/>
        <v>964150</v>
      </c>
      <c r="I724" s="31">
        <f t="shared" si="24"/>
        <v>945000</v>
      </c>
    </row>
    <row r="725" spans="1:9" x14ac:dyDescent="0.3">
      <c r="A725" s="3">
        <v>720</v>
      </c>
      <c r="B725" s="24">
        <v>45202</v>
      </c>
      <c r="C725" s="7">
        <v>919900</v>
      </c>
      <c r="D725" s="5">
        <v>901500</v>
      </c>
      <c r="F725" s="19">
        <v>720</v>
      </c>
      <c r="G725" s="22">
        <v>45211</v>
      </c>
      <c r="H725" s="31">
        <f t="shared" si="23"/>
        <v>964150</v>
      </c>
      <c r="I725" s="31">
        <f t="shared" si="24"/>
        <v>945000</v>
      </c>
    </row>
    <row r="726" spans="1:9" x14ac:dyDescent="0.3">
      <c r="A726" s="3">
        <v>721</v>
      </c>
      <c r="B726" s="23">
        <v>45201</v>
      </c>
      <c r="C726" s="6">
        <v>929400</v>
      </c>
      <c r="D726" s="4">
        <v>911000</v>
      </c>
      <c r="F726" s="19">
        <v>721</v>
      </c>
      <c r="G726" s="22">
        <v>45210</v>
      </c>
      <c r="H726" s="31">
        <f t="shared" si="23"/>
        <v>953750</v>
      </c>
      <c r="I726" s="31">
        <f t="shared" si="24"/>
        <v>934000</v>
      </c>
    </row>
    <row r="727" spans="1:9" x14ac:dyDescent="0.3">
      <c r="A727" s="3">
        <v>722</v>
      </c>
      <c r="B727" s="24">
        <v>45200</v>
      </c>
      <c r="C727" s="7">
        <v>931850</v>
      </c>
      <c r="D727" s="5">
        <v>913000</v>
      </c>
      <c r="F727" s="19">
        <v>722</v>
      </c>
      <c r="G727" s="22">
        <v>45209</v>
      </c>
      <c r="H727" s="31">
        <f t="shared" si="23"/>
        <v>952300</v>
      </c>
      <c r="I727" s="31">
        <f t="shared" si="24"/>
        <v>933500</v>
      </c>
    </row>
    <row r="728" spans="1:9" x14ac:dyDescent="0.3">
      <c r="A728" s="3">
        <v>723</v>
      </c>
      <c r="B728" s="23">
        <v>45199</v>
      </c>
      <c r="C728" s="6">
        <v>931850</v>
      </c>
      <c r="D728" s="4">
        <v>913000</v>
      </c>
      <c r="F728" s="19">
        <v>723</v>
      </c>
      <c r="G728" s="22">
        <v>45208</v>
      </c>
      <c r="H728" s="31">
        <f t="shared" si="23"/>
        <v>948750</v>
      </c>
      <c r="I728" s="31">
        <f t="shared" si="24"/>
        <v>930000</v>
      </c>
    </row>
    <row r="729" spans="1:9" x14ac:dyDescent="0.3">
      <c r="A729" s="3">
        <v>724</v>
      </c>
      <c r="B729" s="24">
        <v>45198</v>
      </c>
      <c r="C729" s="7">
        <v>934850</v>
      </c>
      <c r="D729" s="5">
        <v>916000</v>
      </c>
      <c r="F729" s="19">
        <v>724</v>
      </c>
      <c r="G729" s="22">
        <v>45207</v>
      </c>
      <c r="H729" s="31">
        <f t="shared" si="23"/>
        <v>939800</v>
      </c>
      <c r="I729" s="31">
        <f t="shared" si="24"/>
        <v>921000</v>
      </c>
    </row>
    <row r="730" spans="1:9" x14ac:dyDescent="0.3">
      <c r="A730" s="3">
        <v>725</v>
      </c>
      <c r="B730" s="23">
        <v>45197</v>
      </c>
      <c r="C730" s="6">
        <v>952250</v>
      </c>
      <c r="D730" s="4">
        <v>933000</v>
      </c>
      <c r="F730" s="19">
        <v>725</v>
      </c>
      <c r="G730" s="22">
        <v>45206</v>
      </c>
      <c r="H730" s="31">
        <f t="shared" si="23"/>
        <v>939780</v>
      </c>
      <c r="I730" s="31">
        <f t="shared" si="24"/>
        <v>921000</v>
      </c>
    </row>
    <row r="731" spans="1:9" x14ac:dyDescent="0.3">
      <c r="A731" s="3">
        <v>726</v>
      </c>
      <c r="B731" s="24">
        <v>45196</v>
      </c>
      <c r="C731" s="7">
        <v>952250</v>
      </c>
      <c r="D731" s="5">
        <v>933000</v>
      </c>
      <c r="F731" s="19">
        <v>726</v>
      </c>
      <c r="G731" s="22">
        <v>45205</v>
      </c>
      <c r="H731" s="31">
        <f t="shared" si="23"/>
        <v>931350</v>
      </c>
      <c r="I731" s="31">
        <f t="shared" si="24"/>
        <v>913000</v>
      </c>
    </row>
    <row r="732" spans="1:9" x14ac:dyDescent="0.3">
      <c r="A732" s="3">
        <v>727</v>
      </c>
      <c r="B732" s="23">
        <v>45195</v>
      </c>
      <c r="C732" s="6">
        <v>954210</v>
      </c>
      <c r="D732" s="4">
        <v>935000</v>
      </c>
      <c r="F732" s="19">
        <v>727</v>
      </c>
      <c r="G732" s="22">
        <v>45204</v>
      </c>
      <c r="H732" s="31">
        <f t="shared" si="23"/>
        <v>930850</v>
      </c>
      <c r="I732" s="31">
        <f t="shared" si="24"/>
        <v>913500</v>
      </c>
    </row>
    <row r="733" spans="1:9" x14ac:dyDescent="0.3">
      <c r="A733" s="3">
        <v>728</v>
      </c>
      <c r="B733" s="24">
        <v>45194</v>
      </c>
      <c r="C733" s="7">
        <v>955720</v>
      </c>
      <c r="D733" s="5">
        <v>936500</v>
      </c>
      <c r="F733" s="19">
        <v>728</v>
      </c>
      <c r="G733" s="22">
        <v>45203</v>
      </c>
      <c r="H733" s="31">
        <f t="shared" si="23"/>
        <v>925900</v>
      </c>
      <c r="I733" s="31">
        <f t="shared" si="24"/>
        <v>913500</v>
      </c>
    </row>
    <row r="734" spans="1:9" x14ac:dyDescent="0.3">
      <c r="A734" s="3">
        <v>729</v>
      </c>
      <c r="B734" s="23">
        <v>45193</v>
      </c>
      <c r="C734" s="6">
        <v>955210</v>
      </c>
      <c r="D734" s="4">
        <v>936000</v>
      </c>
      <c r="F734" s="19">
        <v>729</v>
      </c>
      <c r="G734" s="22">
        <v>45202</v>
      </c>
      <c r="H734" s="31">
        <f t="shared" si="23"/>
        <v>919900</v>
      </c>
      <c r="I734" s="31">
        <f t="shared" si="24"/>
        <v>901500</v>
      </c>
    </row>
    <row r="735" spans="1:9" x14ac:dyDescent="0.3">
      <c r="A735" s="3">
        <v>730</v>
      </c>
      <c r="B735" s="24">
        <v>45192</v>
      </c>
      <c r="C735" s="7">
        <v>955210</v>
      </c>
      <c r="D735" s="5">
        <v>936000</v>
      </c>
      <c r="F735" s="19">
        <v>730</v>
      </c>
      <c r="G735" s="22">
        <v>45201</v>
      </c>
      <c r="H735" s="31">
        <f t="shared" si="23"/>
        <v>929400</v>
      </c>
      <c r="I735" s="31">
        <f t="shared" si="24"/>
        <v>911000</v>
      </c>
    </row>
    <row r="736" spans="1:9" x14ac:dyDescent="0.3">
      <c r="A736" s="3">
        <v>731</v>
      </c>
      <c r="B736" s="23">
        <v>45191</v>
      </c>
      <c r="C736" s="6">
        <v>959180</v>
      </c>
      <c r="D736" s="4">
        <v>940000</v>
      </c>
      <c r="F736" s="19">
        <v>731</v>
      </c>
      <c r="G736" s="22">
        <v>45200</v>
      </c>
      <c r="H736" s="31">
        <f t="shared" si="23"/>
        <v>931850</v>
      </c>
      <c r="I736" s="31">
        <f t="shared" si="24"/>
        <v>913000</v>
      </c>
    </row>
    <row r="737" spans="1:9" x14ac:dyDescent="0.3">
      <c r="A737" s="3">
        <v>732</v>
      </c>
      <c r="B737" s="24">
        <v>45190</v>
      </c>
      <c r="C737" s="7">
        <v>959180</v>
      </c>
      <c r="D737" s="5">
        <v>939500</v>
      </c>
      <c r="F737" s="19">
        <v>732</v>
      </c>
      <c r="G737" s="22">
        <v>45199</v>
      </c>
      <c r="H737" s="31">
        <f t="shared" si="23"/>
        <v>931850</v>
      </c>
      <c r="I737" s="31">
        <f t="shared" si="24"/>
        <v>913000</v>
      </c>
    </row>
    <row r="738" spans="1:9" x14ac:dyDescent="0.3">
      <c r="A738" s="3">
        <v>733</v>
      </c>
      <c r="B738" s="23">
        <v>45189</v>
      </c>
      <c r="C738" s="6">
        <v>959180</v>
      </c>
      <c r="D738" s="4">
        <v>940000</v>
      </c>
      <c r="F738" s="19">
        <v>733</v>
      </c>
      <c r="G738" s="22">
        <v>45198</v>
      </c>
      <c r="H738" s="31">
        <f t="shared" si="23"/>
        <v>934850</v>
      </c>
      <c r="I738" s="31">
        <f t="shared" si="24"/>
        <v>916000</v>
      </c>
    </row>
    <row r="739" spans="1:9" x14ac:dyDescent="0.3">
      <c r="A739" s="3">
        <v>734</v>
      </c>
      <c r="B739" s="24">
        <v>45188</v>
      </c>
      <c r="C739" s="7">
        <v>960180</v>
      </c>
      <c r="D739" s="5">
        <v>940500</v>
      </c>
      <c r="F739" s="19">
        <v>734</v>
      </c>
      <c r="G739" s="22">
        <v>45197</v>
      </c>
      <c r="H739" s="31">
        <f t="shared" si="23"/>
        <v>952250</v>
      </c>
      <c r="I739" s="31">
        <f t="shared" si="24"/>
        <v>933000</v>
      </c>
    </row>
    <row r="740" spans="1:9" x14ac:dyDescent="0.3">
      <c r="A740" s="3">
        <v>735</v>
      </c>
      <c r="B740" s="23">
        <v>45187</v>
      </c>
      <c r="C740" s="6">
        <v>955750</v>
      </c>
      <c r="D740" s="4">
        <v>936500</v>
      </c>
      <c r="F740" s="19">
        <v>735</v>
      </c>
      <c r="G740" s="22">
        <v>45196</v>
      </c>
      <c r="H740" s="31">
        <f t="shared" si="23"/>
        <v>952250</v>
      </c>
      <c r="I740" s="31">
        <f t="shared" si="24"/>
        <v>933000</v>
      </c>
    </row>
    <row r="741" spans="1:9" x14ac:dyDescent="0.3">
      <c r="A741" s="3">
        <v>736</v>
      </c>
      <c r="B741" s="24">
        <v>45186</v>
      </c>
      <c r="C741" s="7">
        <v>955210</v>
      </c>
      <c r="D741" s="5">
        <v>936000</v>
      </c>
      <c r="F741" s="19">
        <v>736</v>
      </c>
      <c r="G741" s="22">
        <v>45195</v>
      </c>
      <c r="H741" s="31">
        <f t="shared" si="23"/>
        <v>954210</v>
      </c>
      <c r="I741" s="31">
        <f t="shared" si="24"/>
        <v>935000</v>
      </c>
    </row>
    <row r="742" spans="1:9" x14ac:dyDescent="0.3">
      <c r="A742" s="3">
        <v>737</v>
      </c>
      <c r="B742" s="23">
        <v>45185</v>
      </c>
      <c r="C742" s="6">
        <v>955210</v>
      </c>
      <c r="D742" s="4">
        <v>936000</v>
      </c>
      <c r="F742" s="19">
        <v>737</v>
      </c>
      <c r="G742" s="22">
        <v>45194</v>
      </c>
      <c r="H742" s="31">
        <f t="shared" si="23"/>
        <v>955720</v>
      </c>
      <c r="I742" s="31">
        <f t="shared" si="24"/>
        <v>936500</v>
      </c>
    </row>
    <row r="743" spans="1:9" x14ac:dyDescent="0.3">
      <c r="A743" s="3">
        <v>738</v>
      </c>
      <c r="B743" s="24">
        <v>45184</v>
      </c>
      <c r="C743" s="7">
        <v>952720</v>
      </c>
      <c r="D743" s="5">
        <v>933500</v>
      </c>
      <c r="F743" s="19">
        <v>738</v>
      </c>
      <c r="G743" s="22">
        <v>45193</v>
      </c>
      <c r="H743" s="31">
        <f t="shared" si="23"/>
        <v>955210</v>
      </c>
      <c r="I743" s="31">
        <f t="shared" si="24"/>
        <v>936000</v>
      </c>
    </row>
    <row r="744" spans="1:9" x14ac:dyDescent="0.3">
      <c r="A744" s="3">
        <v>739</v>
      </c>
      <c r="B744" s="23">
        <v>45183</v>
      </c>
      <c r="C744" s="6">
        <v>951730</v>
      </c>
      <c r="D744" s="4">
        <v>932500</v>
      </c>
      <c r="F744" s="19">
        <v>739</v>
      </c>
      <c r="G744" s="22">
        <v>45192</v>
      </c>
      <c r="H744" s="31">
        <f t="shared" si="23"/>
        <v>955210</v>
      </c>
      <c r="I744" s="31">
        <f t="shared" si="24"/>
        <v>936000</v>
      </c>
    </row>
    <row r="745" spans="1:9" x14ac:dyDescent="0.3">
      <c r="A745" s="3">
        <v>740</v>
      </c>
      <c r="B745" s="24">
        <v>45182</v>
      </c>
      <c r="C745" s="7">
        <v>947750</v>
      </c>
      <c r="D745" s="5">
        <v>928500</v>
      </c>
      <c r="F745" s="19">
        <v>740</v>
      </c>
      <c r="G745" s="22">
        <v>45191</v>
      </c>
      <c r="H745" s="31">
        <f t="shared" si="23"/>
        <v>959180</v>
      </c>
      <c r="I745" s="31">
        <f t="shared" si="24"/>
        <v>940000</v>
      </c>
    </row>
    <row r="746" spans="1:9" x14ac:dyDescent="0.3">
      <c r="A746" s="3">
        <v>741</v>
      </c>
      <c r="B746" s="23">
        <v>45181</v>
      </c>
      <c r="C746" s="6">
        <v>952230</v>
      </c>
      <c r="D746" s="4">
        <v>933000</v>
      </c>
      <c r="F746" s="19">
        <v>741</v>
      </c>
      <c r="G746" s="22">
        <v>45190</v>
      </c>
      <c r="H746" s="31">
        <f t="shared" si="23"/>
        <v>959180</v>
      </c>
      <c r="I746" s="31">
        <f t="shared" si="24"/>
        <v>939500</v>
      </c>
    </row>
    <row r="747" spans="1:9" x14ac:dyDescent="0.3">
      <c r="A747" s="3">
        <v>742</v>
      </c>
      <c r="B747" s="24">
        <v>45180</v>
      </c>
      <c r="C747" s="7">
        <v>951730</v>
      </c>
      <c r="D747" s="5">
        <v>932500</v>
      </c>
      <c r="F747" s="19">
        <v>742</v>
      </c>
      <c r="G747" s="22">
        <v>45189</v>
      </c>
      <c r="H747" s="31">
        <f t="shared" si="23"/>
        <v>959180</v>
      </c>
      <c r="I747" s="31">
        <f t="shared" si="24"/>
        <v>940000</v>
      </c>
    </row>
    <row r="748" spans="1:9" x14ac:dyDescent="0.3">
      <c r="A748" s="3">
        <v>743</v>
      </c>
      <c r="B748" s="23">
        <v>45179</v>
      </c>
      <c r="C748" s="6">
        <v>952230</v>
      </c>
      <c r="D748" s="4">
        <v>933000</v>
      </c>
      <c r="F748" s="19">
        <v>743</v>
      </c>
      <c r="G748" s="22">
        <v>45188</v>
      </c>
      <c r="H748" s="31">
        <f t="shared" si="23"/>
        <v>960180</v>
      </c>
      <c r="I748" s="31">
        <f t="shared" si="24"/>
        <v>940500</v>
      </c>
    </row>
    <row r="749" spans="1:9" x14ac:dyDescent="0.3">
      <c r="A749" s="3">
        <v>744</v>
      </c>
      <c r="B749" s="24">
        <v>45178</v>
      </c>
      <c r="C749" s="7">
        <v>952230</v>
      </c>
      <c r="D749" s="5">
        <v>933000</v>
      </c>
      <c r="F749" s="19">
        <v>744</v>
      </c>
      <c r="G749" s="22">
        <v>45187</v>
      </c>
      <c r="H749" s="31">
        <f t="shared" si="23"/>
        <v>955750</v>
      </c>
      <c r="I749" s="31">
        <f t="shared" si="24"/>
        <v>936500</v>
      </c>
    </row>
    <row r="750" spans="1:9" x14ac:dyDescent="0.3">
      <c r="A750" s="3">
        <v>745</v>
      </c>
      <c r="B750" s="23">
        <v>45177</v>
      </c>
      <c r="C750" s="6">
        <v>956700</v>
      </c>
      <c r="D750" s="4">
        <v>937500</v>
      </c>
      <c r="F750" s="19">
        <v>745</v>
      </c>
      <c r="G750" s="22">
        <v>45186</v>
      </c>
      <c r="H750" s="31">
        <f t="shared" si="23"/>
        <v>955210</v>
      </c>
      <c r="I750" s="31">
        <f t="shared" si="24"/>
        <v>936000</v>
      </c>
    </row>
    <row r="751" spans="1:9" x14ac:dyDescent="0.3">
      <c r="A751" s="3">
        <v>746</v>
      </c>
      <c r="B751" s="24">
        <v>45176</v>
      </c>
      <c r="C751" s="7">
        <v>953220</v>
      </c>
      <c r="D751" s="5">
        <v>934000</v>
      </c>
      <c r="F751" s="19">
        <v>746</v>
      </c>
      <c r="G751" s="22">
        <v>45185</v>
      </c>
      <c r="H751" s="31">
        <f t="shared" si="23"/>
        <v>955210</v>
      </c>
      <c r="I751" s="31">
        <f t="shared" si="24"/>
        <v>936000</v>
      </c>
    </row>
    <row r="752" spans="1:9" x14ac:dyDescent="0.3">
      <c r="A752" s="3">
        <v>747</v>
      </c>
      <c r="B752" s="23">
        <v>45175</v>
      </c>
      <c r="C752" s="6">
        <v>955250</v>
      </c>
      <c r="D752" s="4">
        <v>936000</v>
      </c>
      <c r="F752" s="19">
        <v>747</v>
      </c>
      <c r="G752" s="22">
        <v>45184</v>
      </c>
      <c r="H752" s="31">
        <f t="shared" si="23"/>
        <v>952720</v>
      </c>
      <c r="I752" s="31">
        <f t="shared" si="24"/>
        <v>933500</v>
      </c>
    </row>
    <row r="753" spans="1:9" x14ac:dyDescent="0.3">
      <c r="A753" s="3">
        <v>748</v>
      </c>
      <c r="B753" s="24">
        <v>45174</v>
      </c>
      <c r="C753" s="7">
        <v>954210</v>
      </c>
      <c r="D753" s="5">
        <v>935000</v>
      </c>
      <c r="F753" s="19">
        <v>748</v>
      </c>
      <c r="G753" s="22">
        <v>45183</v>
      </c>
      <c r="H753" s="31">
        <f t="shared" si="23"/>
        <v>951730</v>
      </c>
      <c r="I753" s="31">
        <f t="shared" si="24"/>
        <v>932500</v>
      </c>
    </row>
    <row r="754" spans="1:9" x14ac:dyDescent="0.3">
      <c r="A754" s="3">
        <v>749</v>
      </c>
      <c r="B754" s="23">
        <v>45173</v>
      </c>
      <c r="C754" s="6">
        <v>960180</v>
      </c>
      <c r="D754" s="4">
        <v>941000</v>
      </c>
      <c r="F754" s="19">
        <v>749</v>
      </c>
      <c r="G754" s="22">
        <v>45182</v>
      </c>
      <c r="H754" s="31">
        <f t="shared" si="23"/>
        <v>947750</v>
      </c>
      <c r="I754" s="31">
        <f t="shared" si="24"/>
        <v>928500</v>
      </c>
    </row>
    <row r="755" spans="1:9" x14ac:dyDescent="0.3">
      <c r="A755" s="3">
        <v>750</v>
      </c>
      <c r="B755" s="24">
        <v>45172</v>
      </c>
      <c r="C755" s="7">
        <v>960180</v>
      </c>
      <c r="D755" s="5">
        <v>941000</v>
      </c>
      <c r="F755" s="19">
        <v>750</v>
      </c>
      <c r="G755" s="22">
        <v>45181</v>
      </c>
      <c r="H755" s="31">
        <f t="shared" si="23"/>
        <v>952230</v>
      </c>
      <c r="I755" s="31">
        <f t="shared" si="24"/>
        <v>933000</v>
      </c>
    </row>
    <row r="756" spans="1:9" x14ac:dyDescent="0.3">
      <c r="A756" s="3">
        <v>751</v>
      </c>
      <c r="B756" s="23">
        <v>45171</v>
      </c>
      <c r="C756" s="6">
        <v>960180</v>
      </c>
      <c r="D756" s="4">
        <v>941000</v>
      </c>
      <c r="F756" s="19">
        <v>751</v>
      </c>
      <c r="G756" s="22">
        <v>45180</v>
      </c>
      <c r="H756" s="31">
        <f t="shared" si="23"/>
        <v>951730</v>
      </c>
      <c r="I756" s="31">
        <f t="shared" si="24"/>
        <v>932500</v>
      </c>
    </row>
    <row r="757" spans="1:9" x14ac:dyDescent="0.3">
      <c r="A757" s="3">
        <v>752</v>
      </c>
      <c r="B757" s="24">
        <v>45170</v>
      </c>
      <c r="C757" s="7">
        <v>956700</v>
      </c>
      <c r="D757" s="5">
        <v>937500</v>
      </c>
      <c r="F757" s="19">
        <v>752</v>
      </c>
      <c r="G757" s="22">
        <v>45179</v>
      </c>
      <c r="H757" s="31">
        <f t="shared" si="23"/>
        <v>952230</v>
      </c>
      <c r="I757" s="31">
        <f t="shared" si="24"/>
        <v>933000</v>
      </c>
    </row>
    <row r="758" spans="1:9" x14ac:dyDescent="0.3">
      <c r="A758" s="3">
        <v>753</v>
      </c>
      <c r="B758" s="23">
        <v>45169</v>
      </c>
      <c r="C758" s="6">
        <v>960180</v>
      </c>
      <c r="D758" s="4">
        <v>940500</v>
      </c>
      <c r="F758" s="19">
        <v>753</v>
      </c>
      <c r="G758" s="22">
        <v>45178</v>
      </c>
      <c r="H758" s="31">
        <f t="shared" si="23"/>
        <v>952230</v>
      </c>
      <c r="I758" s="31">
        <f t="shared" si="24"/>
        <v>933000</v>
      </c>
    </row>
    <row r="759" spans="1:9" x14ac:dyDescent="0.3">
      <c r="A759" s="3">
        <v>754</v>
      </c>
      <c r="B759" s="24">
        <v>45168</v>
      </c>
      <c r="C759" s="7">
        <v>956200</v>
      </c>
      <c r="D759" s="5">
        <v>937000</v>
      </c>
      <c r="F759" s="19">
        <v>754</v>
      </c>
      <c r="G759" s="22">
        <v>45177</v>
      </c>
      <c r="H759" s="31">
        <f t="shared" si="23"/>
        <v>956700</v>
      </c>
      <c r="I759" s="31">
        <f t="shared" si="24"/>
        <v>937500</v>
      </c>
    </row>
    <row r="760" spans="1:9" x14ac:dyDescent="0.3">
      <c r="A760" s="3">
        <v>755</v>
      </c>
      <c r="B760" s="23">
        <v>45167</v>
      </c>
      <c r="C760" s="6">
        <v>952720</v>
      </c>
      <c r="D760" s="4">
        <v>934000</v>
      </c>
      <c r="F760" s="19">
        <v>755</v>
      </c>
      <c r="G760" s="22">
        <v>45176</v>
      </c>
      <c r="H760" s="31">
        <f t="shared" si="23"/>
        <v>953220</v>
      </c>
      <c r="I760" s="31">
        <f t="shared" si="24"/>
        <v>934000</v>
      </c>
    </row>
    <row r="761" spans="1:9" x14ac:dyDescent="0.3">
      <c r="A761" s="3">
        <v>756</v>
      </c>
      <c r="B761" s="24">
        <v>45166</v>
      </c>
      <c r="C761" s="7">
        <v>949740</v>
      </c>
      <c r="D761" s="5">
        <v>930500</v>
      </c>
      <c r="F761" s="19">
        <v>756</v>
      </c>
      <c r="G761" s="22">
        <v>45175</v>
      </c>
      <c r="H761" s="31">
        <f t="shared" si="23"/>
        <v>955250</v>
      </c>
      <c r="I761" s="31">
        <f t="shared" si="24"/>
        <v>936000</v>
      </c>
    </row>
    <row r="762" spans="1:9" x14ac:dyDescent="0.3">
      <c r="A762" s="3">
        <v>757</v>
      </c>
      <c r="B762" s="23">
        <v>45165</v>
      </c>
      <c r="C762" s="6">
        <v>949740</v>
      </c>
      <c r="D762" s="4">
        <v>931000</v>
      </c>
      <c r="F762" s="19">
        <v>757</v>
      </c>
      <c r="G762" s="22">
        <v>45174</v>
      </c>
      <c r="H762" s="31">
        <f t="shared" si="23"/>
        <v>954210</v>
      </c>
      <c r="I762" s="31">
        <f t="shared" si="24"/>
        <v>935000</v>
      </c>
    </row>
    <row r="763" spans="1:9" x14ac:dyDescent="0.3">
      <c r="A763" s="3">
        <v>758</v>
      </c>
      <c r="B763" s="24">
        <v>45164</v>
      </c>
      <c r="C763" s="7">
        <v>949740</v>
      </c>
      <c r="D763" s="5">
        <v>931000</v>
      </c>
      <c r="F763" s="19">
        <v>758</v>
      </c>
      <c r="G763" s="22">
        <v>45173</v>
      </c>
      <c r="H763" s="31">
        <f t="shared" si="23"/>
        <v>960180</v>
      </c>
      <c r="I763" s="31">
        <f t="shared" si="24"/>
        <v>941000</v>
      </c>
    </row>
    <row r="764" spans="1:9" x14ac:dyDescent="0.3">
      <c r="A764" s="3">
        <v>759</v>
      </c>
      <c r="B764" s="23">
        <v>45163</v>
      </c>
      <c r="C764" s="6">
        <v>944770</v>
      </c>
      <c r="D764" s="4">
        <v>926000</v>
      </c>
      <c r="F764" s="19">
        <v>759</v>
      </c>
      <c r="G764" s="22">
        <v>45172</v>
      </c>
      <c r="H764" s="31">
        <f t="shared" si="23"/>
        <v>960180</v>
      </c>
      <c r="I764" s="31">
        <f t="shared" si="24"/>
        <v>941000</v>
      </c>
    </row>
    <row r="765" spans="1:9" x14ac:dyDescent="0.3">
      <c r="A765" s="3">
        <v>760</v>
      </c>
      <c r="B765" s="24">
        <v>45162</v>
      </c>
      <c r="C765" s="7">
        <v>951730</v>
      </c>
      <c r="D765" s="5">
        <v>933000</v>
      </c>
      <c r="F765" s="19">
        <v>760</v>
      </c>
      <c r="G765" s="22">
        <v>45171</v>
      </c>
      <c r="H765" s="31">
        <f t="shared" si="23"/>
        <v>960180</v>
      </c>
      <c r="I765" s="31">
        <f t="shared" si="24"/>
        <v>941000</v>
      </c>
    </row>
    <row r="766" spans="1:9" x14ac:dyDescent="0.3">
      <c r="A766" s="3">
        <v>761</v>
      </c>
      <c r="B766" s="23">
        <v>45161</v>
      </c>
      <c r="C766" s="6">
        <v>943280</v>
      </c>
      <c r="D766" s="4">
        <v>924500</v>
      </c>
      <c r="F766" s="19">
        <v>761</v>
      </c>
      <c r="G766" s="22">
        <v>45170</v>
      </c>
      <c r="H766" s="31">
        <f t="shared" si="23"/>
        <v>956700</v>
      </c>
      <c r="I766" s="31">
        <f t="shared" si="24"/>
        <v>937500</v>
      </c>
    </row>
    <row r="767" spans="1:9" x14ac:dyDescent="0.3">
      <c r="A767" s="3">
        <v>762</v>
      </c>
      <c r="B767" s="24">
        <v>45160</v>
      </c>
      <c r="C767" s="7">
        <v>940300</v>
      </c>
      <c r="D767" s="5">
        <v>921500</v>
      </c>
      <c r="F767" s="19">
        <v>762</v>
      </c>
      <c r="G767" s="22">
        <v>45169</v>
      </c>
      <c r="H767" s="31">
        <f t="shared" si="23"/>
        <v>960180</v>
      </c>
      <c r="I767" s="31">
        <f t="shared" si="24"/>
        <v>940500</v>
      </c>
    </row>
    <row r="768" spans="1:9" x14ac:dyDescent="0.3">
      <c r="A768" s="3">
        <v>763</v>
      </c>
      <c r="B768" s="23">
        <v>45159</v>
      </c>
      <c r="C768" s="6">
        <v>938310</v>
      </c>
      <c r="D768" s="4">
        <v>919500</v>
      </c>
      <c r="F768" s="19">
        <v>763</v>
      </c>
      <c r="G768" s="22">
        <v>45168</v>
      </c>
      <c r="H768" s="31">
        <f t="shared" si="23"/>
        <v>956200</v>
      </c>
      <c r="I768" s="31">
        <f t="shared" si="24"/>
        <v>937000</v>
      </c>
    </row>
    <row r="769" spans="1:9" x14ac:dyDescent="0.3">
      <c r="A769" s="3">
        <v>764</v>
      </c>
      <c r="B769" s="24">
        <v>45158</v>
      </c>
      <c r="C769" s="7">
        <v>922000</v>
      </c>
      <c r="D769" s="5">
        <v>940800</v>
      </c>
      <c r="F769" s="19">
        <v>764</v>
      </c>
      <c r="G769" s="22">
        <v>45167</v>
      </c>
      <c r="H769" s="31">
        <f t="shared" si="23"/>
        <v>952720</v>
      </c>
      <c r="I769" s="31">
        <f t="shared" si="24"/>
        <v>934000</v>
      </c>
    </row>
    <row r="770" spans="1:9" x14ac:dyDescent="0.3">
      <c r="A770" s="3">
        <v>765</v>
      </c>
      <c r="B770" s="23">
        <v>45157</v>
      </c>
      <c r="C770" s="6">
        <v>922000</v>
      </c>
      <c r="D770" s="4">
        <v>940800</v>
      </c>
      <c r="F770" s="19">
        <v>765</v>
      </c>
      <c r="G770" s="22">
        <v>45166</v>
      </c>
      <c r="H770" s="31">
        <f t="shared" si="23"/>
        <v>949740</v>
      </c>
      <c r="I770" s="31">
        <f t="shared" si="24"/>
        <v>930500</v>
      </c>
    </row>
    <row r="771" spans="1:9" x14ac:dyDescent="0.3">
      <c r="A771" s="3">
        <v>766</v>
      </c>
      <c r="B771" s="24">
        <v>45156</v>
      </c>
      <c r="C771" s="7">
        <v>944780</v>
      </c>
      <c r="D771" s="5">
        <v>924000</v>
      </c>
      <c r="F771" s="19">
        <v>766</v>
      </c>
      <c r="G771" s="22">
        <v>45165</v>
      </c>
      <c r="H771" s="31">
        <f t="shared" si="23"/>
        <v>949740</v>
      </c>
      <c r="I771" s="31">
        <f t="shared" si="24"/>
        <v>931000</v>
      </c>
    </row>
    <row r="772" spans="1:9" x14ac:dyDescent="0.3">
      <c r="A772" s="3">
        <v>767</v>
      </c>
      <c r="B772" s="23">
        <v>45155</v>
      </c>
      <c r="C772" s="6">
        <v>952230</v>
      </c>
      <c r="D772" s="4">
        <v>933500</v>
      </c>
      <c r="F772" s="19">
        <v>767</v>
      </c>
      <c r="G772" s="22">
        <v>45164</v>
      </c>
      <c r="H772" s="31">
        <f t="shared" si="23"/>
        <v>949740</v>
      </c>
      <c r="I772" s="31">
        <f t="shared" si="24"/>
        <v>931000</v>
      </c>
    </row>
    <row r="773" spans="1:9" x14ac:dyDescent="0.3">
      <c r="A773" s="3">
        <v>768</v>
      </c>
      <c r="B773" s="24">
        <v>45154</v>
      </c>
      <c r="C773" s="7">
        <v>952230</v>
      </c>
      <c r="D773" s="5">
        <v>933500</v>
      </c>
      <c r="F773" s="19">
        <v>768</v>
      </c>
      <c r="G773" s="22">
        <v>45163</v>
      </c>
      <c r="H773" s="31">
        <f t="shared" si="23"/>
        <v>944770</v>
      </c>
      <c r="I773" s="31">
        <f t="shared" si="24"/>
        <v>926000</v>
      </c>
    </row>
    <row r="774" spans="1:9" x14ac:dyDescent="0.3">
      <c r="A774" s="3">
        <v>769</v>
      </c>
      <c r="B774" s="23">
        <v>45153</v>
      </c>
      <c r="C774" s="6">
        <v>945770</v>
      </c>
      <c r="D774" s="4">
        <v>927000</v>
      </c>
      <c r="F774" s="19">
        <v>769</v>
      </c>
      <c r="G774" s="22">
        <v>45162</v>
      </c>
      <c r="H774" s="31">
        <f t="shared" ref="H774:H837" si="25">_xlfn.XLOOKUP(G774,$B$6:$B$994,$C$6:$C$994,,-1)</f>
        <v>951730</v>
      </c>
      <c r="I774" s="31">
        <f t="shared" ref="I774:I837" si="26">_xlfn.XLOOKUP(G774,$B$6:$B$994,$D$6:$D$994,,-1)</f>
        <v>933000</v>
      </c>
    </row>
    <row r="775" spans="1:9" x14ac:dyDescent="0.3">
      <c r="A775" s="3">
        <v>770</v>
      </c>
      <c r="B775" s="24">
        <v>45152</v>
      </c>
      <c r="C775" s="7">
        <v>951730</v>
      </c>
      <c r="D775" s="5">
        <v>940500</v>
      </c>
      <c r="F775" s="19">
        <v>770</v>
      </c>
      <c r="G775" s="22">
        <v>45161</v>
      </c>
      <c r="H775" s="31">
        <f t="shared" si="25"/>
        <v>943280</v>
      </c>
      <c r="I775" s="31">
        <f t="shared" si="26"/>
        <v>924500</v>
      </c>
    </row>
    <row r="776" spans="1:9" x14ac:dyDescent="0.3">
      <c r="A776" s="3">
        <v>771</v>
      </c>
      <c r="B776" s="23">
        <v>45151</v>
      </c>
      <c r="C776" s="6">
        <v>945770</v>
      </c>
      <c r="D776" s="4">
        <v>943500</v>
      </c>
      <c r="F776" s="19">
        <v>771</v>
      </c>
      <c r="G776" s="22">
        <v>45160</v>
      </c>
      <c r="H776" s="31">
        <f t="shared" si="25"/>
        <v>940300</v>
      </c>
      <c r="I776" s="31">
        <f t="shared" si="26"/>
        <v>921500</v>
      </c>
    </row>
    <row r="777" spans="1:9" x14ac:dyDescent="0.3">
      <c r="A777" s="3">
        <v>772</v>
      </c>
      <c r="B777" s="24">
        <v>45150</v>
      </c>
      <c r="C777" s="7">
        <v>945770</v>
      </c>
      <c r="D777" s="5">
        <v>943500</v>
      </c>
      <c r="F777" s="19">
        <v>772</v>
      </c>
      <c r="G777" s="22">
        <v>45159</v>
      </c>
      <c r="H777" s="31">
        <f t="shared" si="25"/>
        <v>938310</v>
      </c>
      <c r="I777" s="31">
        <f t="shared" si="26"/>
        <v>919500</v>
      </c>
    </row>
    <row r="778" spans="1:9" x14ac:dyDescent="0.3">
      <c r="A778" s="3">
        <v>773</v>
      </c>
      <c r="B778" s="23">
        <v>45149</v>
      </c>
      <c r="C778" s="6">
        <v>945770</v>
      </c>
      <c r="D778" s="4">
        <v>926500</v>
      </c>
      <c r="F778" s="19">
        <v>773</v>
      </c>
      <c r="G778" s="22">
        <v>45158</v>
      </c>
      <c r="H778" s="31">
        <f t="shared" si="25"/>
        <v>922000</v>
      </c>
      <c r="I778" s="31">
        <f t="shared" si="26"/>
        <v>940800</v>
      </c>
    </row>
    <row r="779" spans="1:9" x14ac:dyDescent="0.3">
      <c r="A779" s="3">
        <v>774</v>
      </c>
      <c r="B779" s="24">
        <v>45148</v>
      </c>
      <c r="C779" s="7">
        <v>942780</v>
      </c>
      <c r="D779" s="5">
        <v>924000</v>
      </c>
      <c r="F779" s="19">
        <v>774</v>
      </c>
      <c r="G779" s="22">
        <v>45157</v>
      </c>
      <c r="H779" s="31">
        <f t="shared" si="25"/>
        <v>922000</v>
      </c>
      <c r="I779" s="31">
        <f t="shared" si="26"/>
        <v>940800</v>
      </c>
    </row>
    <row r="780" spans="1:9" x14ac:dyDescent="0.3">
      <c r="A780" s="3">
        <v>775</v>
      </c>
      <c r="B780" s="23">
        <v>45147</v>
      </c>
      <c r="C780" s="6">
        <v>949240</v>
      </c>
      <c r="D780" s="4">
        <v>930500</v>
      </c>
      <c r="F780" s="19">
        <v>775</v>
      </c>
      <c r="G780" s="22">
        <v>45156</v>
      </c>
      <c r="H780" s="31">
        <f t="shared" si="25"/>
        <v>944780</v>
      </c>
      <c r="I780" s="31">
        <f t="shared" si="26"/>
        <v>924000</v>
      </c>
    </row>
    <row r="781" spans="1:9" x14ac:dyDescent="0.3">
      <c r="A781" s="3">
        <v>776</v>
      </c>
      <c r="B781" s="24">
        <v>45146</v>
      </c>
      <c r="C781" s="7">
        <v>952720</v>
      </c>
      <c r="D781" s="5">
        <v>934000</v>
      </c>
      <c r="F781" s="19">
        <v>776</v>
      </c>
      <c r="G781" s="22">
        <v>45155</v>
      </c>
      <c r="H781" s="31">
        <f t="shared" si="25"/>
        <v>952230</v>
      </c>
      <c r="I781" s="31">
        <f t="shared" si="26"/>
        <v>933500</v>
      </c>
    </row>
    <row r="782" spans="1:9" x14ac:dyDescent="0.3">
      <c r="A782" s="3">
        <v>777</v>
      </c>
      <c r="B782" s="23">
        <v>45145</v>
      </c>
      <c r="C782" s="6">
        <v>952230</v>
      </c>
      <c r="D782" s="4">
        <v>933000</v>
      </c>
      <c r="F782" s="19">
        <v>777</v>
      </c>
      <c r="G782" s="22">
        <v>45154</v>
      </c>
      <c r="H782" s="31">
        <f t="shared" si="25"/>
        <v>952230</v>
      </c>
      <c r="I782" s="31">
        <f t="shared" si="26"/>
        <v>933500</v>
      </c>
    </row>
    <row r="783" spans="1:9" x14ac:dyDescent="0.3">
      <c r="A783" s="3">
        <v>778</v>
      </c>
      <c r="B783" s="24">
        <v>45144</v>
      </c>
      <c r="C783" s="7">
        <v>952230</v>
      </c>
      <c r="D783" s="5">
        <v>933000</v>
      </c>
      <c r="F783" s="19">
        <v>778</v>
      </c>
      <c r="G783" s="22">
        <v>45153</v>
      </c>
      <c r="H783" s="31">
        <f t="shared" si="25"/>
        <v>945770</v>
      </c>
      <c r="I783" s="31">
        <f t="shared" si="26"/>
        <v>927000</v>
      </c>
    </row>
    <row r="784" spans="1:9" x14ac:dyDescent="0.3">
      <c r="A784" s="3">
        <v>779</v>
      </c>
      <c r="B784" s="23">
        <v>45143</v>
      </c>
      <c r="C784" s="6">
        <v>952230</v>
      </c>
      <c r="D784" s="4">
        <v>933000</v>
      </c>
      <c r="F784" s="19">
        <v>779</v>
      </c>
      <c r="G784" s="22">
        <v>45152</v>
      </c>
      <c r="H784" s="31">
        <f t="shared" si="25"/>
        <v>951730</v>
      </c>
      <c r="I784" s="31">
        <f t="shared" si="26"/>
        <v>940500</v>
      </c>
    </row>
    <row r="785" spans="1:9" x14ac:dyDescent="0.3">
      <c r="A785" s="3">
        <v>780</v>
      </c>
      <c r="B785" s="24">
        <v>45142</v>
      </c>
      <c r="C785" s="7">
        <v>948750</v>
      </c>
      <c r="D785" s="5">
        <v>930000</v>
      </c>
      <c r="F785" s="19">
        <v>780</v>
      </c>
      <c r="G785" s="22">
        <v>45151</v>
      </c>
      <c r="H785" s="31">
        <f t="shared" si="25"/>
        <v>945770</v>
      </c>
      <c r="I785" s="31">
        <f t="shared" si="26"/>
        <v>943500</v>
      </c>
    </row>
    <row r="786" spans="1:9" x14ac:dyDescent="0.3">
      <c r="A786" s="3">
        <v>781</v>
      </c>
      <c r="B786" s="23">
        <v>45141</v>
      </c>
      <c r="C786" s="6">
        <v>949240</v>
      </c>
      <c r="D786" s="4">
        <v>930000</v>
      </c>
      <c r="F786" s="19">
        <v>781</v>
      </c>
      <c r="G786" s="22">
        <v>45150</v>
      </c>
      <c r="H786" s="31">
        <f t="shared" si="25"/>
        <v>945770</v>
      </c>
      <c r="I786" s="31">
        <f t="shared" si="26"/>
        <v>943500</v>
      </c>
    </row>
    <row r="787" spans="1:9" x14ac:dyDescent="0.3">
      <c r="A787" s="3">
        <v>782</v>
      </c>
      <c r="B787" s="24">
        <v>45140</v>
      </c>
      <c r="C787" s="7">
        <v>955710</v>
      </c>
      <c r="D787" s="5">
        <v>936500</v>
      </c>
      <c r="F787" s="19">
        <v>782</v>
      </c>
      <c r="G787" s="22">
        <v>45149</v>
      </c>
      <c r="H787" s="31">
        <f t="shared" si="25"/>
        <v>945770</v>
      </c>
      <c r="I787" s="31">
        <f t="shared" si="26"/>
        <v>926500</v>
      </c>
    </row>
    <row r="788" spans="1:9" x14ac:dyDescent="0.3">
      <c r="A788" s="3">
        <v>783</v>
      </c>
      <c r="B788" s="23">
        <v>45139</v>
      </c>
      <c r="C788" s="6">
        <v>964150</v>
      </c>
      <c r="D788" s="4">
        <v>944500</v>
      </c>
      <c r="F788" s="19">
        <v>783</v>
      </c>
      <c r="G788" s="22">
        <v>45148</v>
      </c>
      <c r="H788" s="31">
        <f t="shared" si="25"/>
        <v>942780</v>
      </c>
      <c r="I788" s="31">
        <f t="shared" si="26"/>
        <v>924000</v>
      </c>
    </row>
    <row r="789" spans="1:9" x14ac:dyDescent="0.3">
      <c r="A789" s="3">
        <v>784</v>
      </c>
      <c r="B789" s="24">
        <v>45138</v>
      </c>
      <c r="C789" s="7">
        <v>948750</v>
      </c>
      <c r="D789" s="5">
        <v>929500</v>
      </c>
      <c r="F789" s="19">
        <v>784</v>
      </c>
      <c r="G789" s="22">
        <v>45147</v>
      </c>
      <c r="H789" s="31">
        <f t="shared" si="25"/>
        <v>949240</v>
      </c>
      <c r="I789" s="31">
        <f t="shared" si="26"/>
        <v>930500</v>
      </c>
    </row>
    <row r="790" spans="1:9" x14ac:dyDescent="0.3">
      <c r="A790" s="3">
        <v>785</v>
      </c>
      <c r="B790" s="23">
        <v>45137</v>
      </c>
      <c r="C790" s="6">
        <v>949800</v>
      </c>
      <c r="D790" s="4">
        <v>925500</v>
      </c>
      <c r="F790" s="19">
        <v>785</v>
      </c>
      <c r="G790" s="22">
        <v>45146</v>
      </c>
      <c r="H790" s="31">
        <f t="shared" si="25"/>
        <v>952720</v>
      </c>
      <c r="I790" s="31">
        <f t="shared" si="26"/>
        <v>934000</v>
      </c>
    </row>
    <row r="791" spans="1:9" x14ac:dyDescent="0.3">
      <c r="A791" s="3">
        <v>786</v>
      </c>
      <c r="B791" s="24">
        <v>45136</v>
      </c>
      <c r="C791" s="7">
        <v>949800</v>
      </c>
      <c r="D791" s="5">
        <v>925500</v>
      </c>
      <c r="F791" s="19">
        <v>786</v>
      </c>
      <c r="G791" s="22">
        <v>45145</v>
      </c>
      <c r="H791" s="31">
        <f t="shared" si="25"/>
        <v>952230</v>
      </c>
      <c r="I791" s="31">
        <f t="shared" si="26"/>
        <v>933000</v>
      </c>
    </row>
    <row r="792" spans="1:9" x14ac:dyDescent="0.3">
      <c r="A792" s="3">
        <v>787</v>
      </c>
      <c r="B792" s="23">
        <v>45135</v>
      </c>
      <c r="C792" s="6">
        <v>945770</v>
      </c>
      <c r="D792" s="4">
        <v>927000</v>
      </c>
      <c r="F792" s="19">
        <v>787</v>
      </c>
      <c r="G792" s="22">
        <v>45144</v>
      </c>
      <c r="H792" s="31">
        <f t="shared" si="25"/>
        <v>952230</v>
      </c>
      <c r="I792" s="31">
        <f t="shared" si="26"/>
        <v>933000</v>
      </c>
    </row>
    <row r="793" spans="1:9" x14ac:dyDescent="0.3">
      <c r="A793" s="3">
        <v>788</v>
      </c>
      <c r="B793" s="24">
        <v>45134</v>
      </c>
      <c r="C793" s="7">
        <v>961670</v>
      </c>
      <c r="D793" s="5">
        <v>942500</v>
      </c>
      <c r="F793" s="19">
        <v>788</v>
      </c>
      <c r="G793" s="22">
        <v>45143</v>
      </c>
      <c r="H793" s="31">
        <f t="shared" si="25"/>
        <v>952230</v>
      </c>
      <c r="I793" s="31">
        <f t="shared" si="26"/>
        <v>933000</v>
      </c>
    </row>
    <row r="794" spans="1:9" x14ac:dyDescent="0.3">
      <c r="A794" s="3">
        <v>789</v>
      </c>
      <c r="B794" s="23">
        <v>45133</v>
      </c>
      <c r="C794" s="6">
        <v>960680</v>
      </c>
      <c r="D794" s="4">
        <v>941500</v>
      </c>
      <c r="F794" s="19">
        <v>789</v>
      </c>
      <c r="G794" s="22">
        <v>45142</v>
      </c>
      <c r="H794" s="31">
        <f t="shared" si="25"/>
        <v>948750</v>
      </c>
      <c r="I794" s="31">
        <f t="shared" si="26"/>
        <v>930000</v>
      </c>
    </row>
    <row r="795" spans="1:9" x14ac:dyDescent="0.3">
      <c r="A795" s="3">
        <v>790</v>
      </c>
      <c r="B795" s="24">
        <v>45132</v>
      </c>
      <c r="C795" s="7">
        <v>956700</v>
      </c>
      <c r="D795" s="5">
        <v>938000</v>
      </c>
      <c r="F795" s="19">
        <v>790</v>
      </c>
      <c r="G795" s="22">
        <v>45141</v>
      </c>
      <c r="H795" s="31">
        <f t="shared" si="25"/>
        <v>949240</v>
      </c>
      <c r="I795" s="31">
        <f t="shared" si="26"/>
        <v>930000</v>
      </c>
    </row>
    <row r="796" spans="1:9" x14ac:dyDescent="0.3">
      <c r="A796" s="3">
        <v>791</v>
      </c>
      <c r="B796" s="23">
        <v>45131</v>
      </c>
      <c r="C796" s="6">
        <v>961170</v>
      </c>
      <c r="D796" s="4">
        <v>942000</v>
      </c>
      <c r="F796" s="19">
        <v>791</v>
      </c>
      <c r="G796" s="22">
        <v>45140</v>
      </c>
      <c r="H796" s="31">
        <f t="shared" si="25"/>
        <v>955710</v>
      </c>
      <c r="I796" s="31">
        <f t="shared" si="26"/>
        <v>936500</v>
      </c>
    </row>
    <row r="797" spans="1:9" x14ac:dyDescent="0.3">
      <c r="A797" s="3">
        <v>792</v>
      </c>
      <c r="B797" s="24">
        <v>45130</v>
      </c>
      <c r="C797" s="7">
        <v>964150</v>
      </c>
      <c r="D797" s="5">
        <v>945000</v>
      </c>
      <c r="F797" s="19">
        <v>792</v>
      </c>
      <c r="G797" s="22">
        <v>45139</v>
      </c>
      <c r="H797" s="31">
        <f t="shared" si="25"/>
        <v>964150</v>
      </c>
      <c r="I797" s="31">
        <f t="shared" si="26"/>
        <v>944500</v>
      </c>
    </row>
    <row r="798" spans="1:9" x14ac:dyDescent="0.3">
      <c r="A798" s="3">
        <v>793</v>
      </c>
      <c r="B798" s="23">
        <v>45129</v>
      </c>
      <c r="C798" s="6">
        <v>964150</v>
      </c>
      <c r="D798" s="4">
        <v>945000</v>
      </c>
      <c r="F798" s="19">
        <v>793</v>
      </c>
      <c r="G798" s="22">
        <v>45138</v>
      </c>
      <c r="H798" s="31">
        <f t="shared" si="25"/>
        <v>948750</v>
      </c>
      <c r="I798" s="31">
        <f t="shared" si="26"/>
        <v>929500</v>
      </c>
    </row>
    <row r="799" spans="1:9" x14ac:dyDescent="0.3">
      <c r="A799" s="3">
        <v>794</v>
      </c>
      <c r="B799" s="24">
        <v>45128</v>
      </c>
      <c r="C799" s="7">
        <v>963660</v>
      </c>
      <c r="D799" s="5">
        <v>944500</v>
      </c>
      <c r="F799" s="19">
        <v>794</v>
      </c>
      <c r="G799" s="22">
        <v>45137</v>
      </c>
      <c r="H799" s="31">
        <f t="shared" si="25"/>
        <v>949800</v>
      </c>
      <c r="I799" s="31">
        <f t="shared" si="26"/>
        <v>925500</v>
      </c>
    </row>
    <row r="800" spans="1:9" x14ac:dyDescent="0.3">
      <c r="A800" s="3">
        <v>795</v>
      </c>
      <c r="B800" s="23">
        <v>45127</v>
      </c>
      <c r="C800" s="6">
        <v>967140</v>
      </c>
      <c r="D800" s="4">
        <v>948000</v>
      </c>
      <c r="F800" s="19">
        <v>795</v>
      </c>
      <c r="G800" s="22">
        <v>45136</v>
      </c>
      <c r="H800" s="31">
        <f t="shared" si="25"/>
        <v>949800</v>
      </c>
      <c r="I800" s="31">
        <f t="shared" si="26"/>
        <v>925500</v>
      </c>
    </row>
    <row r="801" spans="1:9" x14ac:dyDescent="0.3">
      <c r="A801" s="3">
        <v>796</v>
      </c>
      <c r="B801" s="24">
        <v>45125</v>
      </c>
      <c r="C801" s="7">
        <v>961180</v>
      </c>
      <c r="D801" s="5">
        <v>941000</v>
      </c>
      <c r="F801" s="19">
        <v>796</v>
      </c>
      <c r="G801" s="22">
        <v>45135</v>
      </c>
      <c r="H801" s="31">
        <f t="shared" si="25"/>
        <v>945770</v>
      </c>
      <c r="I801" s="31">
        <f t="shared" si="26"/>
        <v>927000</v>
      </c>
    </row>
    <row r="802" spans="1:9" x14ac:dyDescent="0.3">
      <c r="A802" s="3">
        <v>797</v>
      </c>
      <c r="B802" s="23">
        <v>45124</v>
      </c>
      <c r="C802" s="6">
        <v>966170</v>
      </c>
      <c r="D802" s="4">
        <v>942000</v>
      </c>
      <c r="F802" s="19">
        <v>797</v>
      </c>
      <c r="G802" s="22">
        <v>45134</v>
      </c>
      <c r="H802" s="31">
        <f t="shared" si="25"/>
        <v>961670</v>
      </c>
      <c r="I802" s="31">
        <f t="shared" si="26"/>
        <v>942500</v>
      </c>
    </row>
    <row r="803" spans="1:9" x14ac:dyDescent="0.3">
      <c r="A803" s="3">
        <v>798</v>
      </c>
      <c r="B803" s="24">
        <v>45123</v>
      </c>
      <c r="C803" s="7">
        <v>962660</v>
      </c>
      <c r="D803" s="5">
        <v>944000</v>
      </c>
      <c r="F803" s="19">
        <v>798</v>
      </c>
      <c r="G803" s="22">
        <v>45133</v>
      </c>
      <c r="H803" s="31">
        <f t="shared" si="25"/>
        <v>960680</v>
      </c>
      <c r="I803" s="31">
        <f t="shared" si="26"/>
        <v>941500</v>
      </c>
    </row>
    <row r="804" spans="1:9" x14ac:dyDescent="0.3">
      <c r="A804" s="3">
        <v>799</v>
      </c>
      <c r="B804" s="23">
        <v>45122</v>
      </c>
      <c r="C804" s="6">
        <v>962660</v>
      </c>
      <c r="D804" s="4">
        <v>944000</v>
      </c>
      <c r="F804" s="19">
        <v>799</v>
      </c>
      <c r="G804" s="22">
        <v>45132</v>
      </c>
      <c r="H804" s="31">
        <f t="shared" si="25"/>
        <v>956700</v>
      </c>
      <c r="I804" s="31">
        <f t="shared" si="26"/>
        <v>938000</v>
      </c>
    </row>
    <row r="805" spans="1:9" x14ac:dyDescent="0.3">
      <c r="A805" s="3">
        <v>800</v>
      </c>
      <c r="B805" s="24">
        <v>45121</v>
      </c>
      <c r="C805" s="7">
        <v>962660</v>
      </c>
      <c r="D805" s="5">
        <v>944000</v>
      </c>
      <c r="F805" s="19">
        <v>800</v>
      </c>
      <c r="G805" s="22">
        <v>45131</v>
      </c>
      <c r="H805" s="31">
        <f t="shared" si="25"/>
        <v>961170</v>
      </c>
      <c r="I805" s="31">
        <f t="shared" si="26"/>
        <v>942000</v>
      </c>
    </row>
    <row r="806" spans="1:9" x14ac:dyDescent="0.3">
      <c r="A806" s="3">
        <v>801</v>
      </c>
      <c r="B806" s="23">
        <v>45120</v>
      </c>
      <c r="C806" s="6">
        <v>959680</v>
      </c>
      <c r="D806" s="4">
        <v>940500</v>
      </c>
      <c r="F806" s="19">
        <v>801</v>
      </c>
      <c r="G806" s="22">
        <v>45130</v>
      </c>
      <c r="H806" s="31">
        <f t="shared" si="25"/>
        <v>964150</v>
      </c>
      <c r="I806" s="31">
        <f t="shared" si="26"/>
        <v>945000</v>
      </c>
    </row>
    <row r="807" spans="1:9" x14ac:dyDescent="0.3">
      <c r="A807" s="3">
        <v>802</v>
      </c>
      <c r="B807" s="24">
        <v>45119</v>
      </c>
      <c r="C807" s="7">
        <v>963660</v>
      </c>
      <c r="D807" s="5">
        <v>944500</v>
      </c>
      <c r="F807" s="19">
        <v>802</v>
      </c>
      <c r="G807" s="22">
        <v>45129</v>
      </c>
      <c r="H807" s="31">
        <f t="shared" si="25"/>
        <v>964150</v>
      </c>
      <c r="I807" s="31">
        <f t="shared" si="26"/>
        <v>945000</v>
      </c>
    </row>
    <row r="808" spans="1:9" x14ac:dyDescent="0.3">
      <c r="A808" s="3">
        <v>803</v>
      </c>
      <c r="B808" s="23">
        <v>45118</v>
      </c>
      <c r="C808" s="6">
        <v>953220</v>
      </c>
      <c r="D808" s="4">
        <v>934000</v>
      </c>
      <c r="F808" s="19">
        <v>803</v>
      </c>
      <c r="G808" s="22">
        <v>45128</v>
      </c>
      <c r="H808" s="31">
        <f t="shared" si="25"/>
        <v>963660</v>
      </c>
      <c r="I808" s="31">
        <f t="shared" si="26"/>
        <v>944500</v>
      </c>
    </row>
    <row r="809" spans="1:9" x14ac:dyDescent="0.3">
      <c r="A809" s="3">
        <v>804</v>
      </c>
      <c r="B809" s="24">
        <v>45117</v>
      </c>
      <c r="C809" s="7">
        <v>951230</v>
      </c>
      <c r="D809" s="5">
        <v>932500</v>
      </c>
      <c r="F809" s="19">
        <v>804</v>
      </c>
      <c r="G809" s="22">
        <v>45127</v>
      </c>
      <c r="H809" s="31">
        <f t="shared" si="25"/>
        <v>967140</v>
      </c>
      <c r="I809" s="31">
        <f t="shared" si="26"/>
        <v>948000</v>
      </c>
    </row>
    <row r="810" spans="1:9" x14ac:dyDescent="0.3">
      <c r="A810" s="3">
        <v>805</v>
      </c>
      <c r="B810" s="23">
        <v>45116</v>
      </c>
      <c r="C810" s="6">
        <v>952720</v>
      </c>
      <c r="D810" s="4">
        <v>933500</v>
      </c>
      <c r="F810" s="19">
        <v>805</v>
      </c>
      <c r="G810" s="22">
        <v>45126</v>
      </c>
      <c r="H810" s="31">
        <f t="shared" si="25"/>
        <v>961180</v>
      </c>
      <c r="I810" s="31">
        <f t="shared" si="26"/>
        <v>941000</v>
      </c>
    </row>
    <row r="811" spans="1:9" x14ac:dyDescent="0.3">
      <c r="A811" s="3">
        <v>806</v>
      </c>
      <c r="B811" s="24">
        <v>45115</v>
      </c>
      <c r="C811" s="7">
        <v>952720</v>
      </c>
      <c r="D811" s="5">
        <v>933500</v>
      </c>
      <c r="F811" s="19">
        <v>806</v>
      </c>
      <c r="G811" s="22">
        <v>45125</v>
      </c>
      <c r="H811" s="31">
        <f t="shared" si="25"/>
        <v>961180</v>
      </c>
      <c r="I811" s="31">
        <f t="shared" si="26"/>
        <v>941000</v>
      </c>
    </row>
    <row r="812" spans="1:9" x14ac:dyDescent="0.3">
      <c r="A812" s="3">
        <v>807</v>
      </c>
      <c r="B812" s="23">
        <v>45114</v>
      </c>
      <c r="C812" s="6">
        <v>947750</v>
      </c>
      <c r="D812" s="4">
        <v>929000</v>
      </c>
      <c r="F812" s="19">
        <v>807</v>
      </c>
      <c r="G812" s="22">
        <v>45124</v>
      </c>
      <c r="H812" s="31">
        <f t="shared" si="25"/>
        <v>966170</v>
      </c>
      <c r="I812" s="31">
        <f t="shared" si="26"/>
        <v>942000</v>
      </c>
    </row>
    <row r="813" spans="1:9" x14ac:dyDescent="0.3">
      <c r="A813" s="3">
        <v>808</v>
      </c>
      <c r="B813" s="24">
        <v>45113</v>
      </c>
      <c r="C813" s="7">
        <v>946760</v>
      </c>
      <c r="D813" s="5">
        <v>928000</v>
      </c>
      <c r="F813" s="19">
        <v>808</v>
      </c>
      <c r="G813" s="22">
        <v>45123</v>
      </c>
      <c r="H813" s="31">
        <f t="shared" si="25"/>
        <v>962660</v>
      </c>
      <c r="I813" s="31">
        <f t="shared" si="26"/>
        <v>944000</v>
      </c>
    </row>
    <row r="814" spans="1:9" x14ac:dyDescent="0.3">
      <c r="A814" s="3">
        <v>809</v>
      </c>
      <c r="B814" s="23">
        <v>45112</v>
      </c>
      <c r="C814" s="6">
        <v>946760</v>
      </c>
      <c r="D814" s="4">
        <v>928000</v>
      </c>
      <c r="F814" s="19">
        <v>809</v>
      </c>
      <c r="G814" s="22">
        <v>45122</v>
      </c>
      <c r="H814" s="31">
        <f t="shared" si="25"/>
        <v>962660</v>
      </c>
      <c r="I814" s="31">
        <f t="shared" si="26"/>
        <v>944000</v>
      </c>
    </row>
    <row r="815" spans="1:9" x14ac:dyDescent="0.3">
      <c r="A815" s="3">
        <v>810</v>
      </c>
      <c r="B815" s="24">
        <v>45111</v>
      </c>
      <c r="C815" s="7">
        <v>945770</v>
      </c>
      <c r="D815" s="5">
        <v>927000</v>
      </c>
      <c r="F815" s="19">
        <v>810</v>
      </c>
      <c r="G815" s="22">
        <v>45121</v>
      </c>
      <c r="H815" s="31">
        <f t="shared" si="25"/>
        <v>962660</v>
      </c>
      <c r="I815" s="31">
        <f t="shared" si="26"/>
        <v>944000</v>
      </c>
    </row>
    <row r="816" spans="1:9" x14ac:dyDescent="0.3">
      <c r="A816" s="3">
        <v>811</v>
      </c>
      <c r="B816" s="23">
        <v>45110</v>
      </c>
      <c r="C816" s="6">
        <v>943280</v>
      </c>
      <c r="D816" s="4">
        <v>925000</v>
      </c>
      <c r="F816" s="19">
        <v>811</v>
      </c>
      <c r="G816" s="22">
        <v>45120</v>
      </c>
      <c r="H816" s="31">
        <f t="shared" si="25"/>
        <v>959680</v>
      </c>
      <c r="I816" s="31">
        <f t="shared" si="26"/>
        <v>940500</v>
      </c>
    </row>
    <row r="817" spans="1:9" x14ac:dyDescent="0.3">
      <c r="A817" s="3">
        <v>812</v>
      </c>
      <c r="B817" s="24">
        <v>45109</v>
      </c>
      <c r="C817" s="7">
        <v>943780</v>
      </c>
      <c r="D817" s="5">
        <v>925000</v>
      </c>
      <c r="F817" s="19">
        <v>812</v>
      </c>
      <c r="G817" s="22">
        <v>45119</v>
      </c>
      <c r="H817" s="31">
        <f t="shared" si="25"/>
        <v>963660</v>
      </c>
      <c r="I817" s="31">
        <f t="shared" si="26"/>
        <v>944500</v>
      </c>
    </row>
    <row r="818" spans="1:9" x14ac:dyDescent="0.3">
      <c r="A818" s="3">
        <v>813</v>
      </c>
      <c r="B818" s="23">
        <v>45108</v>
      </c>
      <c r="C818" s="6">
        <v>943780</v>
      </c>
      <c r="D818" s="4">
        <v>925000</v>
      </c>
      <c r="F818" s="19">
        <v>813</v>
      </c>
      <c r="G818" s="22">
        <v>45118</v>
      </c>
      <c r="H818" s="31">
        <f t="shared" si="25"/>
        <v>953220</v>
      </c>
      <c r="I818" s="31">
        <f t="shared" si="26"/>
        <v>934000</v>
      </c>
    </row>
    <row r="819" spans="1:9" x14ac:dyDescent="0.3">
      <c r="A819" s="3">
        <v>814</v>
      </c>
      <c r="B819" s="24">
        <v>45107</v>
      </c>
      <c r="C819" s="7">
        <v>943780</v>
      </c>
      <c r="D819" s="5">
        <v>925000</v>
      </c>
      <c r="F819" s="19">
        <v>814</v>
      </c>
      <c r="G819" s="22">
        <v>45117</v>
      </c>
      <c r="H819" s="31">
        <f t="shared" si="25"/>
        <v>951230</v>
      </c>
      <c r="I819" s="31">
        <f t="shared" si="26"/>
        <v>932500</v>
      </c>
    </row>
    <row r="820" spans="1:9" x14ac:dyDescent="0.3">
      <c r="A820" s="3">
        <v>815</v>
      </c>
      <c r="B820" s="23">
        <v>45106</v>
      </c>
      <c r="C820" s="6">
        <v>943780</v>
      </c>
      <c r="D820" s="4">
        <v>925000</v>
      </c>
      <c r="F820" s="19">
        <v>815</v>
      </c>
      <c r="G820" s="22">
        <v>45116</v>
      </c>
      <c r="H820" s="31">
        <f t="shared" si="25"/>
        <v>952720</v>
      </c>
      <c r="I820" s="31">
        <f t="shared" si="26"/>
        <v>933500</v>
      </c>
    </row>
    <row r="821" spans="1:9" x14ac:dyDescent="0.3">
      <c r="A821" s="3">
        <v>816</v>
      </c>
      <c r="B821" s="24">
        <v>45105</v>
      </c>
      <c r="C821" s="7">
        <v>943780</v>
      </c>
      <c r="D821" s="5">
        <v>925000</v>
      </c>
      <c r="F821" s="19">
        <v>816</v>
      </c>
      <c r="G821" s="22">
        <v>45115</v>
      </c>
      <c r="H821" s="31">
        <f t="shared" si="25"/>
        <v>952720</v>
      </c>
      <c r="I821" s="31">
        <f t="shared" si="26"/>
        <v>933500</v>
      </c>
    </row>
    <row r="822" spans="1:9" x14ac:dyDescent="0.3">
      <c r="A822" s="3">
        <v>817</v>
      </c>
      <c r="B822" s="23">
        <v>45104</v>
      </c>
      <c r="C822" s="6">
        <v>943780</v>
      </c>
      <c r="D822" s="4">
        <v>925000</v>
      </c>
      <c r="F822" s="19">
        <v>817</v>
      </c>
      <c r="G822" s="22">
        <v>45114</v>
      </c>
      <c r="H822" s="31">
        <f t="shared" si="25"/>
        <v>947750</v>
      </c>
      <c r="I822" s="31">
        <f t="shared" si="26"/>
        <v>929000</v>
      </c>
    </row>
    <row r="823" spans="1:9" x14ac:dyDescent="0.3">
      <c r="A823" s="3">
        <v>818</v>
      </c>
      <c r="B823" s="24">
        <v>45103</v>
      </c>
      <c r="C823" s="7">
        <v>946760</v>
      </c>
      <c r="D823" s="5">
        <v>928000</v>
      </c>
      <c r="F823" s="19">
        <v>818</v>
      </c>
      <c r="G823" s="22">
        <v>45113</v>
      </c>
      <c r="H823" s="31">
        <f t="shared" si="25"/>
        <v>946760</v>
      </c>
      <c r="I823" s="31">
        <f t="shared" si="26"/>
        <v>928000</v>
      </c>
    </row>
    <row r="824" spans="1:9" x14ac:dyDescent="0.3">
      <c r="A824" s="3">
        <v>819</v>
      </c>
      <c r="B824" s="23">
        <v>45102</v>
      </c>
      <c r="C824" s="6">
        <v>944270</v>
      </c>
      <c r="D824" s="4">
        <v>925500</v>
      </c>
      <c r="F824" s="19">
        <v>819</v>
      </c>
      <c r="G824" s="22">
        <v>45112</v>
      </c>
      <c r="H824" s="31">
        <f t="shared" si="25"/>
        <v>946760</v>
      </c>
      <c r="I824" s="31">
        <f t="shared" si="26"/>
        <v>928000</v>
      </c>
    </row>
    <row r="825" spans="1:9" x14ac:dyDescent="0.3">
      <c r="A825" s="3">
        <v>820</v>
      </c>
      <c r="B825" s="24">
        <v>45101</v>
      </c>
      <c r="C825" s="7">
        <v>944270</v>
      </c>
      <c r="D825" s="5">
        <v>925500</v>
      </c>
      <c r="F825" s="19">
        <v>820</v>
      </c>
      <c r="G825" s="22">
        <v>45111</v>
      </c>
      <c r="H825" s="31">
        <f t="shared" si="25"/>
        <v>945770</v>
      </c>
      <c r="I825" s="31">
        <f t="shared" si="26"/>
        <v>927000</v>
      </c>
    </row>
    <row r="826" spans="1:9" x14ac:dyDescent="0.3">
      <c r="A826" s="3">
        <v>821</v>
      </c>
      <c r="B826" s="23">
        <v>45100</v>
      </c>
      <c r="C826" s="6">
        <v>941790</v>
      </c>
      <c r="D826" s="4">
        <v>923500</v>
      </c>
      <c r="F826" s="19">
        <v>821</v>
      </c>
      <c r="G826" s="22">
        <v>45110</v>
      </c>
      <c r="H826" s="31">
        <f t="shared" si="25"/>
        <v>943280</v>
      </c>
      <c r="I826" s="31">
        <f t="shared" si="26"/>
        <v>925000</v>
      </c>
    </row>
    <row r="827" spans="1:9" x14ac:dyDescent="0.3">
      <c r="A827" s="3">
        <v>822</v>
      </c>
      <c r="B827" s="24">
        <v>45099</v>
      </c>
      <c r="C827" s="7">
        <v>948750</v>
      </c>
      <c r="D827" s="5">
        <v>930000</v>
      </c>
      <c r="F827" s="19">
        <v>822</v>
      </c>
      <c r="G827" s="22">
        <v>45109</v>
      </c>
      <c r="H827" s="31">
        <f t="shared" si="25"/>
        <v>943780</v>
      </c>
      <c r="I827" s="31">
        <f t="shared" si="26"/>
        <v>925000</v>
      </c>
    </row>
    <row r="828" spans="1:9" x14ac:dyDescent="0.3">
      <c r="A828" s="3">
        <v>823</v>
      </c>
      <c r="B828" s="23">
        <v>45098</v>
      </c>
      <c r="C828" s="6">
        <v>950240</v>
      </c>
      <c r="D828" s="4">
        <v>931000</v>
      </c>
      <c r="F828" s="19">
        <v>823</v>
      </c>
      <c r="G828" s="22">
        <v>45108</v>
      </c>
      <c r="H828" s="31">
        <f t="shared" si="25"/>
        <v>943780</v>
      </c>
      <c r="I828" s="31">
        <f t="shared" si="26"/>
        <v>925000</v>
      </c>
    </row>
    <row r="829" spans="1:9" x14ac:dyDescent="0.3">
      <c r="A829" s="3">
        <v>824</v>
      </c>
      <c r="B829" s="24">
        <v>45097</v>
      </c>
      <c r="C829" s="7">
        <v>953720</v>
      </c>
      <c r="D829" s="5">
        <v>935000</v>
      </c>
      <c r="F829" s="19">
        <v>824</v>
      </c>
      <c r="G829" s="22">
        <v>45107</v>
      </c>
      <c r="H829" s="31">
        <f t="shared" si="25"/>
        <v>943780</v>
      </c>
      <c r="I829" s="31">
        <f t="shared" si="26"/>
        <v>925000</v>
      </c>
    </row>
    <row r="830" spans="1:9" x14ac:dyDescent="0.3">
      <c r="A830" s="3">
        <v>825</v>
      </c>
      <c r="B830" s="23">
        <v>45096</v>
      </c>
      <c r="C830" s="6">
        <v>955720</v>
      </c>
      <c r="D830" s="4">
        <v>936500</v>
      </c>
      <c r="F830" s="19">
        <v>825</v>
      </c>
      <c r="G830" s="22">
        <v>45106</v>
      </c>
      <c r="H830" s="31">
        <f t="shared" si="25"/>
        <v>943780</v>
      </c>
      <c r="I830" s="31">
        <f t="shared" si="26"/>
        <v>925000</v>
      </c>
    </row>
    <row r="831" spans="1:9" x14ac:dyDescent="0.3">
      <c r="A831" s="3">
        <v>826</v>
      </c>
      <c r="B831" s="24">
        <v>45095</v>
      </c>
      <c r="C831" s="7">
        <v>954710</v>
      </c>
      <c r="D831" s="5">
        <v>936000</v>
      </c>
      <c r="F831" s="19">
        <v>826</v>
      </c>
      <c r="G831" s="22">
        <v>45105</v>
      </c>
      <c r="H831" s="31">
        <f t="shared" si="25"/>
        <v>943780</v>
      </c>
      <c r="I831" s="31">
        <f t="shared" si="26"/>
        <v>925000</v>
      </c>
    </row>
    <row r="832" spans="1:9" x14ac:dyDescent="0.3">
      <c r="A832" s="3">
        <v>827</v>
      </c>
      <c r="B832" s="23">
        <v>45094</v>
      </c>
      <c r="C832" s="6">
        <v>954710</v>
      </c>
      <c r="D832" s="4">
        <v>936000</v>
      </c>
      <c r="F832" s="19">
        <v>827</v>
      </c>
      <c r="G832" s="22">
        <v>45104</v>
      </c>
      <c r="H832" s="31">
        <f t="shared" si="25"/>
        <v>943780</v>
      </c>
      <c r="I832" s="31">
        <f t="shared" si="26"/>
        <v>925000</v>
      </c>
    </row>
    <row r="833" spans="1:9" x14ac:dyDescent="0.3">
      <c r="A833" s="3">
        <v>828</v>
      </c>
      <c r="B833" s="24">
        <v>45093</v>
      </c>
      <c r="C833" s="7">
        <v>957690</v>
      </c>
      <c r="D833" s="5">
        <v>939000</v>
      </c>
      <c r="F833" s="19">
        <v>828</v>
      </c>
      <c r="G833" s="22">
        <v>45103</v>
      </c>
      <c r="H833" s="31">
        <f t="shared" si="25"/>
        <v>946760</v>
      </c>
      <c r="I833" s="31">
        <f t="shared" si="26"/>
        <v>928000</v>
      </c>
    </row>
    <row r="834" spans="1:9" x14ac:dyDescent="0.3">
      <c r="A834" s="3">
        <v>829</v>
      </c>
      <c r="B834" s="23">
        <v>45092</v>
      </c>
      <c r="C834" s="6">
        <v>948750</v>
      </c>
      <c r="D834" s="4">
        <v>930000</v>
      </c>
      <c r="F834" s="19">
        <v>829</v>
      </c>
      <c r="G834" s="22">
        <v>45102</v>
      </c>
      <c r="H834" s="31">
        <f t="shared" si="25"/>
        <v>944270</v>
      </c>
      <c r="I834" s="31">
        <f t="shared" si="26"/>
        <v>925500</v>
      </c>
    </row>
    <row r="835" spans="1:9" x14ac:dyDescent="0.3">
      <c r="A835" s="3">
        <v>830</v>
      </c>
      <c r="B835" s="24">
        <v>45091</v>
      </c>
      <c r="C835" s="7">
        <v>950240</v>
      </c>
      <c r="D835" s="5">
        <v>931500</v>
      </c>
      <c r="F835" s="19">
        <v>830</v>
      </c>
      <c r="G835" s="22">
        <v>45101</v>
      </c>
      <c r="H835" s="31">
        <f t="shared" si="25"/>
        <v>944270</v>
      </c>
      <c r="I835" s="31">
        <f t="shared" si="26"/>
        <v>925500</v>
      </c>
    </row>
    <row r="836" spans="1:9" x14ac:dyDescent="0.3">
      <c r="A836" s="3">
        <v>831</v>
      </c>
      <c r="B836" s="23">
        <v>45090</v>
      </c>
      <c r="C836" s="6">
        <v>956200</v>
      </c>
      <c r="D836" s="4">
        <v>937500</v>
      </c>
      <c r="F836" s="19">
        <v>831</v>
      </c>
      <c r="G836" s="22">
        <v>45100</v>
      </c>
      <c r="H836" s="31">
        <f t="shared" si="25"/>
        <v>941790</v>
      </c>
      <c r="I836" s="31">
        <f t="shared" si="26"/>
        <v>923500</v>
      </c>
    </row>
    <row r="837" spans="1:9" x14ac:dyDescent="0.3">
      <c r="A837" s="3">
        <v>832</v>
      </c>
      <c r="B837" s="24">
        <v>45089</v>
      </c>
      <c r="C837" s="7">
        <v>953720</v>
      </c>
      <c r="D837" s="5">
        <v>935000</v>
      </c>
      <c r="F837" s="19">
        <v>832</v>
      </c>
      <c r="G837" s="22">
        <v>45099</v>
      </c>
      <c r="H837" s="31">
        <f t="shared" si="25"/>
        <v>948750</v>
      </c>
      <c r="I837" s="31">
        <f t="shared" si="26"/>
        <v>930000</v>
      </c>
    </row>
    <row r="838" spans="1:9" x14ac:dyDescent="0.3">
      <c r="A838" s="3">
        <v>833</v>
      </c>
      <c r="B838" s="23">
        <v>45088</v>
      </c>
      <c r="C838" s="6">
        <v>956200</v>
      </c>
      <c r="D838" s="4">
        <v>937500</v>
      </c>
      <c r="F838" s="19">
        <v>833</v>
      </c>
      <c r="G838" s="22">
        <v>45098</v>
      </c>
      <c r="H838" s="31">
        <f t="shared" ref="H838:H901" si="27">_xlfn.XLOOKUP(G838,$B$6:$B$994,$C$6:$C$994,,-1)</f>
        <v>950240</v>
      </c>
      <c r="I838" s="31">
        <f t="shared" ref="I838:I901" si="28">_xlfn.XLOOKUP(G838,$B$6:$B$994,$D$6:$D$994,,-1)</f>
        <v>931000</v>
      </c>
    </row>
    <row r="839" spans="1:9" x14ac:dyDescent="0.3">
      <c r="A839" s="3">
        <v>834</v>
      </c>
      <c r="B839" s="24">
        <v>45087</v>
      </c>
      <c r="C839" s="7">
        <v>956200</v>
      </c>
      <c r="D839" s="5">
        <v>937500</v>
      </c>
      <c r="F839" s="19">
        <v>834</v>
      </c>
      <c r="G839" s="22">
        <v>45097</v>
      </c>
      <c r="H839" s="31">
        <f t="shared" si="27"/>
        <v>953720</v>
      </c>
      <c r="I839" s="31">
        <f t="shared" si="28"/>
        <v>935000</v>
      </c>
    </row>
    <row r="840" spans="1:9" x14ac:dyDescent="0.3">
      <c r="A840" s="3">
        <v>835</v>
      </c>
      <c r="B840" s="23">
        <v>45086</v>
      </c>
      <c r="C840" s="6">
        <v>955210</v>
      </c>
      <c r="D840" s="4">
        <v>936000</v>
      </c>
      <c r="F840" s="19">
        <v>835</v>
      </c>
      <c r="G840" s="22">
        <v>45096</v>
      </c>
      <c r="H840" s="31">
        <f t="shared" si="27"/>
        <v>955720</v>
      </c>
      <c r="I840" s="31">
        <f t="shared" si="28"/>
        <v>936500</v>
      </c>
    </row>
    <row r="841" spans="1:9" x14ac:dyDescent="0.3">
      <c r="A841" s="3">
        <v>836</v>
      </c>
      <c r="B841" s="24">
        <v>45085</v>
      </c>
      <c r="C841" s="7">
        <v>955720</v>
      </c>
      <c r="D841" s="5">
        <v>937000</v>
      </c>
      <c r="F841" s="19">
        <v>836</v>
      </c>
      <c r="G841" s="22">
        <v>45095</v>
      </c>
      <c r="H841" s="31">
        <f t="shared" si="27"/>
        <v>954710</v>
      </c>
      <c r="I841" s="31">
        <f t="shared" si="28"/>
        <v>936000</v>
      </c>
    </row>
    <row r="842" spans="1:9" x14ac:dyDescent="0.3">
      <c r="A842" s="3">
        <v>837</v>
      </c>
      <c r="B842" s="23">
        <v>45084</v>
      </c>
      <c r="C842" s="6">
        <v>959180</v>
      </c>
      <c r="D842" s="4">
        <v>940500</v>
      </c>
      <c r="F842" s="19">
        <v>837</v>
      </c>
      <c r="G842" s="22">
        <v>45094</v>
      </c>
      <c r="H842" s="31">
        <f t="shared" si="27"/>
        <v>954710</v>
      </c>
      <c r="I842" s="31">
        <f t="shared" si="28"/>
        <v>936000</v>
      </c>
    </row>
    <row r="843" spans="1:9" x14ac:dyDescent="0.3">
      <c r="A843" s="3">
        <v>838</v>
      </c>
      <c r="B843" s="24">
        <v>45083</v>
      </c>
      <c r="C843" s="7">
        <v>959680</v>
      </c>
      <c r="D843" s="5">
        <v>941000</v>
      </c>
      <c r="F843" s="19">
        <v>838</v>
      </c>
      <c r="G843" s="22">
        <v>45093</v>
      </c>
      <c r="H843" s="31">
        <f t="shared" si="27"/>
        <v>957690</v>
      </c>
      <c r="I843" s="31">
        <f t="shared" si="28"/>
        <v>939000</v>
      </c>
    </row>
    <row r="844" spans="1:9" x14ac:dyDescent="0.3">
      <c r="A844" s="3">
        <v>839</v>
      </c>
      <c r="B844" s="23">
        <v>45082</v>
      </c>
      <c r="C844" s="6">
        <v>956200</v>
      </c>
      <c r="D844" s="4">
        <v>937500</v>
      </c>
      <c r="F844" s="19">
        <v>839</v>
      </c>
      <c r="G844" s="22">
        <v>45092</v>
      </c>
      <c r="H844" s="31">
        <f t="shared" si="27"/>
        <v>948750</v>
      </c>
      <c r="I844" s="31">
        <f t="shared" si="28"/>
        <v>930000</v>
      </c>
    </row>
    <row r="845" spans="1:9" x14ac:dyDescent="0.3">
      <c r="A845" s="3">
        <v>840</v>
      </c>
      <c r="B845" s="24">
        <v>45081</v>
      </c>
      <c r="C845" s="7">
        <v>952720</v>
      </c>
      <c r="D845" s="5">
        <v>934000</v>
      </c>
      <c r="F845" s="19">
        <v>840</v>
      </c>
      <c r="G845" s="22">
        <v>45091</v>
      </c>
      <c r="H845" s="31">
        <f t="shared" si="27"/>
        <v>950240</v>
      </c>
      <c r="I845" s="31">
        <f t="shared" si="28"/>
        <v>931500</v>
      </c>
    </row>
    <row r="846" spans="1:9" x14ac:dyDescent="0.3">
      <c r="A846" s="3">
        <v>841</v>
      </c>
      <c r="B846" s="23">
        <v>45080</v>
      </c>
      <c r="C846" s="6">
        <v>952720</v>
      </c>
      <c r="D846" s="4">
        <v>934000</v>
      </c>
      <c r="F846" s="19">
        <v>841</v>
      </c>
      <c r="G846" s="22">
        <v>45090</v>
      </c>
      <c r="H846" s="31">
        <f t="shared" si="27"/>
        <v>956200</v>
      </c>
      <c r="I846" s="31">
        <f t="shared" si="28"/>
        <v>937500</v>
      </c>
    </row>
    <row r="847" spans="1:9" x14ac:dyDescent="0.3">
      <c r="A847" s="3">
        <v>842</v>
      </c>
      <c r="B847" s="24">
        <v>45078</v>
      </c>
      <c r="C847" s="7">
        <v>967410</v>
      </c>
      <c r="D847" s="5">
        <v>948000</v>
      </c>
      <c r="F847" s="19">
        <v>842</v>
      </c>
      <c r="G847" s="22">
        <v>45089</v>
      </c>
      <c r="H847" s="31">
        <f t="shared" si="27"/>
        <v>953720</v>
      </c>
      <c r="I847" s="31">
        <f t="shared" si="28"/>
        <v>935000</v>
      </c>
    </row>
    <row r="848" spans="1:9" x14ac:dyDescent="0.3">
      <c r="A848" s="3">
        <v>843</v>
      </c>
      <c r="B848" s="23">
        <v>45077</v>
      </c>
      <c r="C848" s="6">
        <v>967410</v>
      </c>
      <c r="D848" s="4">
        <v>948000</v>
      </c>
      <c r="F848" s="19">
        <v>843</v>
      </c>
      <c r="G848" s="22">
        <v>45088</v>
      </c>
      <c r="H848" s="31">
        <f t="shared" si="27"/>
        <v>956200</v>
      </c>
      <c r="I848" s="31">
        <f t="shared" si="28"/>
        <v>937500</v>
      </c>
    </row>
    <row r="849" spans="1:9" x14ac:dyDescent="0.3">
      <c r="A849" s="3">
        <v>844</v>
      </c>
      <c r="B849" s="24">
        <v>45076</v>
      </c>
      <c r="C849" s="7">
        <v>956200</v>
      </c>
      <c r="D849" s="5">
        <v>937500</v>
      </c>
      <c r="F849" s="19">
        <v>844</v>
      </c>
      <c r="G849" s="22">
        <v>45087</v>
      </c>
      <c r="H849" s="31">
        <f t="shared" si="27"/>
        <v>956200</v>
      </c>
      <c r="I849" s="31">
        <f t="shared" si="28"/>
        <v>937500</v>
      </c>
    </row>
    <row r="850" spans="1:9" x14ac:dyDescent="0.3">
      <c r="A850" s="3">
        <v>845</v>
      </c>
      <c r="B850" s="23">
        <v>45075</v>
      </c>
      <c r="C850" s="6">
        <v>956700</v>
      </c>
      <c r="D850" s="4">
        <v>938000</v>
      </c>
      <c r="F850" s="19">
        <v>845</v>
      </c>
      <c r="G850" s="22">
        <v>45086</v>
      </c>
      <c r="H850" s="31">
        <f t="shared" si="27"/>
        <v>955210</v>
      </c>
      <c r="I850" s="31">
        <f t="shared" si="28"/>
        <v>936000</v>
      </c>
    </row>
    <row r="851" spans="1:9" x14ac:dyDescent="0.3">
      <c r="A851" s="3">
        <v>846</v>
      </c>
      <c r="B851" s="24">
        <v>45074</v>
      </c>
      <c r="C851" s="7">
        <v>958190</v>
      </c>
      <c r="D851" s="5">
        <v>939000</v>
      </c>
      <c r="F851" s="19">
        <v>846</v>
      </c>
      <c r="G851" s="22">
        <v>45085</v>
      </c>
      <c r="H851" s="31">
        <f t="shared" si="27"/>
        <v>955720</v>
      </c>
      <c r="I851" s="31">
        <f t="shared" si="28"/>
        <v>937000</v>
      </c>
    </row>
    <row r="852" spans="1:9" x14ac:dyDescent="0.3">
      <c r="A852" s="3">
        <v>847</v>
      </c>
      <c r="B852" s="23">
        <v>45073</v>
      </c>
      <c r="C852" s="6">
        <v>958190</v>
      </c>
      <c r="D852" s="4">
        <v>939000</v>
      </c>
      <c r="F852" s="19">
        <v>847</v>
      </c>
      <c r="G852" s="22">
        <v>45084</v>
      </c>
      <c r="H852" s="31">
        <f t="shared" si="27"/>
        <v>959180</v>
      </c>
      <c r="I852" s="31">
        <f t="shared" si="28"/>
        <v>940500</v>
      </c>
    </row>
    <row r="853" spans="1:9" x14ac:dyDescent="0.3">
      <c r="A853" s="3">
        <v>848</v>
      </c>
      <c r="B853" s="24">
        <v>45072</v>
      </c>
      <c r="C853" s="7">
        <v>955720</v>
      </c>
      <c r="D853" s="5">
        <v>937000</v>
      </c>
      <c r="F853" s="19">
        <v>848</v>
      </c>
      <c r="G853" s="22">
        <v>45083</v>
      </c>
      <c r="H853" s="31">
        <f t="shared" si="27"/>
        <v>959680</v>
      </c>
      <c r="I853" s="31">
        <f t="shared" si="28"/>
        <v>941000</v>
      </c>
    </row>
    <row r="854" spans="1:9" x14ac:dyDescent="0.3">
      <c r="A854" s="3">
        <v>849</v>
      </c>
      <c r="B854" s="23">
        <v>45071</v>
      </c>
      <c r="C854" s="6">
        <v>958190</v>
      </c>
      <c r="D854" s="4">
        <v>939000</v>
      </c>
      <c r="F854" s="19">
        <v>849</v>
      </c>
      <c r="G854" s="22">
        <v>45082</v>
      </c>
      <c r="H854" s="31">
        <f t="shared" si="27"/>
        <v>956200</v>
      </c>
      <c r="I854" s="31">
        <f t="shared" si="28"/>
        <v>937500</v>
      </c>
    </row>
    <row r="855" spans="1:9" x14ac:dyDescent="0.3">
      <c r="A855" s="3">
        <v>850</v>
      </c>
      <c r="B855" s="24">
        <v>45070</v>
      </c>
      <c r="C855" s="7">
        <v>966140</v>
      </c>
      <c r="D855" s="5">
        <v>947000</v>
      </c>
      <c r="F855" s="19">
        <v>850</v>
      </c>
      <c r="G855" s="22">
        <v>45081</v>
      </c>
      <c r="H855" s="31">
        <f t="shared" si="27"/>
        <v>952720</v>
      </c>
      <c r="I855" s="31">
        <f t="shared" si="28"/>
        <v>934000</v>
      </c>
    </row>
    <row r="856" spans="1:9" x14ac:dyDescent="0.3">
      <c r="A856" s="3">
        <v>851</v>
      </c>
      <c r="B856" s="23">
        <v>45069</v>
      </c>
      <c r="C856" s="6">
        <v>959180</v>
      </c>
      <c r="D856" s="4">
        <v>940500</v>
      </c>
      <c r="F856" s="19">
        <v>851</v>
      </c>
      <c r="G856" s="22">
        <v>45080</v>
      </c>
      <c r="H856" s="31">
        <f t="shared" si="27"/>
        <v>952720</v>
      </c>
      <c r="I856" s="31">
        <f t="shared" si="28"/>
        <v>934000</v>
      </c>
    </row>
    <row r="857" spans="1:9" x14ac:dyDescent="0.3">
      <c r="A857" s="3">
        <v>852</v>
      </c>
      <c r="B857" s="24">
        <v>45068</v>
      </c>
      <c r="C857" s="7">
        <v>962630</v>
      </c>
      <c r="D857" s="5">
        <v>943880</v>
      </c>
      <c r="F857" s="19">
        <v>852</v>
      </c>
      <c r="G857" s="22">
        <v>45079</v>
      </c>
      <c r="H857" s="31">
        <f t="shared" si="27"/>
        <v>967410</v>
      </c>
      <c r="I857" s="31">
        <f t="shared" si="28"/>
        <v>948000</v>
      </c>
    </row>
    <row r="858" spans="1:9" x14ac:dyDescent="0.3">
      <c r="A858" s="3">
        <v>853</v>
      </c>
      <c r="B858" s="23">
        <v>45067</v>
      </c>
      <c r="C858" s="6">
        <v>965660</v>
      </c>
      <c r="D858" s="4">
        <v>946920</v>
      </c>
      <c r="F858" s="19">
        <v>853</v>
      </c>
      <c r="G858" s="22">
        <v>45078</v>
      </c>
      <c r="H858" s="31">
        <f t="shared" si="27"/>
        <v>967410</v>
      </c>
      <c r="I858" s="31">
        <f t="shared" si="28"/>
        <v>948000</v>
      </c>
    </row>
    <row r="859" spans="1:9" x14ac:dyDescent="0.3">
      <c r="A859" s="3">
        <v>854</v>
      </c>
      <c r="B859" s="24">
        <v>45066</v>
      </c>
      <c r="C859" s="7">
        <v>965660</v>
      </c>
      <c r="D859" s="5">
        <v>946920</v>
      </c>
      <c r="F859" s="19">
        <v>854</v>
      </c>
      <c r="G859" s="22">
        <v>45077</v>
      </c>
      <c r="H859" s="31">
        <f t="shared" si="27"/>
        <v>967410</v>
      </c>
      <c r="I859" s="31">
        <f t="shared" si="28"/>
        <v>948000</v>
      </c>
    </row>
    <row r="860" spans="1:9" x14ac:dyDescent="0.3">
      <c r="A860" s="3">
        <v>855</v>
      </c>
      <c r="B860" s="23">
        <v>45065</v>
      </c>
      <c r="C860" s="6">
        <v>958600</v>
      </c>
      <c r="D860" s="4">
        <v>939810</v>
      </c>
      <c r="F860" s="19">
        <v>855</v>
      </c>
      <c r="G860" s="22">
        <v>45076</v>
      </c>
      <c r="H860" s="31">
        <f t="shared" si="27"/>
        <v>956200</v>
      </c>
      <c r="I860" s="31">
        <f t="shared" si="28"/>
        <v>937500</v>
      </c>
    </row>
    <row r="861" spans="1:9" x14ac:dyDescent="0.3">
      <c r="A861" s="3">
        <v>856</v>
      </c>
      <c r="B861" s="24">
        <v>45063</v>
      </c>
      <c r="C861" s="7">
        <v>969190</v>
      </c>
      <c r="D861" s="5">
        <v>958100</v>
      </c>
      <c r="F861" s="19">
        <v>856</v>
      </c>
      <c r="G861" s="22">
        <v>45075</v>
      </c>
      <c r="H861" s="31">
        <f t="shared" si="27"/>
        <v>956700</v>
      </c>
      <c r="I861" s="31">
        <f t="shared" si="28"/>
        <v>938000</v>
      </c>
    </row>
    <row r="862" spans="1:9" x14ac:dyDescent="0.3">
      <c r="A862" s="3">
        <v>857</v>
      </c>
      <c r="B862" s="23">
        <v>45062</v>
      </c>
      <c r="C862" s="6">
        <v>973230</v>
      </c>
      <c r="D862" s="4">
        <v>954540</v>
      </c>
      <c r="F862" s="19">
        <v>857</v>
      </c>
      <c r="G862" s="22">
        <v>45074</v>
      </c>
      <c r="H862" s="31">
        <f t="shared" si="27"/>
        <v>958190</v>
      </c>
      <c r="I862" s="31">
        <f t="shared" si="28"/>
        <v>939000</v>
      </c>
    </row>
    <row r="863" spans="1:9" x14ac:dyDescent="0.3">
      <c r="A863" s="3">
        <v>858</v>
      </c>
      <c r="B863" s="24">
        <v>45061</v>
      </c>
      <c r="C863" s="7">
        <v>974230</v>
      </c>
      <c r="D863" s="5">
        <v>955050</v>
      </c>
      <c r="F863" s="19">
        <v>858</v>
      </c>
      <c r="G863" s="22">
        <v>45073</v>
      </c>
      <c r="H863" s="31">
        <f t="shared" si="27"/>
        <v>958190</v>
      </c>
      <c r="I863" s="31">
        <f t="shared" si="28"/>
        <v>939000</v>
      </c>
    </row>
    <row r="864" spans="1:9" x14ac:dyDescent="0.3">
      <c r="A864" s="3">
        <v>859</v>
      </c>
      <c r="B864" s="23">
        <v>45060</v>
      </c>
      <c r="C864" s="6">
        <v>975710</v>
      </c>
      <c r="D864" s="4">
        <v>952510</v>
      </c>
      <c r="F864" s="19">
        <v>859</v>
      </c>
      <c r="G864" s="22">
        <v>45072</v>
      </c>
      <c r="H864" s="31">
        <f t="shared" si="27"/>
        <v>955720</v>
      </c>
      <c r="I864" s="31">
        <f t="shared" si="28"/>
        <v>937000</v>
      </c>
    </row>
    <row r="865" spans="1:9" x14ac:dyDescent="0.3">
      <c r="A865" s="3">
        <v>860</v>
      </c>
      <c r="B865" s="24">
        <v>45059</v>
      </c>
      <c r="C865" s="7">
        <v>975710</v>
      </c>
      <c r="D865" s="5">
        <v>952510</v>
      </c>
      <c r="F865" s="19">
        <v>860</v>
      </c>
      <c r="G865" s="22">
        <v>45071</v>
      </c>
      <c r="H865" s="31">
        <f t="shared" si="27"/>
        <v>958190</v>
      </c>
      <c r="I865" s="31">
        <f t="shared" si="28"/>
        <v>939000</v>
      </c>
    </row>
    <row r="866" spans="1:9" x14ac:dyDescent="0.3">
      <c r="A866" s="3">
        <v>861</v>
      </c>
      <c r="B866" s="23">
        <v>45058</v>
      </c>
      <c r="C866" s="6">
        <v>964650</v>
      </c>
      <c r="D866" s="4">
        <v>945910</v>
      </c>
      <c r="F866" s="19">
        <v>861</v>
      </c>
      <c r="G866" s="22">
        <v>45070</v>
      </c>
      <c r="H866" s="31">
        <f t="shared" si="27"/>
        <v>966140</v>
      </c>
      <c r="I866" s="31">
        <f t="shared" si="28"/>
        <v>947000</v>
      </c>
    </row>
    <row r="867" spans="1:9" x14ac:dyDescent="0.3">
      <c r="A867" s="3">
        <v>862</v>
      </c>
      <c r="B867" s="24">
        <v>45057</v>
      </c>
      <c r="C867" s="7">
        <v>973230</v>
      </c>
      <c r="D867" s="5">
        <v>954040</v>
      </c>
      <c r="F867" s="19">
        <v>862</v>
      </c>
      <c r="G867" s="22">
        <v>45069</v>
      </c>
      <c r="H867" s="31">
        <f t="shared" si="27"/>
        <v>959180</v>
      </c>
      <c r="I867" s="31">
        <f t="shared" si="28"/>
        <v>940500</v>
      </c>
    </row>
    <row r="868" spans="1:9" x14ac:dyDescent="0.3">
      <c r="A868" s="3">
        <v>863</v>
      </c>
      <c r="B868" s="23">
        <v>45056</v>
      </c>
      <c r="C868" s="6">
        <v>976760</v>
      </c>
      <c r="D868" s="4">
        <v>957590</v>
      </c>
      <c r="F868" s="19">
        <v>863</v>
      </c>
      <c r="G868" s="22">
        <v>45068</v>
      </c>
      <c r="H868" s="31">
        <f t="shared" si="27"/>
        <v>962630</v>
      </c>
      <c r="I868" s="31">
        <f t="shared" si="28"/>
        <v>943880</v>
      </c>
    </row>
    <row r="869" spans="1:9" x14ac:dyDescent="0.3">
      <c r="A869" s="3">
        <v>864</v>
      </c>
      <c r="B869" s="24">
        <v>45055</v>
      </c>
      <c r="C869" s="7">
        <v>974230</v>
      </c>
      <c r="D869" s="5">
        <v>955050</v>
      </c>
      <c r="F869" s="19">
        <v>864</v>
      </c>
      <c r="G869" s="22">
        <v>45067</v>
      </c>
      <c r="H869" s="31">
        <f t="shared" si="27"/>
        <v>965660</v>
      </c>
      <c r="I869" s="31">
        <f t="shared" si="28"/>
        <v>946920</v>
      </c>
    </row>
    <row r="870" spans="1:9" x14ac:dyDescent="0.3">
      <c r="A870" s="3">
        <v>865</v>
      </c>
      <c r="B870" s="23">
        <v>45054</v>
      </c>
      <c r="C870" s="6">
        <v>968180</v>
      </c>
      <c r="D870" s="4">
        <v>948960</v>
      </c>
      <c r="F870" s="19">
        <v>865</v>
      </c>
      <c r="G870" s="22">
        <v>45066</v>
      </c>
      <c r="H870" s="31">
        <f t="shared" si="27"/>
        <v>965660</v>
      </c>
      <c r="I870" s="31">
        <f t="shared" si="28"/>
        <v>946920</v>
      </c>
    </row>
    <row r="871" spans="1:9" x14ac:dyDescent="0.3">
      <c r="A871" s="3">
        <v>866</v>
      </c>
      <c r="B871" s="24">
        <v>45053</v>
      </c>
      <c r="C871" s="7">
        <v>965150</v>
      </c>
      <c r="D871" s="5">
        <v>946420</v>
      </c>
      <c r="F871" s="19">
        <v>866</v>
      </c>
      <c r="G871" s="22">
        <v>45065</v>
      </c>
      <c r="H871" s="31">
        <f t="shared" si="27"/>
        <v>958600</v>
      </c>
      <c r="I871" s="31">
        <f t="shared" si="28"/>
        <v>939810</v>
      </c>
    </row>
    <row r="872" spans="1:9" x14ac:dyDescent="0.3">
      <c r="A872" s="3">
        <v>867</v>
      </c>
      <c r="B872" s="23">
        <v>45052</v>
      </c>
      <c r="C872" s="6">
        <v>965150</v>
      </c>
      <c r="D872" s="4">
        <v>946420</v>
      </c>
      <c r="F872" s="19">
        <v>867</v>
      </c>
      <c r="G872" s="22">
        <v>45064</v>
      </c>
      <c r="H872" s="31">
        <f t="shared" si="27"/>
        <v>969190</v>
      </c>
      <c r="I872" s="31">
        <f t="shared" si="28"/>
        <v>958100</v>
      </c>
    </row>
    <row r="873" spans="1:9" x14ac:dyDescent="0.3">
      <c r="A873" s="3">
        <v>868</v>
      </c>
      <c r="B873" s="24">
        <v>45051</v>
      </c>
      <c r="C873" s="7">
        <v>977780</v>
      </c>
      <c r="D873" s="5">
        <v>959620</v>
      </c>
      <c r="F873" s="19">
        <v>868</v>
      </c>
      <c r="G873" s="22">
        <v>45063</v>
      </c>
      <c r="H873" s="31">
        <f t="shared" si="27"/>
        <v>969190</v>
      </c>
      <c r="I873" s="31">
        <f t="shared" si="28"/>
        <v>958100</v>
      </c>
    </row>
    <row r="874" spans="1:9" x14ac:dyDescent="0.3">
      <c r="A874" s="3">
        <v>869</v>
      </c>
      <c r="B874" s="23">
        <v>45050</v>
      </c>
      <c r="C874" s="6">
        <v>970710</v>
      </c>
      <c r="D874" s="4">
        <v>951500</v>
      </c>
      <c r="F874" s="19">
        <v>869</v>
      </c>
      <c r="G874" s="22">
        <v>45062</v>
      </c>
      <c r="H874" s="31">
        <f t="shared" si="27"/>
        <v>973230</v>
      </c>
      <c r="I874" s="31">
        <f t="shared" si="28"/>
        <v>954540</v>
      </c>
    </row>
    <row r="875" spans="1:9" x14ac:dyDescent="0.3">
      <c r="A875" s="3">
        <v>870</v>
      </c>
      <c r="B875" s="24">
        <v>45049</v>
      </c>
      <c r="C875" s="7">
        <v>962640</v>
      </c>
      <c r="D875" s="5">
        <v>943880</v>
      </c>
      <c r="F875" s="19">
        <v>870</v>
      </c>
      <c r="G875" s="22">
        <v>45061</v>
      </c>
      <c r="H875" s="31">
        <f t="shared" si="27"/>
        <v>974230</v>
      </c>
      <c r="I875" s="31">
        <f t="shared" si="28"/>
        <v>955050</v>
      </c>
    </row>
    <row r="876" spans="1:9" x14ac:dyDescent="0.3">
      <c r="A876" s="3">
        <v>871</v>
      </c>
      <c r="B876" s="23">
        <v>45048</v>
      </c>
      <c r="C876" s="6">
        <v>961630</v>
      </c>
      <c r="D876" s="4">
        <v>943364</v>
      </c>
      <c r="F876" s="19">
        <v>871</v>
      </c>
      <c r="G876" s="22">
        <v>45060</v>
      </c>
      <c r="H876" s="31">
        <f t="shared" si="27"/>
        <v>975710</v>
      </c>
      <c r="I876" s="31">
        <f t="shared" si="28"/>
        <v>952510</v>
      </c>
    </row>
    <row r="877" spans="1:9" x14ac:dyDescent="0.3">
      <c r="A877" s="3">
        <v>872</v>
      </c>
      <c r="B877" s="24">
        <v>45046</v>
      </c>
      <c r="C877" s="7">
        <v>967860</v>
      </c>
      <c r="D877" s="5">
        <v>948960</v>
      </c>
      <c r="F877" s="19">
        <v>872</v>
      </c>
      <c r="G877" s="22">
        <v>45059</v>
      </c>
      <c r="H877" s="31">
        <f t="shared" si="27"/>
        <v>975710</v>
      </c>
      <c r="I877" s="31">
        <f t="shared" si="28"/>
        <v>952510</v>
      </c>
    </row>
    <row r="878" spans="1:9" x14ac:dyDescent="0.3">
      <c r="A878" s="3">
        <v>873</v>
      </c>
      <c r="B878" s="23">
        <v>45044</v>
      </c>
      <c r="C878" s="6">
        <v>967860</v>
      </c>
      <c r="D878" s="4">
        <v>948960</v>
      </c>
      <c r="F878" s="19">
        <v>873</v>
      </c>
      <c r="G878" s="22">
        <v>45058</v>
      </c>
      <c r="H878" s="31">
        <f t="shared" si="27"/>
        <v>964650</v>
      </c>
      <c r="I878" s="31">
        <f t="shared" si="28"/>
        <v>945910</v>
      </c>
    </row>
    <row r="879" spans="1:9" x14ac:dyDescent="0.3">
      <c r="A879" s="3">
        <v>874</v>
      </c>
      <c r="B879" s="24">
        <v>45043</v>
      </c>
      <c r="C879" s="7">
        <v>967860</v>
      </c>
      <c r="D879" s="5">
        <v>948960</v>
      </c>
      <c r="F879" s="19">
        <v>874</v>
      </c>
      <c r="G879" s="22">
        <v>45057</v>
      </c>
      <c r="H879" s="31">
        <f t="shared" si="27"/>
        <v>973230</v>
      </c>
      <c r="I879" s="31">
        <f t="shared" si="28"/>
        <v>954040</v>
      </c>
    </row>
    <row r="880" spans="1:9" x14ac:dyDescent="0.3">
      <c r="A880" s="3">
        <v>875</v>
      </c>
      <c r="B880" s="23">
        <v>45042</v>
      </c>
      <c r="C880" s="6">
        <v>967860</v>
      </c>
      <c r="D880" s="4">
        <v>948960</v>
      </c>
      <c r="F880" s="19">
        <v>875</v>
      </c>
      <c r="G880" s="22">
        <v>45056</v>
      </c>
      <c r="H880" s="31">
        <f t="shared" si="27"/>
        <v>976760</v>
      </c>
      <c r="I880" s="31">
        <f t="shared" si="28"/>
        <v>957590</v>
      </c>
    </row>
    <row r="881" spans="1:9" x14ac:dyDescent="0.3">
      <c r="A881" s="3">
        <v>876</v>
      </c>
      <c r="B881" s="24">
        <v>45041</v>
      </c>
      <c r="C881" s="7">
        <v>967860</v>
      </c>
      <c r="D881" s="5">
        <v>948960</v>
      </c>
      <c r="F881" s="19">
        <v>876</v>
      </c>
      <c r="G881" s="22">
        <v>45055</v>
      </c>
      <c r="H881" s="31">
        <f t="shared" si="27"/>
        <v>974230</v>
      </c>
      <c r="I881" s="31">
        <f t="shared" si="28"/>
        <v>955050</v>
      </c>
    </row>
    <row r="882" spans="1:9" x14ac:dyDescent="0.3">
      <c r="A882" s="3">
        <v>877</v>
      </c>
      <c r="B882" s="23">
        <v>45040</v>
      </c>
      <c r="C882" s="6">
        <v>967860</v>
      </c>
      <c r="D882" s="4">
        <v>948960</v>
      </c>
      <c r="F882" s="19">
        <v>877</v>
      </c>
      <c r="G882" s="22">
        <v>45054</v>
      </c>
      <c r="H882" s="31">
        <f t="shared" si="27"/>
        <v>968180</v>
      </c>
      <c r="I882" s="31">
        <f t="shared" si="28"/>
        <v>948960</v>
      </c>
    </row>
    <row r="883" spans="1:9" x14ac:dyDescent="0.3">
      <c r="A883" s="3">
        <v>878</v>
      </c>
      <c r="B883" s="24">
        <v>45039</v>
      </c>
      <c r="C883" s="7">
        <v>967860</v>
      </c>
      <c r="D883" s="5">
        <v>948960</v>
      </c>
      <c r="F883" s="19">
        <v>878</v>
      </c>
      <c r="G883" s="22">
        <v>45053</v>
      </c>
      <c r="H883" s="31">
        <f t="shared" si="27"/>
        <v>965150</v>
      </c>
      <c r="I883" s="31">
        <f t="shared" si="28"/>
        <v>946420</v>
      </c>
    </row>
    <row r="884" spans="1:9" x14ac:dyDescent="0.3">
      <c r="A884" s="3">
        <v>879</v>
      </c>
      <c r="B884" s="23">
        <v>45038</v>
      </c>
      <c r="C884" s="6">
        <v>967860</v>
      </c>
      <c r="D884" s="4">
        <v>948960</v>
      </c>
      <c r="F884" s="19">
        <v>879</v>
      </c>
      <c r="G884" s="22">
        <v>45052</v>
      </c>
      <c r="H884" s="31">
        <f t="shared" si="27"/>
        <v>965150</v>
      </c>
      <c r="I884" s="31">
        <f t="shared" si="28"/>
        <v>946420</v>
      </c>
    </row>
    <row r="885" spans="1:9" x14ac:dyDescent="0.3">
      <c r="A885" s="3">
        <v>880</v>
      </c>
      <c r="B885" s="24">
        <v>45037</v>
      </c>
      <c r="C885" s="7">
        <v>967860</v>
      </c>
      <c r="D885" s="5">
        <v>948960</v>
      </c>
      <c r="F885" s="19">
        <v>880</v>
      </c>
      <c r="G885" s="22">
        <v>45051</v>
      </c>
      <c r="H885" s="31">
        <f t="shared" si="27"/>
        <v>977780</v>
      </c>
      <c r="I885" s="31">
        <f t="shared" si="28"/>
        <v>959620</v>
      </c>
    </row>
    <row r="886" spans="1:9" x14ac:dyDescent="0.3">
      <c r="A886" s="3">
        <v>881</v>
      </c>
      <c r="B886" s="23">
        <v>45036</v>
      </c>
      <c r="C886" s="6">
        <v>967860</v>
      </c>
      <c r="D886" s="4">
        <v>948960</v>
      </c>
      <c r="F886" s="19">
        <v>881</v>
      </c>
      <c r="G886" s="22">
        <v>45050</v>
      </c>
      <c r="H886" s="31">
        <f t="shared" si="27"/>
        <v>970710</v>
      </c>
      <c r="I886" s="31">
        <f t="shared" si="28"/>
        <v>951500</v>
      </c>
    </row>
    <row r="887" spans="1:9" x14ac:dyDescent="0.3">
      <c r="A887" s="3">
        <v>882</v>
      </c>
      <c r="B887" s="24">
        <v>45035</v>
      </c>
      <c r="C887" s="7">
        <v>967860</v>
      </c>
      <c r="D887" s="5">
        <v>948960</v>
      </c>
      <c r="F887" s="19">
        <v>882</v>
      </c>
      <c r="G887" s="22">
        <v>45049</v>
      </c>
      <c r="H887" s="31">
        <f t="shared" si="27"/>
        <v>962640</v>
      </c>
      <c r="I887" s="31">
        <f t="shared" si="28"/>
        <v>943880</v>
      </c>
    </row>
    <row r="888" spans="1:9" x14ac:dyDescent="0.3">
      <c r="A888" s="3">
        <v>883</v>
      </c>
      <c r="B888" s="23">
        <v>45034</v>
      </c>
      <c r="C888" s="6">
        <v>967680</v>
      </c>
      <c r="D888" s="4">
        <v>948960</v>
      </c>
      <c r="F888" s="19">
        <v>883</v>
      </c>
      <c r="G888" s="22">
        <v>45048</v>
      </c>
      <c r="H888" s="31">
        <f t="shared" si="27"/>
        <v>961630</v>
      </c>
      <c r="I888" s="31">
        <f t="shared" si="28"/>
        <v>943364</v>
      </c>
    </row>
    <row r="889" spans="1:9" x14ac:dyDescent="0.3">
      <c r="A889" s="3">
        <v>884</v>
      </c>
      <c r="B889" s="24">
        <v>45033</v>
      </c>
      <c r="C889" s="7">
        <v>969190</v>
      </c>
      <c r="D889" s="5">
        <v>950480</v>
      </c>
      <c r="F889" s="19">
        <v>884</v>
      </c>
      <c r="G889" s="22">
        <v>45047</v>
      </c>
      <c r="H889" s="31">
        <f t="shared" si="27"/>
        <v>967860</v>
      </c>
      <c r="I889" s="31">
        <f t="shared" si="28"/>
        <v>948960</v>
      </c>
    </row>
    <row r="890" spans="1:9" x14ac:dyDescent="0.3">
      <c r="A890" s="3">
        <v>885</v>
      </c>
      <c r="B890" s="23">
        <v>45032</v>
      </c>
      <c r="C890" s="6">
        <v>969190</v>
      </c>
      <c r="D890" s="4">
        <v>949970</v>
      </c>
      <c r="F890" s="19">
        <v>885</v>
      </c>
      <c r="G890" s="22">
        <v>45046</v>
      </c>
      <c r="H890" s="31">
        <f t="shared" si="27"/>
        <v>967860</v>
      </c>
      <c r="I890" s="31">
        <f t="shared" si="28"/>
        <v>948960</v>
      </c>
    </row>
    <row r="891" spans="1:9" x14ac:dyDescent="0.3">
      <c r="A891" s="3">
        <v>886</v>
      </c>
      <c r="B891" s="24">
        <v>45031</v>
      </c>
      <c r="C891" s="7">
        <v>969190</v>
      </c>
      <c r="D891" s="5">
        <v>949970</v>
      </c>
      <c r="F891" s="19">
        <v>886</v>
      </c>
      <c r="G891" s="22">
        <v>45045</v>
      </c>
      <c r="H891" s="31">
        <f t="shared" si="27"/>
        <v>967860</v>
      </c>
      <c r="I891" s="31">
        <f t="shared" si="28"/>
        <v>948960</v>
      </c>
    </row>
    <row r="892" spans="1:9" x14ac:dyDescent="0.3">
      <c r="A892" s="3">
        <v>887</v>
      </c>
      <c r="B892" s="23">
        <v>45030</v>
      </c>
      <c r="C892" s="6">
        <v>979790</v>
      </c>
      <c r="D892" s="4">
        <v>960640</v>
      </c>
      <c r="F892" s="19">
        <v>887</v>
      </c>
      <c r="G892" s="22">
        <v>45044</v>
      </c>
      <c r="H892" s="31">
        <f t="shared" si="27"/>
        <v>967860</v>
      </c>
      <c r="I892" s="31">
        <f t="shared" si="28"/>
        <v>948960</v>
      </c>
    </row>
    <row r="893" spans="1:9" x14ac:dyDescent="0.3">
      <c r="A893" s="3">
        <v>888</v>
      </c>
      <c r="B893" s="24">
        <v>45029</v>
      </c>
      <c r="C893" s="7">
        <v>974740</v>
      </c>
      <c r="D893" s="5">
        <v>956070</v>
      </c>
      <c r="F893" s="19">
        <v>888</v>
      </c>
      <c r="G893" s="22">
        <v>45043</v>
      </c>
      <c r="H893" s="31">
        <f t="shared" si="27"/>
        <v>967860</v>
      </c>
      <c r="I893" s="31">
        <f t="shared" si="28"/>
        <v>948960</v>
      </c>
    </row>
    <row r="894" spans="1:9" x14ac:dyDescent="0.3">
      <c r="A894" s="3">
        <v>889</v>
      </c>
      <c r="B894" s="23">
        <v>45028</v>
      </c>
      <c r="C894" s="6">
        <v>980290</v>
      </c>
      <c r="D894" s="4">
        <v>961660</v>
      </c>
      <c r="F894" s="19">
        <v>889</v>
      </c>
      <c r="G894" s="22">
        <v>45042</v>
      </c>
      <c r="H894" s="31">
        <f t="shared" si="27"/>
        <v>967860</v>
      </c>
      <c r="I894" s="31">
        <f t="shared" si="28"/>
        <v>948960</v>
      </c>
    </row>
    <row r="895" spans="1:9" x14ac:dyDescent="0.3">
      <c r="A895" s="3">
        <v>890</v>
      </c>
      <c r="B895" s="24">
        <v>45027</v>
      </c>
      <c r="C895" s="7">
        <v>986850</v>
      </c>
      <c r="D895" s="5">
        <v>968260</v>
      </c>
      <c r="F895" s="19">
        <v>890</v>
      </c>
      <c r="G895" s="22">
        <v>45041</v>
      </c>
      <c r="H895" s="31">
        <f t="shared" si="27"/>
        <v>967860</v>
      </c>
      <c r="I895" s="31">
        <f t="shared" si="28"/>
        <v>948960</v>
      </c>
    </row>
    <row r="896" spans="1:9" x14ac:dyDescent="0.3">
      <c r="A896" s="3">
        <v>891</v>
      </c>
      <c r="B896" s="23">
        <v>45026</v>
      </c>
      <c r="C896" s="6">
        <v>986350</v>
      </c>
      <c r="D896" s="4">
        <v>967240</v>
      </c>
      <c r="F896" s="19">
        <v>891</v>
      </c>
      <c r="G896" s="22">
        <v>45040</v>
      </c>
      <c r="H896" s="31">
        <f t="shared" si="27"/>
        <v>967860</v>
      </c>
      <c r="I896" s="31">
        <f t="shared" si="28"/>
        <v>948960</v>
      </c>
    </row>
    <row r="897" spans="1:9" x14ac:dyDescent="0.3">
      <c r="A897" s="3">
        <v>892</v>
      </c>
      <c r="B897" s="24">
        <v>45025</v>
      </c>
      <c r="C897" s="7">
        <v>982820</v>
      </c>
      <c r="D897" s="5">
        <v>964200</v>
      </c>
      <c r="F897" s="19">
        <v>892</v>
      </c>
      <c r="G897" s="22">
        <v>45039</v>
      </c>
      <c r="H897" s="31">
        <f t="shared" si="27"/>
        <v>967860</v>
      </c>
      <c r="I897" s="31">
        <f t="shared" si="28"/>
        <v>948960</v>
      </c>
    </row>
    <row r="898" spans="1:9" x14ac:dyDescent="0.3">
      <c r="A898" s="3">
        <v>893</v>
      </c>
      <c r="B898" s="23">
        <v>45024</v>
      </c>
      <c r="C898" s="6">
        <v>982820</v>
      </c>
      <c r="D898" s="4">
        <v>964200</v>
      </c>
      <c r="F898" s="19">
        <v>893</v>
      </c>
      <c r="G898" s="22">
        <v>45038</v>
      </c>
      <c r="H898" s="31">
        <f t="shared" si="27"/>
        <v>967860</v>
      </c>
      <c r="I898" s="31">
        <f t="shared" si="28"/>
        <v>948960</v>
      </c>
    </row>
    <row r="899" spans="1:9" x14ac:dyDescent="0.3">
      <c r="A899" s="3">
        <v>894</v>
      </c>
      <c r="B899" s="24">
        <v>45023</v>
      </c>
      <c r="C899" s="7">
        <v>986350</v>
      </c>
      <c r="D899" s="5">
        <v>967240</v>
      </c>
      <c r="F899" s="19">
        <v>894</v>
      </c>
      <c r="G899" s="22">
        <v>45037</v>
      </c>
      <c r="H899" s="31">
        <f t="shared" si="27"/>
        <v>967860</v>
      </c>
      <c r="I899" s="31">
        <f t="shared" si="28"/>
        <v>948960</v>
      </c>
    </row>
    <row r="900" spans="1:9" x14ac:dyDescent="0.3">
      <c r="A900" s="3">
        <v>895</v>
      </c>
      <c r="B900" s="23">
        <v>45022</v>
      </c>
      <c r="C900" s="6">
        <v>986350</v>
      </c>
      <c r="D900" s="4">
        <v>967240</v>
      </c>
      <c r="F900" s="19">
        <v>895</v>
      </c>
      <c r="G900" s="22">
        <v>45036</v>
      </c>
      <c r="H900" s="31">
        <f t="shared" si="27"/>
        <v>967860</v>
      </c>
      <c r="I900" s="31">
        <f t="shared" si="28"/>
        <v>948960</v>
      </c>
    </row>
    <row r="901" spans="1:9" x14ac:dyDescent="0.3">
      <c r="A901" s="3">
        <v>896</v>
      </c>
      <c r="B901" s="24">
        <v>45021</v>
      </c>
      <c r="C901" s="7">
        <v>989370</v>
      </c>
      <c r="D901" s="5">
        <v>969780</v>
      </c>
      <c r="F901" s="19">
        <v>896</v>
      </c>
      <c r="G901" s="22">
        <v>45035</v>
      </c>
      <c r="H901" s="31">
        <f t="shared" si="27"/>
        <v>967860</v>
      </c>
      <c r="I901" s="31">
        <f t="shared" si="28"/>
        <v>948960</v>
      </c>
    </row>
    <row r="902" spans="1:9" x14ac:dyDescent="0.3">
      <c r="A902" s="3">
        <v>897</v>
      </c>
      <c r="B902" s="23">
        <v>45020</v>
      </c>
      <c r="C902" s="6">
        <v>978280</v>
      </c>
      <c r="D902" s="4">
        <v>959620</v>
      </c>
      <c r="F902" s="19">
        <v>897</v>
      </c>
      <c r="G902" s="22">
        <v>45034</v>
      </c>
      <c r="H902" s="31">
        <f t="shared" ref="H902:H965" si="29">_xlfn.XLOOKUP(G902,$B$6:$B$994,$C$6:$C$994,,-1)</f>
        <v>967680</v>
      </c>
      <c r="I902" s="31">
        <f t="shared" ref="I902:I965" si="30">_xlfn.XLOOKUP(G902,$B$6:$B$994,$D$6:$D$994,,-1)</f>
        <v>948960</v>
      </c>
    </row>
    <row r="903" spans="1:9" x14ac:dyDescent="0.3">
      <c r="A903" s="3">
        <v>898</v>
      </c>
      <c r="B903" s="24">
        <v>45019</v>
      </c>
      <c r="C903" s="7">
        <v>968690</v>
      </c>
      <c r="D903" s="5">
        <v>949970</v>
      </c>
      <c r="F903" s="19">
        <v>898</v>
      </c>
      <c r="G903" s="22">
        <v>45033</v>
      </c>
      <c r="H903" s="31">
        <f t="shared" si="29"/>
        <v>969190</v>
      </c>
      <c r="I903" s="31">
        <f t="shared" si="30"/>
        <v>950480</v>
      </c>
    </row>
    <row r="904" spans="1:9" x14ac:dyDescent="0.3">
      <c r="A904" s="3">
        <v>899</v>
      </c>
      <c r="B904" s="23">
        <v>45018</v>
      </c>
      <c r="C904" s="6">
        <v>964150</v>
      </c>
      <c r="D904" s="4">
        <v>945400</v>
      </c>
      <c r="F904" s="19">
        <v>899</v>
      </c>
      <c r="G904" s="22">
        <v>45032</v>
      </c>
      <c r="H904" s="31">
        <f t="shared" si="29"/>
        <v>969190</v>
      </c>
      <c r="I904" s="31">
        <f t="shared" si="30"/>
        <v>949970</v>
      </c>
    </row>
    <row r="905" spans="1:9" x14ac:dyDescent="0.3">
      <c r="A905" s="3">
        <v>900</v>
      </c>
      <c r="B905" s="24">
        <v>45017</v>
      </c>
      <c r="C905" s="7">
        <v>964150</v>
      </c>
      <c r="D905" s="5">
        <v>945400</v>
      </c>
      <c r="F905" s="19">
        <v>900</v>
      </c>
      <c r="G905" s="22">
        <v>45031</v>
      </c>
      <c r="H905" s="31">
        <f t="shared" si="29"/>
        <v>969190</v>
      </c>
      <c r="I905" s="31">
        <f t="shared" si="30"/>
        <v>949970</v>
      </c>
    </row>
    <row r="906" spans="1:9" x14ac:dyDescent="0.3">
      <c r="A906" s="3">
        <v>901</v>
      </c>
      <c r="B906" s="23">
        <v>45016</v>
      </c>
      <c r="C906" s="6">
        <v>969700</v>
      </c>
      <c r="D906" s="4">
        <v>950990</v>
      </c>
      <c r="F906" s="19">
        <v>901</v>
      </c>
      <c r="G906" s="22">
        <v>45030</v>
      </c>
      <c r="H906" s="31">
        <f t="shared" si="29"/>
        <v>979790</v>
      </c>
      <c r="I906" s="31">
        <f t="shared" si="30"/>
        <v>960640</v>
      </c>
    </row>
    <row r="907" spans="1:9" x14ac:dyDescent="0.3">
      <c r="A907" s="3">
        <v>902</v>
      </c>
      <c r="B907" s="24">
        <v>45015</v>
      </c>
      <c r="C907" s="7">
        <v>971720</v>
      </c>
      <c r="D907" s="5">
        <v>953020</v>
      </c>
      <c r="F907" s="19">
        <v>902</v>
      </c>
      <c r="G907" s="22">
        <v>45029</v>
      </c>
      <c r="H907" s="31">
        <f t="shared" si="29"/>
        <v>974740</v>
      </c>
      <c r="I907" s="31">
        <f t="shared" si="30"/>
        <v>956070</v>
      </c>
    </row>
    <row r="908" spans="1:9" x14ac:dyDescent="0.3">
      <c r="A908" s="3">
        <v>903</v>
      </c>
      <c r="B908" s="23">
        <v>45014</v>
      </c>
      <c r="C908" s="6">
        <v>967180</v>
      </c>
      <c r="D908" s="4">
        <v>948450</v>
      </c>
      <c r="F908" s="19">
        <v>903</v>
      </c>
      <c r="G908" s="22">
        <v>45028</v>
      </c>
      <c r="H908" s="31">
        <f t="shared" si="29"/>
        <v>980290</v>
      </c>
      <c r="I908" s="31">
        <f t="shared" si="30"/>
        <v>961660</v>
      </c>
    </row>
    <row r="909" spans="1:9" x14ac:dyDescent="0.3">
      <c r="A909" s="3">
        <v>904</v>
      </c>
      <c r="B909" s="24">
        <v>45013</v>
      </c>
      <c r="C909" s="7">
        <v>963140</v>
      </c>
      <c r="D909" s="5">
        <v>944380</v>
      </c>
      <c r="F909" s="19">
        <v>904</v>
      </c>
      <c r="G909" s="22">
        <v>45027</v>
      </c>
      <c r="H909" s="31">
        <f t="shared" si="29"/>
        <v>986850</v>
      </c>
      <c r="I909" s="31">
        <f t="shared" si="30"/>
        <v>968260</v>
      </c>
    </row>
    <row r="910" spans="1:9" x14ac:dyDescent="0.3">
      <c r="A910" s="3">
        <v>905</v>
      </c>
      <c r="B910" s="23">
        <v>45012</v>
      </c>
      <c r="C910" s="6">
        <v>974740</v>
      </c>
      <c r="D910" s="4">
        <v>955560</v>
      </c>
      <c r="F910" s="19">
        <v>905</v>
      </c>
      <c r="G910" s="22">
        <v>45026</v>
      </c>
      <c r="H910" s="31">
        <f t="shared" si="29"/>
        <v>986350</v>
      </c>
      <c r="I910" s="31">
        <f t="shared" si="30"/>
        <v>967240</v>
      </c>
    </row>
    <row r="911" spans="1:9" x14ac:dyDescent="0.3">
      <c r="A911" s="3">
        <v>906</v>
      </c>
      <c r="B911" s="24">
        <v>45011</v>
      </c>
      <c r="C911" s="7">
        <v>970710</v>
      </c>
      <c r="D911" s="5">
        <v>951500</v>
      </c>
      <c r="F911" s="19">
        <v>906</v>
      </c>
      <c r="G911" s="22">
        <v>45025</v>
      </c>
      <c r="H911" s="31">
        <f t="shared" si="29"/>
        <v>982820</v>
      </c>
      <c r="I911" s="31">
        <f t="shared" si="30"/>
        <v>964200</v>
      </c>
    </row>
    <row r="912" spans="1:9" x14ac:dyDescent="0.3">
      <c r="A912" s="3">
        <v>907</v>
      </c>
      <c r="B912" s="23">
        <v>45010</v>
      </c>
      <c r="C912" s="6">
        <v>970710</v>
      </c>
      <c r="D912" s="4">
        <v>951500</v>
      </c>
      <c r="F912" s="19">
        <v>907</v>
      </c>
      <c r="G912" s="22">
        <v>45024</v>
      </c>
      <c r="H912" s="31">
        <f t="shared" si="29"/>
        <v>982820</v>
      </c>
      <c r="I912" s="31">
        <f t="shared" si="30"/>
        <v>964200</v>
      </c>
    </row>
    <row r="913" spans="1:9" x14ac:dyDescent="0.3">
      <c r="A913" s="3">
        <v>908</v>
      </c>
      <c r="B913" s="24">
        <v>45009</v>
      </c>
      <c r="C913" s="7">
        <v>974740</v>
      </c>
      <c r="D913" s="5">
        <v>955050</v>
      </c>
      <c r="F913" s="19">
        <v>908</v>
      </c>
      <c r="G913" s="22">
        <v>45023</v>
      </c>
      <c r="H913" s="31">
        <f t="shared" si="29"/>
        <v>986350</v>
      </c>
      <c r="I913" s="31">
        <f t="shared" si="30"/>
        <v>967240</v>
      </c>
    </row>
    <row r="914" spans="1:9" x14ac:dyDescent="0.3">
      <c r="A914" s="3">
        <v>909</v>
      </c>
      <c r="B914" s="23">
        <v>45008</v>
      </c>
      <c r="C914" s="6">
        <v>964650</v>
      </c>
      <c r="D914" s="4">
        <v>945400</v>
      </c>
      <c r="F914" s="19">
        <v>909</v>
      </c>
      <c r="G914" s="22">
        <v>45022</v>
      </c>
      <c r="H914" s="31">
        <f t="shared" si="29"/>
        <v>986350</v>
      </c>
      <c r="I914" s="31">
        <f t="shared" si="30"/>
        <v>967240</v>
      </c>
    </row>
    <row r="915" spans="1:9" x14ac:dyDescent="0.3">
      <c r="A915" s="3">
        <v>910</v>
      </c>
      <c r="B915" s="24">
        <v>45007</v>
      </c>
      <c r="C915" s="7">
        <v>982820</v>
      </c>
      <c r="D915" s="5">
        <v>963180</v>
      </c>
      <c r="F915" s="19">
        <v>910</v>
      </c>
      <c r="G915" s="22">
        <v>45021</v>
      </c>
      <c r="H915" s="31">
        <f t="shared" si="29"/>
        <v>989370</v>
      </c>
      <c r="I915" s="31">
        <f t="shared" si="30"/>
        <v>969780</v>
      </c>
    </row>
    <row r="916" spans="1:9" x14ac:dyDescent="0.3">
      <c r="A916" s="3">
        <v>911</v>
      </c>
      <c r="B916" s="23">
        <v>45006</v>
      </c>
      <c r="C916" s="6">
        <v>982820</v>
      </c>
      <c r="D916" s="4">
        <v>963180</v>
      </c>
      <c r="F916" s="19">
        <v>911</v>
      </c>
      <c r="G916" s="22">
        <v>45020</v>
      </c>
      <c r="H916" s="31">
        <f t="shared" si="29"/>
        <v>978280</v>
      </c>
      <c r="I916" s="31">
        <f t="shared" si="30"/>
        <v>959620</v>
      </c>
    </row>
    <row r="917" spans="1:9" x14ac:dyDescent="0.3">
      <c r="A917" s="3">
        <v>912</v>
      </c>
      <c r="B917" s="24">
        <v>45005</v>
      </c>
      <c r="C917" s="7">
        <v>988870</v>
      </c>
      <c r="D917" s="5">
        <v>969280</v>
      </c>
      <c r="F917" s="19">
        <v>912</v>
      </c>
      <c r="G917" s="22">
        <v>45019</v>
      </c>
      <c r="H917" s="31">
        <f t="shared" si="29"/>
        <v>968690</v>
      </c>
      <c r="I917" s="31">
        <f t="shared" si="30"/>
        <v>949970</v>
      </c>
    </row>
    <row r="918" spans="1:9" x14ac:dyDescent="0.3">
      <c r="A918" s="3">
        <v>913</v>
      </c>
      <c r="B918" s="23">
        <v>45004</v>
      </c>
      <c r="C918" s="6">
        <v>987360</v>
      </c>
      <c r="D918" s="4">
        <v>967750</v>
      </c>
      <c r="F918" s="19">
        <v>913</v>
      </c>
      <c r="G918" s="22">
        <v>45018</v>
      </c>
      <c r="H918" s="31">
        <f t="shared" si="29"/>
        <v>964150</v>
      </c>
      <c r="I918" s="31">
        <f t="shared" si="30"/>
        <v>945400</v>
      </c>
    </row>
    <row r="919" spans="1:9" x14ac:dyDescent="0.3">
      <c r="A919" s="3">
        <v>914</v>
      </c>
      <c r="B919" s="24">
        <v>45003</v>
      </c>
      <c r="C919" s="7">
        <v>987360</v>
      </c>
      <c r="D919" s="5">
        <v>967750</v>
      </c>
      <c r="F919" s="19">
        <v>914</v>
      </c>
      <c r="G919" s="22">
        <v>45017</v>
      </c>
      <c r="H919" s="31">
        <f t="shared" si="29"/>
        <v>964150</v>
      </c>
      <c r="I919" s="31">
        <f t="shared" si="30"/>
        <v>945400</v>
      </c>
    </row>
    <row r="920" spans="1:9" x14ac:dyDescent="0.3">
      <c r="A920" s="3">
        <v>915</v>
      </c>
      <c r="B920" s="23">
        <v>45002</v>
      </c>
      <c r="C920" s="6">
        <v>956080</v>
      </c>
      <c r="D920" s="4">
        <v>937270</v>
      </c>
      <c r="F920" s="19">
        <v>915</v>
      </c>
      <c r="G920" s="22">
        <v>45016</v>
      </c>
      <c r="H920" s="31">
        <f t="shared" si="29"/>
        <v>969700</v>
      </c>
      <c r="I920" s="31">
        <f t="shared" si="30"/>
        <v>950990</v>
      </c>
    </row>
    <row r="921" spans="1:9" x14ac:dyDescent="0.3">
      <c r="A921" s="3">
        <v>916</v>
      </c>
      <c r="B921" s="24">
        <v>45001</v>
      </c>
      <c r="C921" s="7">
        <v>954060</v>
      </c>
      <c r="D921" s="5">
        <v>935240</v>
      </c>
      <c r="F921" s="19">
        <v>916</v>
      </c>
      <c r="G921" s="22">
        <v>45015</v>
      </c>
      <c r="H921" s="31">
        <f t="shared" si="29"/>
        <v>971720</v>
      </c>
      <c r="I921" s="31">
        <f t="shared" si="30"/>
        <v>953020</v>
      </c>
    </row>
    <row r="922" spans="1:9" x14ac:dyDescent="0.3">
      <c r="A922" s="3">
        <v>917</v>
      </c>
      <c r="B922" s="23">
        <v>45000</v>
      </c>
      <c r="C922" s="6">
        <v>942960</v>
      </c>
      <c r="D922" s="4">
        <v>924570</v>
      </c>
      <c r="F922" s="19">
        <v>917</v>
      </c>
      <c r="G922" s="22">
        <v>45014</v>
      </c>
      <c r="H922" s="31">
        <f t="shared" si="29"/>
        <v>967180</v>
      </c>
      <c r="I922" s="31">
        <f t="shared" si="30"/>
        <v>948450</v>
      </c>
    </row>
    <row r="923" spans="1:9" x14ac:dyDescent="0.3">
      <c r="A923" s="3">
        <v>918</v>
      </c>
      <c r="B923" s="24">
        <v>44999</v>
      </c>
      <c r="C923" s="7">
        <v>946490</v>
      </c>
      <c r="D923" s="5">
        <v>927620</v>
      </c>
      <c r="F923" s="19">
        <v>918</v>
      </c>
      <c r="G923" s="22">
        <v>45013</v>
      </c>
      <c r="H923" s="31">
        <f t="shared" si="29"/>
        <v>963140</v>
      </c>
      <c r="I923" s="31">
        <f t="shared" si="30"/>
        <v>944380</v>
      </c>
    </row>
    <row r="924" spans="1:9" x14ac:dyDescent="0.3">
      <c r="A924" s="3">
        <v>919</v>
      </c>
      <c r="B924" s="23">
        <v>44998</v>
      </c>
      <c r="C924" s="6">
        <v>931360</v>
      </c>
      <c r="D924" s="4">
        <v>912890</v>
      </c>
      <c r="F924" s="19">
        <v>919</v>
      </c>
      <c r="G924" s="22">
        <v>45012</v>
      </c>
      <c r="H924" s="31">
        <f t="shared" si="29"/>
        <v>974740</v>
      </c>
      <c r="I924" s="31">
        <f t="shared" si="30"/>
        <v>955560</v>
      </c>
    </row>
    <row r="925" spans="1:9" x14ac:dyDescent="0.3">
      <c r="A925" s="3">
        <v>920</v>
      </c>
      <c r="B925" s="24">
        <v>44997</v>
      </c>
      <c r="C925" s="7">
        <v>940940</v>
      </c>
      <c r="D925" s="5">
        <v>922540</v>
      </c>
      <c r="F925" s="19">
        <v>920</v>
      </c>
      <c r="G925" s="22">
        <v>45011</v>
      </c>
      <c r="H925" s="31">
        <f t="shared" si="29"/>
        <v>970710</v>
      </c>
      <c r="I925" s="31">
        <f t="shared" si="30"/>
        <v>951500</v>
      </c>
    </row>
    <row r="926" spans="1:9" x14ac:dyDescent="0.3">
      <c r="A926" s="3">
        <v>921</v>
      </c>
      <c r="B926" s="23">
        <v>44996</v>
      </c>
      <c r="C926" s="6">
        <v>940940</v>
      </c>
      <c r="D926" s="4">
        <v>922540</v>
      </c>
      <c r="F926" s="19">
        <v>921</v>
      </c>
      <c r="G926" s="22">
        <v>45010</v>
      </c>
      <c r="H926" s="31">
        <f t="shared" si="29"/>
        <v>970710</v>
      </c>
      <c r="I926" s="31">
        <f t="shared" si="30"/>
        <v>951500</v>
      </c>
    </row>
    <row r="927" spans="1:9" x14ac:dyDescent="0.3">
      <c r="A927" s="3">
        <v>922</v>
      </c>
      <c r="B927" s="24">
        <v>44995</v>
      </c>
      <c r="C927" s="7">
        <v>931860</v>
      </c>
      <c r="D927" s="5">
        <v>913900</v>
      </c>
      <c r="F927" s="19">
        <v>922</v>
      </c>
      <c r="G927" s="22">
        <v>45009</v>
      </c>
      <c r="H927" s="31">
        <f t="shared" si="29"/>
        <v>974740</v>
      </c>
      <c r="I927" s="31">
        <f t="shared" si="30"/>
        <v>955050</v>
      </c>
    </row>
    <row r="928" spans="1:9" x14ac:dyDescent="0.3">
      <c r="A928" s="3">
        <v>923</v>
      </c>
      <c r="B928" s="23">
        <v>44994</v>
      </c>
      <c r="C928" s="6">
        <v>923290</v>
      </c>
      <c r="D928" s="4">
        <v>905270</v>
      </c>
      <c r="F928" s="19">
        <v>923</v>
      </c>
      <c r="G928" s="22">
        <v>45008</v>
      </c>
      <c r="H928" s="31">
        <f t="shared" si="29"/>
        <v>964650</v>
      </c>
      <c r="I928" s="31">
        <f t="shared" si="30"/>
        <v>945400</v>
      </c>
    </row>
    <row r="929" spans="1:9" x14ac:dyDescent="0.3">
      <c r="A929" s="3">
        <v>924</v>
      </c>
      <c r="B929" s="24">
        <v>44993</v>
      </c>
      <c r="C929" s="7">
        <v>914200</v>
      </c>
      <c r="D929" s="5">
        <v>896630</v>
      </c>
      <c r="F929" s="19">
        <v>924</v>
      </c>
      <c r="G929" s="22">
        <v>45007</v>
      </c>
      <c r="H929" s="31">
        <f t="shared" si="29"/>
        <v>982820</v>
      </c>
      <c r="I929" s="31">
        <f t="shared" si="30"/>
        <v>963180</v>
      </c>
    </row>
    <row r="930" spans="1:9" x14ac:dyDescent="0.3">
      <c r="A930" s="3">
        <v>925</v>
      </c>
      <c r="B930" s="23">
        <v>44992</v>
      </c>
      <c r="C930" s="6">
        <v>927830</v>
      </c>
      <c r="D930" s="4">
        <v>909840</v>
      </c>
      <c r="F930" s="19">
        <v>925</v>
      </c>
      <c r="G930" s="22">
        <v>45006</v>
      </c>
      <c r="H930" s="31">
        <f t="shared" si="29"/>
        <v>982820</v>
      </c>
      <c r="I930" s="31">
        <f t="shared" si="30"/>
        <v>963180</v>
      </c>
    </row>
    <row r="931" spans="1:9" x14ac:dyDescent="0.3">
      <c r="A931" s="3">
        <v>926</v>
      </c>
      <c r="B931" s="24">
        <v>44991</v>
      </c>
      <c r="C931" s="7">
        <v>931360</v>
      </c>
      <c r="D931" s="5">
        <v>913400</v>
      </c>
      <c r="F931" s="19">
        <v>926</v>
      </c>
      <c r="G931" s="22">
        <v>45005</v>
      </c>
      <c r="H931" s="31">
        <f t="shared" si="29"/>
        <v>988870</v>
      </c>
      <c r="I931" s="31">
        <f t="shared" si="30"/>
        <v>969280</v>
      </c>
    </row>
    <row r="932" spans="1:9" x14ac:dyDescent="0.3">
      <c r="A932" s="3">
        <v>927</v>
      </c>
      <c r="B932" s="23">
        <v>44990</v>
      </c>
      <c r="C932" s="6">
        <v>917740</v>
      </c>
      <c r="D932" s="4">
        <v>899680</v>
      </c>
      <c r="F932" s="19">
        <v>927</v>
      </c>
      <c r="G932" s="22">
        <v>45004</v>
      </c>
      <c r="H932" s="31">
        <f t="shared" si="29"/>
        <v>987360</v>
      </c>
      <c r="I932" s="31">
        <f t="shared" si="30"/>
        <v>967750</v>
      </c>
    </row>
    <row r="933" spans="1:9" x14ac:dyDescent="0.3">
      <c r="A933" s="3">
        <v>928</v>
      </c>
      <c r="B933" s="24">
        <v>44989</v>
      </c>
      <c r="C933" s="7">
        <v>917740</v>
      </c>
      <c r="D933" s="5">
        <v>899680</v>
      </c>
      <c r="F933" s="19">
        <v>928</v>
      </c>
      <c r="G933" s="22">
        <v>45003</v>
      </c>
      <c r="H933" s="31">
        <f t="shared" si="29"/>
        <v>987360</v>
      </c>
      <c r="I933" s="31">
        <f t="shared" si="30"/>
        <v>967750</v>
      </c>
    </row>
    <row r="934" spans="1:9" x14ac:dyDescent="0.3">
      <c r="A934" s="3">
        <v>929</v>
      </c>
      <c r="B934" s="23">
        <v>44988</v>
      </c>
      <c r="C934" s="6">
        <v>917740</v>
      </c>
      <c r="D934" s="4">
        <v>899680</v>
      </c>
      <c r="F934" s="19">
        <v>929</v>
      </c>
      <c r="G934" s="22">
        <v>45002</v>
      </c>
      <c r="H934" s="31">
        <f t="shared" si="29"/>
        <v>956080</v>
      </c>
      <c r="I934" s="31">
        <f t="shared" si="30"/>
        <v>937270</v>
      </c>
    </row>
    <row r="935" spans="1:9" x14ac:dyDescent="0.3">
      <c r="A935" s="3">
        <v>930</v>
      </c>
      <c r="B935" s="24">
        <v>44987</v>
      </c>
      <c r="C935" s="7">
        <v>919250</v>
      </c>
      <c r="D935" s="5">
        <v>901710</v>
      </c>
      <c r="F935" s="19">
        <v>930</v>
      </c>
      <c r="G935" s="22">
        <v>45001</v>
      </c>
      <c r="H935" s="31">
        <f t="shared" si="29"/>
        <v>954060</v>
      </c>
      <c r="I935" s="31">
        <f t="shared" si="30"/>
        <v>935240</v>
      </c>
    </row>
    <row r="936" spans="1:9" x14ac:dyDescent="0.3">
      <c r="A936" s="3">
        <v>931</v>
      </c>
      <c r="B936" s="23">
        <v>44986</v>
      </c>
      <c r="C936" s="6">
        <v>905630</v>
      </c>
      <c r="D936" s="4">
        <v>888000</v>
      </c>
      <c r="F936" s="19">
        <v>931</v>
      </c>
      <c r="G936" s="22">
        <v>45000</v>
      </c>
      <c r="H936" s="31">
        <f t="shared" si="29"/>
        <v>942960</v>
      </c>
      <c r="I936" s="31">
        <f t="shared" si="30"/>
        <v>924570</v>
      </c>
    </row>
    <row r="937" spans="1:9" x14ac:dyDescent="0.3">
      <c r="A937" s="3">
        <v>932</v>
      </c>
      <c r="B937" s="24">
        <v>44985</v>
      </c>
      <c r="C937" s="7">
        <v>906640</v>
      </c>
      <c r="D937" s="5">
        <v>875000</v>
      </c>
      <c r="F937" s="19">
        <v>932</v>
      </c>
      <c r="G937" s="22">
        <v>44999</v>
      </c>
      <c r="H937" s="31">
        <f t="shared" si="29"/>
        <v>946490</v>
      </c>
      <c r="I937" s="31">
        <f t="shared" si="30"/>
        <v>927620</v>
      </c>
    </row>
    <row r="938" spans="1:9" x14ac:dyDescent="0.3">
      <c r="A938" s="3">
        <v>933</v>
      </c>
      <c r="B938" s="23">
        <v>44984</v>
      </c>
      <c r="C938" s="6">
        <v>909110</v>
      </c>
      <c r="D938" s="4">
        <v>873000</v>
      </c>
      <c r="F938" s="19">
        <v>933</v>
      </c>
      <c r="G938" s="22">
        <v>44998</v>
      </c>
      <c r="H938" s="31">
        <f t="shared" si="29"/>
        <v>931360</v>
      </c>
      <c r="I938" s="31">
        <f t="shared" si="30"/>
        <v>912890</v>
      </c>
    </row>
    <row r="939" spans="1:9" x14ac:dyDescent="0.3">
      <c r="A939" s="3">
        <v>934</v>
      </c>
      <c r="B939" s="24">
        <v>44983</v>
      </c>
      <c r="C939" s="7">
        <v>905630</v>
      </c>
      <c r="D939" s="5">
        <v>874500</v>
      </c>
      <c r="F939" s="19">
        <v>934</v>
      </c>
      <c r="G939" s="22">
        <v>44997</v>
      </c>
      <c r="H939" s="31">
        <f t="shared" si="29"/>
        <v>940940</v>
      </c>
      <c r="I939" s="31">
        <f t="shared" si="30"/>
        <v>922540</v>
      </c>
    </row>
    <row r="940" spans="1:9" x14ac:dyDescent="0.3">
      <c r="A940" s="3">
        <v>935</v>
      </c>
      <c r="B940" s="23">
        <v>44982</v>
      </c>
      <c r="C940" s="6">
        <v>905630</v>
      </c>
      <c r="D940" s="4">
        <v>874500</v>
      </c>
      <c r="F940" s="19">
        <v>935</v>
      </c>
      <c r="G940" s="22">
        <v>44996</v>
      </c>
      <c r="H940" s="31">
        <f t="shared" si="29"/>
        <v>940940</v>
      </c>
      <c r="I940" s="31">
        <f t="shared" si="30"/>
        <v>922540</v>
      </c>
    </row>
    <row r="941" spans="1:9" x14ac:dyDescent="0.3">
      <c r="A941" s="3">
        <v>936</v>
      </c>
      <c r="B941" s="24">
        <v>44981</v>
      </c>
      <c r="C941" s="7">
        <v>909160</v>
      </c>
      <c r="D941" s="5">
        <v>892060</v>
      </c>
      <c r="F941" s="19">
        <v>936</v>
      </c>
      <c r="G941" s="22">
        <v>44995</v>
      </c>
      <c r="H941" s="31">
        <f t="shared" si="29"/>
        <v>931860</v>
      </c>
      <c r="I941" s="31">
        <f t="shared" si="30"/>
        <v>913900</v>
      </c>
    </row>
    <row r="942" spans="1:9" x14ac:dyDescent="0.3">
      <c r="A942" s="3">
        <v>937</v>
      </c>
      <c r="B942" s="23">
        <v>44980</v>
      </c>
      <c r="C942" s="6">
        <v>914200</v>
      </c>
      <c r="D942" s="4">
        <v>896630</v>
      </c>
      <c r="F942" s="19">
        <v>937</v>
      </c>
      <c r="G942" s="22">
        <v>44994</v>
      </c>
      <c r="H942" s="31">
        <f t="shared" si="29"/>
        <v>923290</v>
      </c>
      <c r="I942" s="31">
        <f t="shared" si="30"/>
        <v>905270</v>
      </c>
    </row>
    <row r="943" spans="1:9" x14ac:dyDescent="0.3">
      <c r="A943" s="3">
        <v>938</v>
      </c>
      <c r="B943" s="24">
        <v>44979</v>
      </c>
      <c r="C943" s="7">
        <v>913700</v>
      </c>
      <c r="D943" s="5">
        <v>896120</v>
      </c>
      <c r="F943" s="19">
        <v>938</v>
      </c>
      <c r="G943" s="22">
        <v>44993</v>
      </c>
      <c r="H943" s="31">
        <f t="shared" si="29"/>
        <v>914200</v>
      </c>
      <c r="I943" s="31">
        <f t="shared" si="30"/>
        <v>896630</v>
      </c>
    </row>
    <row r="944" spans="1:9" x14ac:dyDescent="0.3">
      <c r="A944" s="3">
        <v>939</v>
      </c>
      <c r="B944" s="23">
        <v>44978</v>
      </c>
      <c r="C944" s="6">
        <v>915720</v>
      </c>
      <c r="D944" s="4">
        <v>898160</v>
      </c>
      <c r="F944" s="19">
        <v>939</v>
      </c>
      <c r="G944" s="22">
        <v>44992</v>
      </c>
      <c r="H944" s="31">
        <f t="shared" si="29"/>
        <v>927830</v>
      </c>
      <c r="I944" s="31">
        <f t="shared" si="30"/>
        <v>909840</v>
      </c>
    </row>
    <row r="945" spans="1:9" x14ac:dyDescent="0.3">
      <c r="A945" s="3">
        <v>940</v>
      </c>
      <c r="B945" s="24">
        <v>44977</v>
      </c>
      <c r="C945" s="7">
        <v>915720</v>
      </c>
      <c r="D945" s="5">
        <v>898660</v>
      </c>
      <c r="F945" s="19">
        <v>940</v>
      </c>
      <c r="G945" s="22">
        <v>44991</v>
      </c>
      <c r="H945" s="31">
        <f t="shared" si="29"/>
        <v>931360</v>
      </c>
      <c r="I945" s="31">
        <f t="shared" si="30"/>
        <v>913400</v>
      </c>
    </row>
    <row r="946" spans="1:9" x14ac:dyDescent="0.3">
      <c r="A946" s="3">
        <v>941</v>
      </c>
      <c r="B946" s="23">
        <v>44976</v>
      </c>
      <c r="C946" s="6">
        <v>916220</v>
      </c>
      <c r="D946" s="4">
        <v>898660</v>
      </c>
      <c r="F946" s="19">
        <v>941</v>
      </c>
      <c r="G946" s="22">
        <v>44990</v>
      </c>
      <c r="H946" s="31">
        <f t="shared" si="29"/>
        <v>917740</v>
      </c>
      <c r="I946" s="31">
        <f t="shared" si="30"/>
        <v>899680</v>
      </c>
    </row>
    <row r="947" spans="1:9" x14ac:dyDescent="0.3">
      <c r="A947" s="3">
        <v>942</v>
      </c>
      <c r="B947" s="24">
        <v>44975</v>
      </c>
      <c r="C947" s="7">
        <v>916220</v>
      </c>
      <c r="D947" s="5">
        <v>898660</v>
      </c>
      <c r="F947" s="19">
        <v>942</v>
      </c>
      <c r="G947" s="22">
        <v>44989</v>
      </c>
      <c r="H947" s="31">
        <f t="shared" si="29"/>
        <v>917740</v>
      </c>
      <c r="I947" s="31">
        <f t="shared" si="30"/>
        <v>899680</v>
      </c>
    </row>
    <row r="948" spans="1:9" x14ac:dyDescent="0.3">
      <c r="A948" s="3">
        <v>943</v>
      </c>
      <c r="B948" s="23">
        <v>44974</v>
      </c>
      <c r="C948" s="6">
        <v>911180</v>
      </c>
      <c r="D948" s="4">
        <v>894100</v>
      </c>
      <c r="F948" s="19">
        <v>943</v>
      </c>
      <c r="G948" s="22">
        <v>44988</v>
      </c>
      <c r="H948" s="31">
        <f t="shared" si="29"/>
        <v>917740</v>
      </c>
      <c r="I948" s="31">
        <f t="shared" si="30"/>
        <v>899680</v>
      </c>
    </row>
    <row r="949" spans="1:9" x14ac:dyDescent="0.3">
      <c r="A949" s="3">
        <v>944</v>
      </c>
      <c r="B949" s="24">
        <v>44973</v>
      </c>
      <c r="C949" s="7">
        <v>916220</v>
      </c>
      <c r="D949" s="5">
        <v>898660</v>
      </c>
      <c r="F949" s="19">
        <v>944</v>
      </c>
      <c r="G949" s="22">
        <v>44987</v>
      </c>
      <c r="H949" s="31">
        <f t="shared" si="29"/>
        <v>919250</v>
      </c>
      <c r="I949" s="31">
        <f t="shared" si="30"/>
        <v>901710</v>
      </c>
    </row>
    <row r="950" spans="1:9" x14ac:dyDescent="0.3">
      <c r="A950" s="3">
        <v>945</v>
      </c>
      <c r="B950" s="23">
        <v>44972</v>
      </c>
      <c r="C950" s="6">
        <v>920760</v>
      </c>
      <c r="D950" s="4">
        <v>903240</v>
      </c>
      <c r="F950" s="19">
        <v>945</v>
      </c>
      <c r="G950" s="22">
        <v>44986</v>
      </c>
      <c r="H950" s="31">
        <f t="shared" si="29"/>
        <v>905630</v>
      </c>
      <c r="I950" s="31">
        <f t="shared" si="30"/>
        <v>888000</v>
      </c>
    </row>
    <row r="951" spans="1:9" x14ac:dyDescent="0.3">
      <c r="A951" s="3">
        <v>946</v>
      </c>
      <c r="B951" s="24">
        <v>44971</v>
      </c>
      <c r="C951" s="7">
        <v>924800</v>
      </c>
      <c r="D951" s="5">
        <v>907300</v>
      </c>
      <c r="F951" s="19">
        <v>946</v>
      </c>
      <c r="G951" s="22">
        <v>44985</v>
      </c>
      <c r="H951" s="31">
        <f t="shared" si="29"/>
        <v>906640</v>
      </c>
      <c r="I951" s="31">
        <f t="shared" si="30"/>
        <v>875000</v>
      </c>
    </row>
    <row r="952" spans="1:9" x14ac:dyDescent="0.3">
      <c r="A952" s="3">
        <v>947</v>
      </c>
      <c r="B952" s="23">
        <v>44970</v>
      </c>
      <c r="C952" s="6">
        <v>924290</v>
      </c>
      <c r="D952" s="4">
        <v>906280</v>
      </c>
      <c r="F952" s="19">
        <v>947</v>
      </c>
      <c r="G952" s="22">
        <v>44984</v>
      </c>
      <c r="H952" s="31">
        <f t="shared" si="29"/>
        <v>909110</v>
      </c>
      <c r="I952" s="31">
        <f t="shared" si="30"/>
        <v>873000</v>
      </c>
    </row>
    <row r="953" spans="1:9" x14ac:dyDescent="0.3">
      <c r="A953" s="3">
        <v>948</v>
      </c>
      <c r="B953" s="24">
        <v>44969</v>
      </c>
      <c r="C953" s="7">
        <v>928330</v>
      </c>
      <c r="D953" s="5">
        <v>910350</v>
      </c>
      <c r="F953" s="19">
        <v>948</v>
      </c>
      <c r="G953" s="22">
        <v>44983</v>
      </c>
      <c r="H953" s="31">
        <f t="shared" si="29"/>
        <v>905630</v>
      </c>
      <c r="I953" s="31">
        <f t="shared" si="30"/>
        <v>874500</v>
      </c>
    </row>
    <row r="954" spans="1:9" x14ac:dyDescent="0.3">
      <c r="A954" s="3">
        <v>949</v>
      </c>
      <c r="B954" s="23">
        <v>44968</v>
      </c>
      <c r="C954" s="6">
        <v>928330</v>
      </c>
      <c r="D954" s="4">
        <v>910350</v>
      </c>
      <c r="F954" s="19">
        <v>949</v>
      </c>
      <c r="G954" s="22">
        <v>44982</v>
      </c>
      <c r="H954" s="31">
        <f t="shared" si="29"/>
        <v>905630</v>
      </c>
      <c r="I954" s="31">
        <f t="shared" si="30"/>
        <v>874500</v>
      </c>
    </row>
    <row r="955" spans="1:9" x14ac:dyDescent="0.3">
      <c r="A955" s="3">
        <v>950</v>
      </c>
      <c r="B955" s="24">
        <v>44967</v>
      </c>
      <c r="C955" s="7">
        <v>924800</v>
      </c>
      <c r="D955" s="5">
        <v>907300</v>
      </c>
      <c r="F955" s="19">
        <v>950</v>
      </c>
      <c r="G955" s="22">
        <v>44981</v>
      </c>
      <c r="H955" s="31">
        <f t="shared" si="29"/>
        <v>909160</v>
      </c>
      <c r="I955" s="31">
        <f t="shared" si="30"/>
        <v>892060</v>
      </c>
    </row>
    <row r="956" spans="1:9" x14ac:dyDescent="0.3">
      <c r="A956" s="3">
        <v>951</v>
      </c>
      <c r="B956" s="23">
        <v>44966</v>
      </c>
      <c r="C956" s="6">
        <v>932370</v>
      </c>
      <c r="D956" s="4">
        <v>914920</v>
      </c>
      <c r="F956" s="19">
        <v>951</v>
      </c>
      <c r="G956" s="22">
        <v>44980</v>
      </c>
      <c r="H956" s="31">
        <f t="shared" si="29"/>
        <v>914200</v>
      </c>
      <c r="I956" s="31">
        <f t="shared" si="30"/>
        <v>896630</v>
      </c>
    </row>
    <row r="957" spans="1:9" x14ac:dyDescent="0.3">
      <c r="A957" s="3">
        <v>952</v>
      </c>
      <c r="B957" s="24">
        <v>44965</v>
      </c>
      <c r="C957" s="7">
        <v>926310</v>
      </c>
      <c r="D957" s="5">
        <v>908320</v>
      </c>
      <c r="F957" s="19">
        <v>952</v>
      </c>
      <c r="G957" s="22">
        <v>44979</v>
      </c>
      <c r="H957" s="31">
        <f t="shared" si="29"/>
        <v>913700</v>
      </c>
      <c r="I957" s="31">
        <f t="shared" si="30"/>
        <v>896120</v>
      </c>
    </row>
    <row r="958" spans="1:9" x14ac:dyDescent="0.3">
      <c r="A958" s="3">
        <v>953</v>
      </c>
      <c r="B958" s="23">
        <v>44964</v>
      </c>
      <c r="C958" s="6">
        <v>927320</v>
      </c>
      <c r="D958" s="4">
        <v>909330</v>
      </c>
      <c r="F958" s="19">
        <v>953</v>
      </c>
      <c r="G958" s="22">
        <v>44978</v>
      </c>
      <c r="H958" s="31">
        <f t="shared" si="29"/>
        <v>915720</v>
      </c>
      <c r="I958" s="31">
        <f t="shared" si="30"/>
        <v>898160</v>
      </c>
    </row>
    <row r="959" spans="1:9" x14ac:dyDescent="0.3">
      <c r="A959" s="3">
        <v>954</v>
      </c>
      <c r="B959" s="24">
        <v>44963</v>
      </c>
      <c r="C959" s="7">
        <v>927320</v>
      </c>
      <c r="D959" s="5">
        <v>909330</v>
      </c>
      <c r="F959" s="19">
        <v>954</v>
      </c>
      <c r="G959" s="22">
        <v>44977</v>
      </c>
      <c r="H959" s="31">
        <f t="shared" si="29"/>
        <v>915720</v>
      </c>
      <c r="I959" s="31">
        <f t="shared" si="30"/>
        <v>898660</v>
      </c>
    </row>
    <row r="960" spans="1:9" x14ac:dyDescent="0.3">
      <c r="A960" s="3">
        <v>955</v>
      </c>
      <c r="B960" s="23">
        <v>44962</v>
      </c>
      <c r="C960" s="6">
        <v>923290</v>
      </c>
      <c r="D960" s="4">
        <v>891500</v>
      </c>
      <c r="F960" s="19">
        <v>955</v>
      </c>
      <c r="G960" s="22">
        <v>44976</v>
      </c>
      <c r="H960" s="31">
        <f t="shared" si="29"/>
        <v>916220</v>
      </c>
      <c r="I960" s="31">
        <f t="shared" si="30"/>
        <v>898660</v>
      </c>
    </row>
    <row r="961" spans="1:9" x14ac:dyDescent="0.3">
      <c r="A961" s="3">
        <v>956</v>
      </c>
      <c r="B961" s="24">
        <v>44961</v>
      </c>
      <c r="C961" s="7">
        <v>923290</v>
      </c>
      <c r="D961" s="5">
        <v>891500</v>
      </c>
      <c r="F961" s="19">
        <v>956</v>
      </c>
      <c r="G961" s="22">
        <v>44975</v>
      </c>
      <c r="H961" s="31">
        <f t="shared" si="29"/>
        <v>916220</v>
      </c>
      <c r="I961" s="31">
        <f t="shared" si="30"/>
        <v>898660</v>
      </c>
    </row>
    <row r="962" spans="1:9" x14ac:dyDescent="0.3">
      <c r="A962" s="3">
        <v>957</v>
      </c>
      <c r="B962" s="23">
        <v>44960</v>
      </c>
      <c r="C962" s="6">
        <v>935390</v>
      </c>
      <c r="D962" s="4">
        <v>903000</v>
      </c>
      <c r="F962" s="19">
        <v>957</v>
      </c>
      <c r="G962" s="22">
        <v>44974</v>
      </c>
      <c r="H962" s="31">
        <f t="shared" si="29"/>
        <v>911180</v>
      </c>
      <c r="I962" s="31">
        <f t="shared" si="30"/>
        <v>894100</v>
      </c>
    </row>
    <row r="963" spans="1:9" x14ac:dyDescent="0.3">
      <c r="A963" s="3">
        <v>958</v>
      </c>
      <c r="B963" s="24">
        <v>44959</v>
      </c>
      <c r="C963" s="7">
        <v>942460</v>
      </c>
      <c r="D963" s="5">
        <v>909500</v>
      </c>
      <c r="F963" s="19">
        <v>958</v>
      </c>
      <c r="G963" s="22">
        <v>44973</v>
      </c>
      <c r="H963" s="31">
        <f t="shared" si="29"/>
        <v>916220</v>
      </c>
      <c r="I963" s="31">
        <f t="shared" si="30"/>
        <v>898660</v>
      </c>
    </row>
    <row r="964" spans="1:9" x14ac:dyDescent="0.3">
      <c r="A964" s="3">
        <v>959</v>
      </c>
      <c r="B964" s="23">
        <v>44958</v>
      </c>
      <c r="C964" s="6">
        <v>937410</v>
      </c>
      <c r="D964" s="4">
        <v>904500</v>
      </c>
      <c r="F964" s="19">
        <v>959</v>
      </c>
      <c r="G964" s="22">
        <v>44972</v>
      </c>
      <c r="H964" s="31">
        <f t="shared" si="29"/>
        <v>920760</v>
      </c>
      <c r="I964" s="31">
        <f t="shared" si="30"/>
        <v>903240</v>
      </c>
    </row>
    <row r="965" spans="1:9" x14ac:dyDescent="0.3">
      <c r="A965" s="3">
        <v>960</v>
      </c>
      <c r="B965" s="24">
        <v>44957</v>
      </c>
      <c r="C965" s="7">
        <v>937920</v>
      </c>
      <c r="D965" s="5">
        <v>905500</v>
      </c>
      <c r="F965" s="19">
        <v>960</v>
      </c>
      <c r="G965" s="22">
        <v>44971</v>
      </c>
      <c r="H965" s="31">
        <f t="shared" si="29"/>
        <v>924800</v>
      </c>
      <c r="I965" s="31">
        <f t="shared" si="30"/>
        <v>907300</v>
      </c>
    </row>
    <row r="966" spans="1:9" x14ac:dyDescent="0.3">
      <c r="A966" s="3">
        <v>961</v>
      </c>
      <c r="B966" s="23">
        <v>44956</v>
      </c>
      <c r="C966" s="6">
        <v>939430</v>
      </c>
      <c r="D966" s="4">
        <v>906500</v>
      </c>
      <c r="F966" s="19">
        <v>961</v>
      </c>
      <c r="G966" s="22">
        <v>44970</v>
      </c>
      <c r="H966" s="31">
        <f t="shared" ref="H966:H1009" si="31">_xlfn.XLOOKUP(G966,$B$6:$B$994,$C$6:$C$994,,-1)</f>
        <v>924290</v>
      </c>
      <c r="I966" s="31">
        <f t="shared" ref="I966:I1009" si="32">_xlfn.XLOOKUP(G966,$B$6:$B$994,$D$6:$D$994,,-1)</f>
        <v>906280</v>
      </c>
    </row>
    <row r="967" spans="1:9" x14ac:dyDescent="0.3">
      <c r="A967" s="3">
        <v>962</v>
      </c>
      <c r="B967" s="24">
        <v>44955</v>
      </c>
      <c r="C967" s="7">
        <v>939430</v>
      </c>
      <c r="D967" s="5">
        <v>906500</v>
      </c>
      <c r="F967" s="19">
        <v>962</v>
      </c>
      <c r="G967" s="22">
        <v>44969</v>
      </c>
      <c r="H967" s="31">
        <f t="shared" si="31"/>
        <v>928330</v>
      </c>
      <c r="I967" s="31">
        <f t="shared" si="32"/>
        <v>910350</v>
      </c>
    </row>
    <row r="968" spans="1:9" x14ac:dyDescent="0.3">
      <c r="A968" s="3">
        <v>963</v>
      </c>
      <c r="B968" s="23">
        <v>44954</v>
      </c>
      <c r="C968" s="6">
        <v>939430</v>
      </c>
      <c r="D968" s="4">
        <v>906500</v>
      </c>
      <c r="F968" s="19">
        <v>963</v>
      </c>
      <c r="G968" s="22">
        <v>44968</v>
      </c>
      <c r="H968" s="31">
        <f t="shared" si="31"/>
        <v>928330</v>
      </c>
      <c r="I968" s="31">
        <f t="shared" si="32"/>
        <v>910350</v>
      </c>
    </row>
    <row r="969" spans="1:9" x14ac:dyDescent="0.3">
      <c r="A969" s="3">
        <v>964</v>
      </c>
      <c r="B969" s="24">
        <v>44953</v>
      </c>
      <c r="C969" s="7">
        <v>938920</v>
      </c>
      <c r="D969" s="5">
        <v>906000</v>
      </c>
      <c r="F969" s="19">
        <v>964</v>
      </c>
      <c r="G969" s="22">
        <v>44967</v>
      </c>
      <c r="H969" s="31">
        <f t="shared" si="31"/>
        <v>924800</v>
      </c>
      <c r="I969" s="31">
        <f t="shared" si="32"/>
        <v>907300</v>
      </c>
    </row>
    <row r="970" spans="1:9" x14ac:dyDescent="0.3">
      <c r="A970" s="3">
        <v>965</v>
      </c>
      <c r="B970" s="23">
        <v>44952</v>
      </c>
      <c r="C970" s="6">
        <v>946490</v>
      </c>
      <c r="D970" s="4">
        <v>913500</v>
      </c>
      <c r="F970" s="19">
        <v>965</v>
      </c>
      <c r="G970" s="22">
        <v>44966</v>
      </c>
      <c r="H970" s="31">
        <f t="shared" si="31"/>
        <v>932370</v>
      </c>
      <c r="I970" s="31">
        <f t="shared" si="32"/>
        <v>914920</v>
      </c>
    </row>
    <row r="971" spans="1:9" x14ac:dyDescent="0.3">
      <c r="A971" s="3">
        <v>966</v>
      </c>
      <c r="B971" s="24">
        <v>44951</v>
      </c>
      <c r="C971" s="7">
        <v>941450</v>
      </c>
      <c r="D971" s="5">
        <v>908500</v>
      </c>
      <c r="F971" s="19">
        <v>966</v>
      </c>
      <c r="G971" s="22">
        <v>44965</v>
      </c>
      <c r="H971" s="31">
        <f t="shared" si="31"/>
        <v>926310</v>
      </c>
      <c r="I971" s="31">
        <f t="shared" si="32"/>
        <v>908320</v>
      </c>
    </row>
    <row r="972" spans="1:9" x14ac:dyDescent="0.3">
      <c r="A972" s="3">
        <v>967</v>
      </c>
      <c r="B972" s="23">
        <v>44950</v>
      </c>
      <c r="C972" s="6">
        <v>938920</v>
      </c>
      <c r="D972" s="4">
        <v>906000</v>
      </c>
      <c r="F972" s="19">
        <v>967</v>
      </c>
      <c r="G972" s="22">
        <v>44964</v>
      </c>
      <c r="H972" s="31">
        <f t="shared" si="31"/>
        <v>927320</v>
      </c>
      <c r="I972" s="31">
        <f t="shared" si="32"/>
        <v>909330</v>
      </c>
    </row>
    <row r="973" spans="1:9" x14ac:dyDescent="0.3">
      <c r="A973" s="3">
        <v>968</v>
      </c>
      <c r="B973" s="24">
        <v>44948</v>
      </c>
      <c r="C973" s="7">
        <v>943970</v>
      </c>
      <c r="D973" s="5">
        <v>911000</v>
      </c>
      <c r="F973" s="19">
        <v>968</v>
      </c>
      <c r="G973" s="22">
        <v>44963</v>
      </c>
      <c r="H973" s="31">
        <f t="shared" si="31"/>
        <v>927320</v>
      </c>
      <c r="I973" s="31">
        <f t="shared" si="32"/>
        <v>909330</v>
      </c>
    </row>
    <row r="974" spans="1:9" x14ac:dyDescent="0.3">
      <c r="A974" s="3">
        <v>969</v>
      </c>
      <c r="B974" s="23">
        <v>44947</v>
      </c>
      <c r="C974" s="6">
        <v>943970</v>
      </c>
      <c r="D974" s="4">
        <v>911000</v>
      </c>
      <c r="F974" s="19">
        <v>969</v>
      </c>
      <c r="G974" s="22">
        <v>44962</v>
      </c>
      <c r="H974" s="31">
        <f t="shared" si="31"/>
        <v>923290</v>
      </c>
      <c r="I974" s="31">
        <f t="shared" si="32"/>
        <v>891500</v>
      </c>
    </row>
    <row r="975" spans="1:9" x14ac:dyDescent="0.3">
      <c r="A975" s="3">
        <v>970</v>
      </c>
      <c r="B975" s="24">
        <v>44946</v>
      </c>
      <c r="C975" s="7">
        <v>948010</v>
      </c>
      <c r="D975" s="5">
        <v>914500</v>
      </c>
      <c r="F975" s="19">
        <v>970</v>
      </c>
      <c r="G975" s="22">
        <v>44961</v>
      </c>
      <c r="H975" s="31">
        <f t="shared" si="31"/>
        <v>923290</v>
      </c>
      <c r="I975" s="31">
        <f t="shared" si="32"/>
        <v>891500</v>
      </c>
    </row>
    <row r="976" spans="1:9" x14ac:dyDescent="0.3">
      <c r="A976" s="3">
        <v>971</v>
      </c>
      <c r="B976" s="23">
        <v>44945</v>
      </c>
      <c r="C976" s="6">
        <v>944980</v>
      </c>
      <c r="D976" s="4">
        <v>912000</v>
      </c>
      <c r="F976" s="19">
        <v>971</v>
      </c>
      <c r="G976" s="22">
        <v>44960</v>
      </c>
      <c r="H976" s="31">
        <f t="shared" si="31"/>
        <v>935390</v>
      </c>
      <c r="I976" s="31">
        <f t="shared" si="32"/>
        <v>903000</v>
      </c>
    </row>
    <row r="977" spans="1:9" x14ac:dyDescent="0.3">
      <c r="A977" s="3">
        <v>972</v>
      </c>
      <c r="B977" s="24">
        <v>44944</v>
      </c>
      <c r="C977" s="7">
        <v>935900</v>
      </c>
      <c r="D977" s="5">
        <v>903500</v>
      </c>
      <c r="F977" s="19">
        <v>972</v>
      </c>
      <c r="G977" s="22">
        <v>44959</v>
      </c>
      <c r="H977" s="31">
        <f t="shared" si="31"/>
        <v>942460</v>
      </c>
      <c r="I977" s="31">
        <f t="shared" si="32"/>
        <v>909500</v>
      </c>
    </row>
    <row r="978" spans="1:9" x14ac:dyDescent="0.3">
      <c r="A978" s="3">
        <v>973</v>
      </c>
      <c r="B978" s="23">
        <v>44943</v>
      </c>
      <c r="C978" s="6">
        <v>950020</v>
      </c>
      <c r="D978" s="4">
        <v>917000</v>
      </c>
      <c r="F978" s="19">
        <v>973</v>
      </c>
      <c r="G978" s="22">
        <v>44958</v>
      </c>
      <c r="H978" s="31">
        <f t="shared" si="31"/>
        <v>937410</v>
      </c>
      <c r="I978" s="31">
        <f t="shared" si="32"/>
        <v>904500</v>
      </c>
    </row>
    <row r="979" spans="1:9" x14ac:dyDescent="0.3">
      <c r="A979" s="3">
        <v>974</v>
      </c>
      <c r="B979" s="24">
        <v>44942</v>
      </c>
      <c r="C979" s="7">
        <v>950000</v>
      </c>
      <c r="D979" s="5">
        <v>914500</v>
      </c>
      <c r="F979" s="19">
        <v>974</v>
      </c>
      <c r="G979" s="22">
        <v>44957</v>
      </c>
      <c r="H979" s="31">
        <f t="shared" si="31"/>
        <v>937920</v>
      </c>
      <c r="I979" s="31">
        <f t="shared" si="32"/>
        <v>905500</v>
      </c>
    </row>
    <row r="980" spans="1:9" x14ac:dyDescent="0.3">
      <c r="A980" s="3">
        <v>975</v>
      </c>
      <c r="B980" s="23">
        <v>44941</v>
      </c>
      <c r="C980" s="6">
        <v>965160</v>
      </c>
      <c r="D980" s="4">
        <v>931500</v>
      </c>
      <c r="F980" s="19">
        <v>975</v>
      </c>
      <c r="G980" s="22">
        <v>44956</v>
      </c>
      <c r="H980" s="31">
        <f t="shared" si="31"/>
        <v>939430</v>
      </c>
      <c r="I980" s="31">
        <f t="shared" si="32"/>
        <v>906500</v>
      </c>
    </row>
    <row r="981" spans="1:9" x14ac:dyDescent="0.3">
      <c r="A981" s="3">
        <v>976</v>
      </c>
      <c r="B981" s="24">
        <v>44940</v>
      </c>
      <c r="C981" s="7">
        <v>965160</v>
      </c>
      <c r="D981" s="5">
        <v>931500</v>
      </c>
      <c r="F981" s="19">
        <v>976</v>
      </c>
      <c r="G981" s="22">
        <v>44955</v>
      </c>
      <c r="H981" s="31">
        <f t="shared" si="31"/>
        <v>939430</v>
      </c>
      <c r="I981" s="31">
        <f t="shared" si="32"/>
        <v>906500</v>
      </c>
    </row>
    <row r="982" spans="1:9" x14ac:dyDescent="0.3">
      <c r="A982" s="3">
        <v>977</v>
      </c>
      <c r="B982" s="23">
        <v>44939</v>
      </c>
      <c r="C982" s="6">
        <v>941450</v>
      </c>
      <c r="D982" s="4">
        <v>909000</v>
      </c>
      <c r="F982" s="19">
        <v>977</v>
      </c>
      <c r="G982" s="22">
        <v>44954</v>
      </c>
      <c r="H982" s="31">
        <f t="shared" si="31"/>
        <v>939430</v>
      </c>
      <c r="I982" s="31">
        <f t="shared" si="32"/>
        <v>906500</v>
      </c>
    </row>
    <row r="983" spans="1:9" x14ac:dyDescent="0.3">
      <c r="A983" s="3">
        <v>978</v>
      </c>
      <c r="B983" s="24">
        <v>44938</v>
      </c>
      <c r="C983" s="7">
        <v>938920</v>
      </c>
      <c r="D983" s="5">
        <v>906500</v>
      </c>
      <c r="F983" s="19">
        <v>978</v>
      </c>
      <c r="G983" s="22">
        <v>44953</v>
      </c>
      <c r="H983" s="31">
        <f t="shared" si="31"/>
        <v>938920</v>
      </c>
      <c r="I983" s="31">
        <f t="shared" si="32"/>
        <v>906000</v>
      </c>
    </row>
    <row r="984" spans="1:9" x14ac:dyDescent="0.3">
      <c r="A984" s="3">
        <v>979</v>
      </c>
      <c r="B984" s="23">
        <v>44937</v>
      </c>
      <c r="C984" s="6">
        <v>950530</v>
      </c>
      <c r="D984" s="4">
        <v>917500</v>
      </c>
      <c r="F984" s="19">
        <v>979</v>
      </c>
      <c r="G984" s="22">
        <v>44952</v>
      </c>
      <c r="H984" s="31">
        <f t="shared" si="31"/>
        <v>946490</v>
      </c>
      <c r="I984" s="31">
        <f t="shared" si="32"/>
        <v>913500</v>
      </c>
    </row>
    <row r="985" spans="1:9" x14ac:dyDescent="0.3">
      <c r="A985" s="3">
        <v>980</v>
      </c>
      <c r="B985" s="24">
        <v>44936</v>
      </c>
      <c r="C985" s="7">
        <v>952550</v>
      </c>
      <c r="D985" s="5">
        <v>919500</v>
      </c>
      <c r="F985" s="19">
        <v>980</v>
      </c>
      <c r="G985" s="22">
        <v>44951</v>
      </c>
      <c r="H985" s="31">
        <f t="shared" si="31"/>
        <v>941450</v>
      </c>
      <c r="I985" s="31">
        <f t="shared" si="32"/>
        <v>908500</v>
      </c>
    </row>
    <row r="986" spans="1:9" x14ac:dyDescent="0.3">
      <c r="A986" s="3">
        <v>981</v>
      </c>
      <c r="B986" s="23">
        <v>44935</v>
      </c>
      <c r="C986" s="6">
        <v>954060</v>
      </c>
      <c r="D986" s="4">
        <v>921000</v>
      </c>
      <c r="F986" s="19">
        <v>981</v>
      </c>
      <c r="G986" s="22">
        <v>44950</v>
      </c>
      <c r="H986" s="31">
        <f t="shared" si="31"/>
        <v>938920</v>
      </c>
      <c r="I986" s="31">
        <f t="shared" si="32"/>
        <v>906000</v>
      </c>
    </row>
    <row r="987" spans="1:9" x14ac:dyDescent="0.3">
      <c r="A987" s="3">
        <v>982</v>
      </c>
      <c r="B987" s="24">
        <v>44934</v>
      </c>
      <c r="C987" s="7">
        <v>951030</v>
      </c>
      <c r="D987" s="5">
        <v>918000</v>
      </c>
      <c r="F987" s="19">
        <v>982</v>
      </c>
      <c r="G987" s="22">
        <v>44949</v>
      </c>
      <c r="H987" s="31">
        <f t="shared" si="31"/>
        <v>943970</v>
      </c>
      <c r="I987" s="31">
        <f t="shared" si="32"/>
        <v>911000</v>
      </c>
    </row>
    <row r="988" spans="1:9" x14ac:dyDescent="0.3">
      <c r="A988" s="3">
        <v>983</v>
      </c>
      <c r="B988" s="23">
        <v>44933</v>
      </c>
      <c r="C988" s="6">
        <v>951030</v>
      </c>
      <c r="D988" s="4">
        <v>918000</v>
      </c>
      <c r="F988" s="19">
        <v>983</v>
      </c>
      <c r="G988" s="22">
        <v>44948</v>
      </c>
      <c r="H988" s="31">
        <f t="shared" si="31"/>
        <v>943970</v>
      </c>
      <c r="I988" s="31">
        <f t="shared" si="32"/>
        <v>911000</v>
      </c>
    </row>
    <row r="989" spans="1:9" x14ac:dyDescent="0.3">
      <c r="A989" s="3">
        <v>984</v>
      </c>
      <c r="B989" s="24">
        <v>44932</v>
      </c>
      <c r="C989" s="7">
        <v>936910</v>
      </c>
      <c r="D989" s="5">
        <v>904000</v>
      </c>
      <c r="F989" s="19">
        <v>984</v>
      </c>
      <c r="G989" s="22">
        <v>44947</v>
      </c>
      <c r="H989" s="31">
        <f t="shared" si="31"/>
        <v>943970</v>
      </c>
      <c r="I989" s="31">
        <f t="shared" si="32"/>
        <v>911000</v>
      </c>
    </row>
    <row r="990" spans="1:9" x14ac:dyDescent="0.3">
      <c r="A990" s="3">
        <v>985</v>
      </c>
      <c r="B990" s="23">
        <v>44931</v>
      </c>
      <c r="C990" s="6">
        <v>938920</v>
      </c>
      <c r="D990" s="4">
        <v>906500</v>
      </c>
      <c r="F990" s="19">
        <v>985</v>
      </c>
      <c r="G990" s="22">
        <v>44946</v>
      </c>
      <c r="H990" s="31">
        <f t="shared" si="31"/>
        <v>948010</v>
      </c>
      <c r="I990" s="31">
        <f t="shared" si="32"/>
        <v>914500</v>
      </c>
    </row>
    <row r="991" spans="1:9" x14ac:dyDescent="0.3">
      <c r="A991" s="3">
        <v>986</v>
      </c>
      <c r="B991" s="24">
        <v>44930</v>
      </c>
      <c r="C991" s="7">
        <v>936400</v>
      </c>
      <c r="D991" s="5">
        <v>903500</v>
      </c>
      <c r="F991" s="19">
        <v>986</v>
      </c>
      <c r="G991" s="22">
        <v>44945</v>
      </c>
      <c r="H991" s="31">
        <f t="shared" si="31"/>
        <v>944980</v>
      </c>
      <c r="I991" s="31">
        <f t="shared" si="32"/>
        <v>912000</v>
      </c>
    </row>
    <row r="992" spans="1:9" x14ac:dyDescent="0.3">
      <c r="A992" s="3">
        <v>987</v>
      </c>
      <c r="B992" s="23">
        <v>44929</v>
      </c>
      <c r="C992" s="6">
        <v>932370</v>
      </c>
      <c r="D992" s="4">
        <v>899500</v>
      </c>
      <c r="F992" s="19">
        <v>987</v>
      </c>
      <c r="G992" s="22">
        <v>44944</v>
      </c>
      <c r="H992" s="31">
        <f t="shared" si="31"/>
        <v>935900</v>
      </c>
      <c r="I992" s="31">
        <f t="shared" si="32"/>
        <v>903500</v>
      </c>
    </row>
    <row r="993" spans="1:9" x14ac:dyDescent="0.3">
      <c r="A993" s="3">
        <v>988</v>
      </c>
      <c r="B993" s="24">
        <v>44928</v>
      </c>
      <c r="C993" s="7">
        <v>931360</v>
      </c>
      <c r="D993" s="5">
        <v>899500</v>
      </c>
      <c r="F993" s="19">
        <v>988</v>
      </c>
      <c r="G993" s="22">
        <v>44943</v>
      </c>
      <c r="H993" s="31">
        <f t="shared" si="31"/>
        <v>950020</v>
      </c>
      <c r="I993" s="31">
        <f t="shared" si="32"/>
        <v>917000</v>
      </c>
    </row>
    <row r="994" spans="1:9" x14ac:dyDescent="0.3">
      <c r="A994" s="3">
        <v>989</v>
      </c>
      <c r="B994" s="23">
        <v>44927</v>
      </c>
      <c r="C994" s="6">
        <v>922780</v>
      </c>
      <c r="D994" s="4">
        <v>890500</v>
      </c>
      <c r="F994" s="19">
        <v>989</v>
      </c>
      <c r="G994" s="22">
        <v>44942</v>
      </c>
      <c r="H994" s="31">
        <f t="shared" si="31"/>
        <v>950000</v>
      </c>
      <c r="I994" s="31">
        <f t="shared" si="32"/>
        <v>914500</v>
      </c>
    </row>
    <row r="995" spans="1:9" x14ac:dyDescent="0.3">
      <c r="F995" s="19">
        <v>990</v>
      </c>
      <c r="G995" s="22">
        <v>44941</v>
      </c>
      <c r="H995" s="31">
        <f t="shared" si="31"/>
        <v>965160</v>
      </c>
      <c r="I995" s="31">
        <f t="shared" si="32"/>
        <v>931500</v>
      </c>
    </row>
    <row r="996" spans="1:9" x14ac:dyDescent="0.3">
      <c r="F996" s="19">
        <v>991</v>
      </c>
      <c r="G996" s="22">
        <v>44940</v>
      </c>
      <c r="H996" s="31">
        <f t="shared" si="31"/>
        <v>965160</v>
      </c>
      <c r="I996" s="31">
        <f t="shared" si="32"/>
        <v>931500</v>
      </c>
    </row>
    <row r="997" spans="1:9" x14ac:dyDescent="0.3">
      <c r="F997" s="19">
        <v>992</v>
      </c>
      <c r="G997" s="22">
        <v>44939</v>
      </c>
      <c r="H997" s="31">
        <f t="shared" si="31"/>
        <v>941450</v>
      </c>
      <c r="I997" s="31">
        <f t="shared" si="32"/>
        <v>909000</v>
      </c>
    </row>
    <row r="998" spans="1:9" x14ac:dyDescent="0.3">
      <c r="F998" s="19">
        <v>993</v>
      </c>
      <c r="G998" s="22">
        <v>44938</v>
      </c>
      <c r="H998" s="31">
        <f t="shared" si="31"/>
        <v>938920</v>
      </c>
      <c r="I998" s="31">
        <f t="shared" si="32"/>
        <v>906500</v>
      </c>
    </row>
    <row r="999" spans="1:9" x14ac:dyDescent="0.3">
      <c r="F999" s="19">
        <v>994</v>
      </c>
      <c r="G999" s="22">
        <v>44937</v>
      </c>
      <c r="H999" s="31">
        <f t="shared" si="31"/>
        <v>950530</v>
      </c>
      <c r="I999" s="31">
        <f t="shared" si="32"/>
        <v>917500</v>
      </c>
    </row>
    <row r="1000" spans="1:9" x14ac:dyDescent="0.3">
      <c r="F1000" s="19">
        <v>995</v>
      </c>
      <c r="G1000" s="22">
        <v>44936</v>
      </c>
      <c r="H1000" s="31">
        <f t="shared" si="31"/>
        <v>952550</v>
      </c>
      <c r="I1000" s="31">
        <f t="shared" si="32"/>
        <v>919500</v>
      </c>
    </row>
    <row r="1001" spans="1:9" x14ac:dyDescent="0.3">
      <c r="F1001" s="19">
        <v>996</v>
      </c>
      <c r="G1001" s="22">
        <v>44935</v>
      </c>
      <c r="H1001" s="31">
        <f t="shared" si="31"/>
        <v>954060</v>
      </c>
      <c r="I1001" s="31">
        <f t="shared" si="32"/>
        <v>921000</v>
      </c>
    </row>
    <row r="1002" spans="1:9" x14ac:dyDescent="0.3">
      <c r="F1002" s="19">
        <v>997</v>
      </c>
      <c r="G1002" s="22">
        <v>44934</v>
      </c>
      <c r="H1002" s="31">
        <f t="shared" si="31"/>
        <v>951030</v>
      </c>
      <c r="I1002" s="31">
        <f t="shared" si="32"/>
        <v>918000</v>
      </c>
    </row>
    <row r="1003" spans="1:9" x14ac:dyDescent="0.3">
      <c r="F1003" s="19">
        <v>998</v>
      </c>
      <c r="G1003" s="22">
        <v>44933</v>
      </c>
      <c r="H1003" s="31">
        <f t="shared" si="31"/>
        <v>951030</v>
      </c>
      <c r="I1003" s="31">
        <f t="shared" si="32"/>
        <v>918000</v>
      </c>
    </row>
    <row r="1004" spans="1:9" x14ac:dyDescent="0.3">
      <c r="F1004" s="19">
        <v>999</v>
      </c>
      <c r="G1004" s="22">
        <v>44932</v>
      </c>
      <c r="H1004" s="31">
        <f t="shared" si="31"/>
        <v>936910</v>
      </c>
      <c r="I1004" s="31">
        <f t="shared" si="32"/>
        <v>904000</v>
      </c>
    </row>
    <row r="1005" spans="1:9" x14ac:dyDescent="0.3">
      <c r="F1005" s="19">
        <v>1000</v>
      </c>
      <c r="G1005" s="22">
        <v>44931</v>
      </c>
      <c r="H1005" s="31">
        <f t="shared" si="31"/>
        <v>938920</v>
      </c>
      <c r="I1005" s="31">
        <f t="shared" si="32"/>
        <v>906500</v>
      </c>
    </row>
    <row r="1006" spans="1:9" x14ac:dyDescent="0.3">
      <c r="F1006" s="19">
        <v>1001</v>
      </c>
      <c r="G1006" s="22">
        <v>44930</v>
      </c>
      <c r="H1006" s="31">
        <f t="shared" si="31"/>
        <v>936400</v>
      </c>
      <c r="I1006" s="31">
        <f t="shared" si="32"/>
        <v>903500</v>
      </c>
    </row>
    <row r="1007" spans="1:9" x14ac:dyDescent="0.3">
      <c r="F1007" s="19">
        <v>1002</v>
      </c>
      <c r="G1007" s="22">
        <v>44929</v>
      </c>
      <c r="H1007" s="31">
        <f t="shared" si="31"/>
        <v>932370</v>
      </c>
      <c r="I1007" s="31">
        <f t="shared" si="32"/>
        <v>899500</v>
      </c>
    </row>
    <row r="1008" spans="1:9" x14ac:dyDescent="0.3">
      <c r="F1008" s="19">
        <v>1003</v>
      </c>
      <c r="G1008" s="22">
        <v>44928</v>
      </c>
      <c r="H1008" s="31">
        <f t="shared" si="31"/>
        <v>931360</v>
      </c>
      <c r="I1008" s="31">
        <f t="shared" si="32"/>
        <v>899500</v>
      </c>
    </row>
    <row r="1009" spans="6:9" x14ac:dyDescent="0.3">
      <c r="F1009" s="19">
        <v>1004</v>
      </c>
      <c r="G1009" s="22">
        <v>44927</v>
      </c>
      <c r="H1009" s="31">
        <f t="shared" si="31"/>
        <v>922780</v>
      </c>
      <c r="I1009" s="31">
        <f t="shared" si="32"/>
        <v>890500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65CD-7E6D-4104-AC90-879AD7123C62}">
  <dimension ref="A1:F1005"/>
  <sheetViews>
    <sheetView tabSelected="1" zoomScale="80" zoomScaleNormal="100" workbookViewId="0">
      <selection activeCell="A2" sqref="A2:F2"/>
    </sheetView>
  </sheetViews>
  <sheetFormatPr defaultRowHeight="14.4" x14ac:dyDescent="0.3"/>
  <cols>
    <col min="1" max="1" width="10.5546875" bestFit="1" customWidth="1"/>
    <col min="2" max="2" width="5.88671875" bestFit="1" customWidth="1"/>
    <col min="3" max="3" width="6" bestFit="1" customWidth="1"/>
    <col min="4" max="4" width="12.44140625" style="47" bestFit="1" customWidth="1"/>
    <col min="5" max="5" width="6" bestFit="1" customWidth="1"/>
    <col min="6" max="6" width="15.109375" style="47" bestFit="1" customWidth="1"/>
  </cols>
  <sheetData>
    <row r="1" spans="1:6" x14ac:dyDescent="0.3">
      <c r="A1" s="36" t="str">
        <f>inflasi!$G5</f>
        <v>Periode</v>
      </c>
      <c r="B1" s="36" t="s">
        <v>18</v>
      </c>
      <c r="C1" s="36" t="s">
        <v>17</v>
      </c>
      <c r="D1" s="45" t="s">
        <v>13</v>
      </c>
      <c r="E1" s="36" t="s">
        <v>16</v>
      </c>
      <c r="F1" s="45" t="s">
        <v>15</v>
      </c>
    </row>
    <row r="2" spans="1:6" x14ac:dyDescent="0.3">
      <c r="A2" s="35">
        <f>inflasi!$G6</f>
        <v>45930</v>
      </c>
      <c r="B2" s="33">
        <f>inflasi!$H6</f>
        <v>2.65</v>
      </c>
      <c r="C2" s="38">
        <f>'suku bunga'!$H6</f>
        <v>4.75</v>
      </c>
      <c r="D2" s="48">
        <f>'nilai tukar'!$H6</f>
        <v>16692</v>
      </c>
      <c r="E2" s="33">
        <f>'minyak mentah'!H6</f>
        <v>66.81</v>
      </c>
      <c r="F2" s="46">
        <f>emas!H6</f>
        <v>2146000</v>
      </c>
    </row>
    <row r="3" spans="1:6" x14ac:dyDescent="0.3">
      <c r="A3" s="35">
        <f>inflasi!$G7</f>
        <v>45929</v>
      </c>
      <c r="B3" s="33">
        <f>inflasi!$H7</f>
        <v>2.65</v>
      </c>
      <c r="C3" s="33">
        <f>'suku bunga'!$H7</f>
        <v>4.75</v>
      </c>
      <c r="D3" s="48">
        <f>'nilai tukar'!$H7</f>
        <v>16680</v>
      </c>
      <c r="E3" s="33">
        <f>'minyak mentah'!H7</f>
        <v>66.81</v>
      </c>
      <c r="F3" s="46">
        <f>emas!H7</f>
        <v>2137000</v>
      </c>
    </row>
    <row r="4" spans="1:6" x14ac:dyDescent="0.3">
      <c r="A4" s="35">
        <f>inflasi!$G8</f>
        <v>45928</v>
      </c>
      <c r="B4" s="33">
        <f>inflasi!$H8</f>
        <v>2.65</v>
      </c>
      <c r="C4" s="33">
        <f>'suku bunga'!$H8</f>
        <v>4.75</v>
      </c>
      <c r="D4" s="48">
        <f>'nilai tukar'!$H8</f>
        <v>16775</v>
      </c>
      <c r="E4" s="33">
        <f>'minyak mentah'!H8</f>
        <v>66.81</v>
      </c>
      <c r="F4" s="46">
        <f>emas!H8</f>
        <v>2100000</v>
      </c>
    </row>
    <row r="5" spans="1:6" x14ac:dyDescent="0.3">
      <c r="A5" s="35">
        <f>inflasi!$G9</f>
        <v>45927</v>
      </c>
      <c r="B5" s="33">
        <f>inflasi!$H9</f>
        <v>2.65</v>
      </c>
      <c r="C5" s="33">
        <f>'suku bunga'!$H9</f>
        <v>4.75</v>
      </c>
      <c r="D5" s="48">
        <f>'nilai tukar'!$H9</f>
        <v>16775</v>
      </c>
      <c r="E5" s="33">
        <f>'minyak mentah'!H9</f>
        <v>66.81</v>
      </c>
      <c r="F5" s="46">
        <f>emas!H9</f>
        <v>2100000</v>
      </c>
    </row>
    <row r="6" spans="1:6" x14ac:dyDescent="0.3">
      <c r="A6" s="35">
        <f>inflasi!$G10</f>
        <v>45926</v>
      </c>
      <c r="B6" s="33">
        <f>inflasi!$H10</f>
        <v>2.65</v>
      </c>
      <c r="C6" s="33">
        <f>'suku bunga'!$H10</f>
        <v>4.75</v>
      </c>
      <c r="D6" s="48">
        <f>'nilai tukar'!$H10</f>
        <v>16775</v>
      </c>
      <c r="E6" s="33">
        <f>'minyak mentah'!H10</f>
        <v>66.81</v>
      </c>
      <c r="F6" s="46">
        <f>emas!H10</f>
        <v>2119000</v>
      </c>
    </row>
    <row r="7" spans="1:6" x14ac:dyDescent="0.3">
      <c r="A7" s="35">
        <f>inflasi!$G11</f>
        <v>45925</v>
      </c>
      <c r="B7" s="33">
        <f>inflasi!$H11</f>
        <v>2.65</v>
      </c>
      <c r="C7" s="33">
        <f>'suku bunga'!$H11</f>
        <v>4.75</v>
      </c>
      <c r="D7" s="48">
        <f>'nilai tukar'!$H11</f>
        <v>16752</v>
      </c>
      <c r="E7" s="33">
        <f>'minyak mentah'!H11</f>
        <v>66.81</v>
      </c>
      <c r="F7" s="46">
        <f>emas!H11</f>
        <v>2083000</v>
      </c>
    </row>
    <row r="8" spans="1:6" x14ac:dyDescent="0.3">
      <c r="A8" s="35">
        <f>inflasi!$G12</f>
        <v>45924</v>
      </c>
      <c r="B8" s="33">
        <f>inflasi!$H12</f>
        <v>2.65</v>
      </c>
      <c r="C8" s="33">
        <f>'suku bunga'!$H12</f>
        <v>4.75</v>
      </c>
      <c r="D8" s="48">
        <f>'nilai tukar'!$H12</f>
        <v>16680</v>
      </c>
      <c r="E8" s="33">
        <f>'minyak mentah'!H12</f>
        <v>66.81</v>
      </c>
      <c r="F8" s="46">
        <f>emas!H12</f>
        <v>2089000</v>
      </c>
    </row>
    <row r="9" spans="1:6" x14ac:dyDescent="0.3">
      <c r="A9" s="35">
        <f>inflasi!$G13</f>
        <v>45923</v>
      </c>
      <c r="B9" s="33">
        <f>inflasi!$H13</f>
        <v>2.65</v>
      </c>
      <c r="C9" s="33">
        <f>'suku bunga'!$H13</f>
        <v>4.75</v>
      </c>
      <c r="D9" s="48">
        <f>'nilai tukar'!$H13</f>
        <v>16636</v>
      </c>
      <c r="E9" s="33">
        <f>'minyak mentah'!H13</f>
        <v>66.81</v>
      </c>
      <c r="F9" s="46">
        <f>emas!H13</f>
        <v>2098000</v>
      </c>
    </row>
    <row r="10" spans="1:6" x14ac:dyDescent="0.3">
      <c r="A10" s="35">
        <f>inflasi!$G14</f>
        <v>45922</v>
      </c>
      <c r="B10" s="33">
        <f>inflasi!$H14</f>
        <v>2.65</v>
      </c>
      <c r="C10" s="33">
        <f>'suku bunga'!$H14</f>
        <v>4.75</v>
      </c>
      <c r="D10" s="48">
        <f>'nilai tukar'!$H14</f>
        <v>16607</v>
      </c>
      <c r="E10" s="33">
        <f>'minyak mentah'!H14</f>
        <v>66.81</v>
      </c>
      <c r="F10" s="46">
        <f>emas!H14</f>
        <v>2074000</v>
      </c>
    </row>
    <row r="11" spans="1:6" x14ac:dyDescent="0.3">
      <c r="A11" s="35">
        <f>inflasi!$G15</f>
        <v>45921</v>
      </c>
      <c r="B11" s="33">
        <f>inflasi!$H15</f>
        <v>2.65</v>
      </c>
      <c r="C11" s="33">
        <f>'suku bunga'!$H15</f>
        <v>4.75</v>
      </c>
      <c r="D11" s="48">
        <f>'nilai tukar'!$H15</f>
        <v>16578</v>
      </c>
      <c r="E11" s="33">
        <f>'minyak mentah'!H15</f>
        <v>66.81</v>
      </c>
      <c r="F11" s="46">
        <f>emas!H15</f>
        <v>2052000</v>
      </c>
    </row>
    <row r="12" spans="1:6" x14ac:dyDescent="0.3">
      <c r="A12" s="35">
        <f>inflasi!$G16</f>
        <v>45920</v>
      </c>
      <c r="B12" s="33">
        <f>inflasi!$H16</f>
        <v>2.65</v>
      </c>
      <c r="C12" s="33">
        <f>'suku bunga'!$H16</f>
        <v>4.75</v>
      </c>
      <c r="D12" s="48">
        <f>'nilai tukar'!$H16</f>
        <v>16578</v>
      </c>
      <c r="E12" s="33">
        <f>'minyak mentah'!H16</f>
        <v>66.81</v>
      </c>
      <c r="F12" s="46">
        <f>emas!H16</f>
        <v>2052000</v>
      </c>
    </row>
    <row r="13" spans="1:6" x14ac:dyDescent="0.3">
      <c r="A13" s="35">
        <f>inflasi!$G17</f>
        <v>45919</v>
      </c>
      <c r="B13" s="33">
        <f>inflasi!$H17</f>
        <v>2.65</v>
      </c>
      <c r="C13" s="33">
        <f>'suku bunga'!$H17</f>
        <v>4.75</v>
      </c>
      <c r="D13" s="48">
        <f>'nilai tukar'!$H17</f>
        <v>16578</v>
      </c>
      <c r="E13" s="33">
        <f>'minyak mentah'!H17</f>
        <v>66.81</v>
      </c>
      <c r="F13" s="46">
        <f>emas!H17</f>
        <v>2030000</v>
      </c>
    </row>
    <row r="14" spans="1:6" x14ac:dyDescent="0.3">
      <c r="A14" s="35">
        <f>inflasi!$G18</f>
        <v>45918</v>
      </c>
      <c r="B14" s="33">
        <f>inflasi!$H18</f>
        <v>2.65</v>
      </c>
      <c r="C14" s="33">
        <f>'suku bunga'!$H18</f>
        <v>4.75</v>
      </c>
      <c r="D14" s="48">
        <f>'nilai tukar'!$H18</f>
        <v>16498</v>
      </c>
      <c r="E14" s="33">
        <f>'minyak mentah'!H18</f>
        <v>66.81</v>
      </c>
      <c r="F14" s="46">
        <f>emas!H18</f>
        <v>2005000</v>
      </c>
    </row>
    <row r="15" spans="1:6" x14ac:dyDescent="0.3">
      <c r="A15" s="35">
        <f>inflasi!$G19</f>
        <v>45917</v>
      </c>
      <c r="B15" s="33">
        <f>inflasi!$H19</f>
        <v>2.65</v>
      </c>
      <c r="C15" s="33">
        <f>'suku bunga'!$H19</f>
        <v>4.75</v>
      </c>
      <c r="D15" s="48">
        <f>'nilai tukar'!$H19</f>
        <v>16430</v>
      </c>
      <c r="E15" s="33">
        <f>'minyak mentah'!H19</f>
        <v>66.81</v>
      </c>
      <c r="F15" s="46">
        <f>emas!H19</f>
        <v>2023000</v>
      </c>
    </row>
    <row r="16" spans="1:6" x14ac:dyDescent="0.3">
      <c r="A16" s="35">
        <f>inflasi!$G20</f>
        <v>45916</v>
      </c>
      <c r="B16" s="33">
        <f>inflasi!$H20</f>
        <v>2.65</v>
      </c>
      <c r="C16" s="33">
        <f>'suku bunga'!$H20</f>
        <v>5</v>
      </c>
      <c r="D16" s="48">
        <f>'nilai tukar'!$H20</f>
        <v>16385</v>
      </c>
      <c r="E16" s="33">
        <f>'minyak mentah'!H20</f>
        <v>66.81</v>
      </c>
      <c r="F16" s="46">
        <f>emas!H20</f>
        <v>2025000</v>
      </c>
    </row>
    <row r="17" spans="1:6" x14ac:dyDescent="0.3">
      <c r="A17" s="35">
        <f>inflasi!$G21</f>
        <v>45915</v>
      </c>
      <c r="B17" s="33">
        <f>inflasi!$H21</f>
        <v>2.65</v>
      </c>
      <c r="C17" s="33">
        <f>'suku bunga'!$H21</f>
        <v>5</v>
      </c>
      <c r="D17" s="48">
        <f>'nilai tukar'!$H21</f>
        <v>16405</v>
      </c>
      <c r="E17" s="33">
        <f>'minyak mentah'!H21</f>
        <v>66.81</v>
      </c>
      <c r="F17" s="46">
        <f>emas!H21</f>
        <v>2015000</v>
      </c>
    </row>
    <row r="18" spans="1:6" x14ac:dyDescent="0.3">
      <c r="A18" s="35">
        <f>inflasi!$G22</f>
        <v>45914</v>
      </c>
      <c r="B18" s="33">
        <f>inflasi!$H22</f>
        <v>2.65</v>
      </c>
      <c r="C18" s="33">
        <f>'suku bunga'!$H22</f>
        <v>5</v>
      </c>
      <c r="D18" s="48">
        <f>'nilai tukar'!$H22</f>
        <v>16391</v>
      </c>
      <c r="E18" s="33">
        <f>'minyak mentah'!H22</f>
        <v>66.81</v>
      </c>
      <c r="F18" s="46">
        <f>emas!H22</f>
        <v>2005000</v>
      </c>
    </row>
    <row r="19" spans="1:6" x14ac:dyDescent="0.3">
      <c r="A19" s="35">
        <f>inflasi!$G23</f>
        <v>45913</v>
      </c>
      <c r="B19" s="33">
        <f>inflasi!$H23</f>
        <v>2.65</v>
      </c>
      <c r="C19" s="33">
        <f>'suku bunga'!$H23</f>
        <v>5</v>
      </c>
      <c r="D19" s="48">
        <f>'nilai tukar'!$H23</f>
        <v>16391</v>
      </c>
      <c r="E19" s="33">
        <f>'minyak mentah'!H23</f>
        <v>66.81</v>
      </c>
      <c r="F19" s="46">
        <f>emas!H23</f>
        <v>2005000</v>
      </c>
    </row>
    <row r="20" spans="1:6" x14ac:dyDescent="0.3">
      <c r="A20" s="35">
        <f>inflasi!$G24</f>
        <v>45912</v>
      </c>
      <c r="B20" s="33">
        <f>inflasi!$H24</f>
        <v>2.65</v>
      </c>
      <c r="C20" s="33">
        <f>'suku bunga'!$H24</f>
        <v>5</v>
      </c>
      <c r="D20" s="48">
        <f>'nilai tukar'!$H24</f>
        <v>16391</v>
      </c>
      <c r="E20" s="33">
        <f>'minyak mentah'!H24</f>
        <v>66.81</v>
      </c>
      <c r="F20" s="46">
        <f>emas!H24</f>
        <v>2012000</v>
      </c>
    </row>
    <row r="21" spans="1:6" x14ac:dyDescent="0.3">
      <c r="A21" s="35">
        <f>inflasi!$G25</f>
        <v>45911</v>
      </c>
      <c r="B21" s="33">
        <f>inflasi!$H25</f>
        <v>2.65</v>
      </c>
      <c r="C21" s="33">
        <f>'suku bunga'!$H25</f>
        <v>5</v>
      </c>
      <c r="D21" s="48">
        <f>'nilai tukar'!$H25</f>
        <v>16468</v>
      </c>
      <c r="E21" s="33">
        <f>'minyak mentah'!H25</f>
        <v>66.81</v>
      </c>
      <c r="F21" s="46">
        <f>emas!H25</f>
        <v>2003000</v>
      </c>
    </row>
    <row r="22" spans="1:6" x14ac:dyDescent="0.3">
      <c r="A22" s="35">
        <f>inflasi!$G26</f>
        <v>45910</v>
      </c>
      <c r="B22" s="33">
        <f>inflasi!$H26</f>
        <v>2.65</v>
      </c>
      <c r="C22" s="33">
        <f>'suku bunga'!$H26</f>
        <v>5</v>
      </c>
      <c r="D22" s="48">
        <f>'nilai tukar'!$H26</f>
        <v>16457</v>
      </c>
      <c r="E22" s="33">
        <f>'minyak mentah'!H26</f>
        <v>66.81</v>
      </c>
      <c r="F22" s="46">
        <f>emas!H26</f>
        <v>2017000</v>
      </c>
    </row>
    <row r="23" spans="1:6" x14ac:dyDescent="0.3">
      <c r="A23" s="35">
        <f>inflasi!$G27</f>
        <v>45909</v>
      </c>
      <c r="B23" s="33">
        <f>inflasi!$H27</f>
        <v>2.65</v>
      </c>
      <c r="C23" s="33">
        <f>'suku bunga'!$H27</f>
        <v>5</v>
      </c>
      <c r="D23" s="48">
        <f>'nilai tukar'!$H27</f>
        <v>16462</v>
      </c>
      <c r="E23" s="33">
        <f>'minyak mentah'!H27</f>
        <v>66.81</v>
      </c>
      <c r="F23" s="46">
        <f>emas!H27</f>
        <v>2016000</v>
      </c>
    </row>
    <row r="24" spans="1:6" x14ac:dyDescent="0.3">
      <c r="A24" s="35">
        <f>inflasi!$G28</f>
        <v>45908</v>
      </c>
      <c r="B24" s="33">
        <f>inflasi!$H28</f>
        <v>2.65</v>
      </c>
      <c r="C24" s="33">
        <f>'suku bunga'!$H28</f>
        <v>5</v>
      </c>
      <c r="D24" s="48">
        <f>'nilai tukar'!$H28</f>
        <v>16348</v>
      </c>
      <c r="E24" s="33">
        <f>'minyak mentah'!H28</f>
        <v>66.81</v>
      </c>
      <c r="F24" s="46">
        <f>emas!H28</f>
        <v>2001000</v>
      </c>
    </row>
    <row r="25" spans="1:6" x14ac:dyDescent="0.3">
      <c r="A25" s="35">
        <f>inflasi!$G29</f>
        <v>45907</v>
      </c>
      <c r="B25" s="33">
        <f>inflasi!$H29</f>
        <v>2.65</v>
      </c>
      <c r="C25" s="33">
        <f>'suku bunga'!$H29</f>
        <v>5</v>
      </c>
      <c r="D25" s="48">
        <f>'nilai tukar'!$H29</f>
        <v>16438</v>
      </c>
      <c r="E25" s="33">
        <f>'minyak mentah'!H29</f>
        <v>66.81</v>
      </c>
      <c r="F25" s="46">
        <f>emas!H29</f>
        <v>1972000</v>
      </c>
    </row>
    <row r="26" spans="1:6" x14ac:dyDescent="0.3">
      <c r="A26" s="35">
        <f>inflasi!$G30</f>
        <v>45906</v>
      </c>
      <c r="B26" s="33">
        <f>inflasi!$H30</f>
        <v>2.65</v>
      </c>
      <c r="C26" s="33">
        <f>'suku bunga'!$H30</f>
        <v>5</v>
      </c>
      <c r="D26" s="48">
        <f>'nilai tukar'!$H30</f>
        <v>16438</v>
      </c>
      <c r="E26" s="33">
        <f>'minyak mentah'!H30</f>
        <v>66.81</v>
      </c>
      <c r="F26" s="46">
        <f>emas!H30</f>
        <v>1972000</v>
      </c>
    </row>
    <row r="27" spans="1:6" x14ac:dyDescent="0.3">
      <c r="A27" s="35">
        <f>inflasi!$G31</f>
        <v>45905</v>
      </c>
      <c r="B27" s="33">
        <f>inflasi!$H31</f>
        <v>2.65</v>
      </c>
      <c r="C27" s="33">
        <f>'suku bunga'!$H31</f>
        <v>5</v>
      </c>
      <c r="D27" s="48">
        <f>'nilai tukar'!$H31</f>
        <v>16438</v>
      </c>
      <c r="E27" s="33">
        <f>'minyak mentah'!H31</f>
        <v>66.81</v>
      </c>
      <c r="F27" s="46">
        <f>emas!H31</f>
        <v>1977000</v>
      </c>
    </row>
    <row r="28" spans="1:6" x14ac:dyDescent="0.3">
      <c r="A28" s="35">
        <f>inflasi!$G32</f>
        <v>45904</v>
      </c>
      <c r="B28" s="33">
        <f>inflasi!$H32</f>
        <v>2.65</v>
      </c>
      <c r="C28" s="33">
        <f>'suku bunga'!$H32</f>
        <v>5</v>
      </c>
      <c r="D28" s="48">
        <f>'nilai tukar'!$H32</f>
        <v>16438</v>
      </c>
      <c r="E28" s="33">
        <f>'minyak mentah'!H32</f>
        <v>66.81</v>
      </c>
      <c r="F28" s="46">
        <f>emas!H32</f>
        <v>1954000</v>
      </c>
    </row>
    <row r="29" spans="1:6" x14ac:dyDescent="0.3">
      <c r="A29" s="35">
        <f>inflasi!$G33</f>
        <v>45903</v>
      </c>
      <c r="B29" s="33">
        <f>inflasi!$H33</f>
        <v>2.65</v>
      </c>
      <c r="C29" s="33">
        <f>'suku bunga'!$H33</f>
        <v>5</v>
      </c>
      <c r="D29" s="48">
        <f>'nilai tukar'!$H33</f>
        <v>16424</v>
      </c>
      <c r="E29" s="33">
        <f>'minyak mentah'!H33</f>
        <v>66.81</v>
      </c>
      <c r="F29" s="46">
        <f>emas!H33</f>
        <v>1956000</v>
      </c>
    </row>
    <row r="30" spans="1:6" x14ac:dyDescent="0.3">
      <c r="A30" s="35">
        <f>inflasi!$G34</f>
        <v>45902</v>
      </c>
      <c r="B30" s="33">
        <f>inflasi!$H34</f>
        <v>2.65</v>
      </c>
      <c r="C30" s="33">
        <f>'suku bunga'!$H34</f>
        <v>5</v>
      </c>
      <c r="D30" s="48">
        <f>'nilai tukar'!$H34</f>
        <v>16418</v>
      </c>
      <c r="E30" s="33">
        <f>'minyak mentah'!H34</f>
        <v>66.81</v>
      </c>
      <c r="F30" s="46">
        <f>emas!H34</f>
        <v>1933000</v>
      </c>
    </row>
    <row r="31" spans="1:6" x14ac:dyDescent="0.3">
      <c r="A31" s="35">
        <f>inflasi!$G35</f>
        <v>45901</v>
      </c>
      <c r="B31" s="33">
        <f>inflasi!$H35</f>
        <v>2.65</v>
      </c>
      <c r="C31" s="33">
        <f>'suku bunga'!$H35</f>
        <v>5</v>
      </c>
      <c r="D31" s="48">
        <f>'nilai tukar'!$H35</f>
        <v>16463</v>
      </c>
      <c r="E31" s="33">
        <f>'minyak mentah'!H35</f>
        <v>66.81</v>
      </c>
      <c r="F31" s="46">
        <f>emas!H35</f>
        <v>1916000</v>
      </c>
    </row>
    <row r="32" spans="1:6" x14ac:dyDescent="0.3">
      <c r="A32" s="35">
        <f>inflasi!$G36</f>
        <v>45900</v>
      </c>
      <c r="B32" s="33">
        <f>inflasi!$H36</f>
        <v>2.31</v>
      </c>
      <c r="C32" s="33">
        <f>'suku bunga'!$H36</f>
        <v>5</v>
      </c>
      <c r="D32" s="48">
        <f>'nilai tukar'!$H36</f>
        <v>16461</v>
      </c>
      <c r="E32" s="33">
        <f>'minyak mentah'!H36</f>
        <v>66.069999999999993</v>
      </c>
      <c r="F32" s="46">
        <f>emas!H36</f>
        <v>1905000</v>
      </c>
    </row>
    <row r="33" spans="1:6" x14ac:dyDescent="0.3">
      <c r="A33" s="35">
        <f>inflasi!$G37</f>
        <v>45899</v>
      </c>
      <c r="B33" s="33">
        <f>inflasi!$H37</f>
        <v>2.31</v>
      </c>
      <c r="C33" s="33">
        <f>'suku bunga'!$H37</f>
        <v>5</v>
      </c>
      <c r="D33" s="48">
        <f>'nilai tukar'!$H37</f>
        <v>16461</v>
      </c>
      <c r="E33" s="33">
        <f>'minyak mentah'!H37</f>
        <v>66.069999999999993</v>
      </c>
      <c r="F33" s="46">
        <f>emas!H37</f>
        <v>1905000</v>
      </c>
    </row>
    <row r="34" spans="1:6" x14ac:dyDescent="0.3">
      <c r="A34" s="35">
        <f>inflasi!$G38</f>
        <v>45898</v>
      </c>
      <c r="B34" s="33">
        <f>inflasi!$H38</f>
        <v>2.31</v>
      </c>
      <c r="C34" s="33">
        <f>'suku bunga'!$H38</f>
        <v>5</v>
      </c>
      <c r="D34" s="48">
        <f>'nilai tukar'!$H38</f>
        <v>16461</v>
      </c>
      <c r="E34" s="33">
        <f>'minyak mentah'!H38</f>
        <v>66.069999999999993</v>
      </c>
      <c r="F34" s="46">
        <f>emas!H38</f>
        <v>1884000</v>
      </c>
    </row>
    <row r="35" spans="1:6" x14ac:dyDescent="0.3">
      <c r="A35" s="35">
        <f>inflasi!$G39</f>
        <v>45897</v>
      </c>
      <c r="B35" s="33">
        <f>inflasi!$H39</f>
        <v>2.31</v>
      </c>
      <c r="C35" s="33">
        <f>'suku bunga'!$H39</f>
        <v>5</v>
      </c>
      <c r="D35" s="48">
        <f>'nilai tukar'!$H39</f>
        <v>16356</v>
      </c>
      <c r="E35" s="33">
        <f>'minyak mentah'!H39</f>
        <v>66.069999999999993</v>
      </c>
      <c r="F35" s="46">
        <f>emas!H39</f>
        <v>1880000</v>
      </c>
    </row>
    <row r="36" spans="1:6" x14ac:dyDescent="0.3">
      <c r="A36" s="35">
        <f>inflasi!$G40</f>
        <v>45896</v>
      </c>
      <c r="B36" s="33">
        <f>inflasi!$H40</f>
        <v>2.31</v>
      </c>
      <c r="C36" s="33">
        <f>'suku bunga'!$H40</f>
        <v>5</v>
      </c>
      <c r="D36" s="48">
        <f>'nilai tukar'!$H40</f>
        <v>16355</v>
      </c>
      <c r="E36" s="33">
        <f>'minyak mentah'!H40</f>
        <v>66.069999999999993</v>
      </c>
      <c r="F36" s="46">
        <f>emas!H40</f>
        <v>1854000</v>
      </c>
    </row>
    <row r="37" spans="1:6" x14ac:dyDescent="0.3">
      <c r="A37" s="35">
        <f>inflasi!$G41</f>
        <v>45895</v>
      </c>
      <c r="B37" s="33">
        <f>inflasi!$H41</f>
        <v>2.31</v>
      </c>
      <c r="C37" s="33">
        <f>'suku bunga'!$H41</f>
        <v>5</v>
      </c>
      <c r="D37" s="48">
        <f>'nilai tukar'!$H41</f>
        <v>16277</v>
      </c>
      <c r="E37" s="33">
        <f>'minyak mentah'!H41</f>
        <v>66.069999999999993</v>
      </c>
      <c r="F37" s="46">
        <f>emas!H41</f>
        <v>1843000</v>
      </c>
    </row>
    <row r="38" spans="1:6" x14ac:dyDescent="0.3">
      <c r="A38" s="35">
        <f>inflasi!$G42</f>
        <v>45894</v>
      </c>
      <c r="B38" s="33">
        <f>inflasi!$H42</f>
        <v>2.31</v>
      </c>
      <c r="C38" s="33">
        <f>'suku bunga'!$H42</f>
        <v>5</v>
      </c>
      <c r="D38" s="48">
        <f>'nilai tukar'!$H42</f>
        <v>16255</v>
      </c>
      <c r="E38" s="33">
        <f>'minyak mentah'!H42</f>
        <v>66.069999999999993</v>
      </c>
      <c r="F38" s="46">
        <f>emas!H42</f>
        <v>1854000</v>
      </c>
    </row>
    <row r="39" spans="1:6" x14ac:dyDescent="0.3">
      <c r="A39" s="35">
        <f>inflasi!$G43</f>
        <v>45893</v>
      </c>
      <c r="B39" s="33">
        <f>inflasi!$H43</f>
        <v>2.31</v>
      </c>
      <c r="C39" s="33">
        <f>'suku bunga'!$H43</f>
        <v>5</v>
      </c>
      <c r="D39" s="48">
        <f>'nilai tukar'!$H43</f>
        <v>16340</v>
      </c>
      <c r="E39" s="33">
        <f>'minyak mentah'!H43</f>
        <v>66.069999999999993</v>
      </c>
      <c r="F39" s="46">
        <f>emas!H43</f>
        <v>1853000</v>
      </c>
    </row>
    <row r="40" spans="1:6" x14ac:dyDescent="0.3">
      <c r="A40" s="35">
        <f>inflasi!$G44</f>
        <v>45892</v>
      </c>
      <c r="B40" s="33">
        <f>inflasi!$H44</f>
        <v>2.31</v>
      </c>
      <c r="C40" s="33">
        <f>'suku bunga'!$H44</f>
        <v>5</v>
      </c>
      <c r="D40" s="48">
        <f>'nilai tukar'!$H44</f>
        <v>16340</v>
      </c>
      <c r="E40" s="33">
        <f>'minyak mentah'!H44</f>
        <v>66.069999999999993</v>
      </c>
      <c r="F40" s="46">
        <f>emas!H44</f>
        <v>1853000</v>
      </c>
    </row>
    <row r="41" spans="1:6" x14ac:dyDescent="0.3">
      <c r="A41" s="35">
        <f>inflasi!$G45</f>
        <v>45891</v>
      </c>
      <c r="B41" s="33">
        <f>inflasi!$H45</f>
        <v>2.31</v>
      </c>
      <c r="C41" s="33">
        <f>'suku bunga'!$H45</f>
        <v>5</v>
      </c>
      <c r="D41" s="48">
        <f>'nilai tukar'!$H45</f>
        <v>16340</v>
      </c>
      <c r="E41" s="33">
        <f>'minyak mentah'!H45</f>
        <v>66.069999999999993</v>
      </c>
      <c r="F41" s="46">
        <f>emas!H45</f>
        <v>1848000</v>
      </c>
    </row>
    <row r="42" spans="1:6" x14ac:dyDescent="0.3">
      <c r="A42" s="35">
        <f>inflasi!$G46</f>
        <v>45890</v>
      </c>
      <c r="B42" s="33">
        <f>inflasi!$H46</f>
        <v>2.31</v>
      </c>
      <c r="C42" s="33">
        <f>'suku bunga'!$H46</f>
        <v>5</v>
      </c>
      <c r="D42" s="48">
        <f>'nilai tukar'!$H46</f>
        <v>16283</v>
      </c>
      <c r="E42" s="33">
        <f>'minyak mentah'!H46</f>
        <v>66.069999999999993</v>
      </c>
      <c r="F42" s="46">
        <f>emas!H46</f>
        <v>1828000</v>
      </c>
    </row>
    <row r="43" spans="1:6" x14ac:dyDescent="0.3">
      <c r="A43" s="35">
        <f>inflasi!$G47</f>
        <v>45889</v>
      </c>
      <c r="B43" s="33">
        <f>inflasi!$H47</f>
        <v>2.31</v>
      </c>
      <c r="C43" s="33">
        <f>'suku bunga'!$H47</f>
        <v>5</v>
      </c>
      <c r="D43" s="48">
        <f>'nilai tukar'!$H47</f>
        <v>16291</v>
      </c>
      <c r="E43" s="33">
        <f>'minyak mentah'!H47</f>
        <v>66.069999999999993</v>
      </c>
      <c r="F43" s="46">
        <f>emas!H47</f>
        <v>1827000</v>
      </c>
    </row>
    <row r="44" spans="1:6" x14ac:dyDescent="0.3">
      <c r="A44" s="35">
        <f>inflasi!$G48</f>
        <v>45888</v>
      </c>
      <c r="B44" s="33">
        <f>inflasi!$H48</f>
        <v>2.31</v>
      </c>
      <c r="C44" s="33">
        <f>'suku bunga'!$H48</f>
        <v>5.25</v>
      </c>
      <c r="D44" s="48">
        <f>'nilai tukar'!$H48</f>
        <v>16241</v>
      </c>
      <c r="E44" s="33">
        <f>'minyak mentah'!H48</f>
        <v>66.069999999999993</v>
      </c>
      <c r="F44" s="46">
        <f>emas!H48</f>
        <v>1812000</v>
      </c>
    </row>
    <row r="45" spans="1:6" x14ac:dyDescent="0.3">
      <c r="A45" s="35">
        <f>inflasi!$G49</f>
        <v>45887</v>
      </c>
      <c r="B45" s="33">
        <f>inflasi!$H49</f>
        <v>2.31</v>
      </c>
      <c r="C45" s="33">
        <f>'suku bunga'!$H49</f>
        <v>5.25</v>
      </c>
      <c r="D45" s="48">
        <f>'nilai tukar'!$H49</f>
        <v>16162</v>
      </c>
      <c r="E45" s="33">
        <f>'minyak mentah'!H49</f>
        <v>66.069999999999993</v>
      </c>
      <c r="F45" s="46">
        <f>emas!H49</f>
        <v>1812000</v>
      </c>
    </row>
    <row r="46" spans="1:6" x14ac:dyDescent="0.3">
      <c r="A46" s="35">
        <f>inflasi!$G50</f>
        <v>45886</v>
      </c>
      <c r="B46" s="33">
        <f>inflasi!$H50</f>
        <v>2.31</v>
      </c>
      <c r="C46" s="33">
        <f>'suku bunga'!$H50</f>
        <v>5.25</v>
      </c>
      <c r="D46" s="48">
        <f>'nilai tukar'!$H50</f>
        <v>16162</v>
      </c>
      <c r="E46" s="33">
        <f>'minyak mentah'!H50</f>
        <v>66.069999999999993</v>
      </c>
      <c r="F46" s="46">
        <f>emas!H50</f>
        <v>1813000</v>
      </c>
    </row>
    <row r="47" spans="1:6" x14ac:dyDescent="0.3">
      <c r="A47" s="35">
        <f>inflasi!$G51</f>
        <v>45885</v>
      </c>
      <c r="B47" s="33">
        <f>inflasi!$H51</f>
        <v>2.31</v>
      </c>
      <c r="C47" s="33">
        <f>'suku bunga'!$H51</f>
        <v>5.25</v>
      </c>
      <c r="D47" s="48">
        <f>'nilai tukar'!$H51</f>
        <v>16162</v>
      </c>
      <c r="E47" s="33">
        <f>'minyak mentah'!H51</f>
        <v>66.069999999999993</v>
      </c>
      <c r="F47" s="46">
        <f>emas!H51</f>
        <v>1813000</v>
      </c>
    </row>
    <row r="48" spans="1:6" x14ac:dyDescent="0.3">
      <c r="A48" s="35">
        <f>inflasi!$G52</f>
        <v>45884</v>
      </c>
      <c r="B48" s="33">
        <f>inflasi!$H52</f>
        <v>2.31</v>
      </c>
      <c r="C48" s="33">
        <f>'suku bunga'!$H52</f>
        <v>5.25</v>
      </c>
      <c r="D48" s="48">
        <f>'nilai tukar'!$H52</f>
        <v>16162</v>
      </c>
      <c r="E48" s="33">
        <f>'minyak mentah'!H52</f>
        <v>66.069999999999993</v>
      </c>
      <c r="F48" s="46">
        <f>emas!H52</f>
        <v>1808000</v>
      </c>
    </row>
    <row r="49" spans="1:6" x14ac:dyDescent="0.3">
      <c r="A49" s="35">
        <f>inflasi!$G53</f>
        <v>45883</v>
      </c>
      <c r="B49" s="33">
        <f>inflasi!$H53</f>
        <v>2.31</v>
      </c>
      <c r="C49" s="33">
        <f>'suku bunga'!$H53</f>
        <v>5.25</v>
      </c>
      <c r="D49" s="48">
        <f>'nilai tukar'!$H53</f>
        <v>16109</v>
      </c>
      <c r="E49" s="33">
        <f>'minyak mentah'!H53</f>
        <v>66.069999999999993</v>
      </c>
      <c r="F49" s="46">
        <f>emas!H53</f>
        <v>1810000</v>
      </c>
    </row>
    <row r="50" spans="1:6" x14ac:dyDescent="0.3">
      <c r="A50" s="35">
        <f>inflasi!$G54</f>
        <v>45882</v>
      </c>
      <c r="B50" s="33">
        <f>inflasi!$H54</f>
        <v>2.31</v>
      </c>
      <c r="C50" s="33">
        <f>'suku bunga'!$H54</f>
        <v>5.25</v>
      </c>
      <c r="D50" s="48">
        <f>'nilai tukar'!$H54</f>
        <v>16237</v>
      </c>
      <c r="E50" s="33">
        <f>'minyak mentah'!H54</f>
        <v>66.069999999999993</v>
      </c>
      <c r="F50" s="46">
        <f>emas!H54</f>
        <v>1841000</v>
      </c>
    </row>
    <row r="51" spans="1:6" x14ac:dyDescent="0.3">
      <c r="A51" s="35">
        <f>inflasi!$G55</f>
        <v>45881</v>
      </c>
      <c r="B51" s="33">
        <f>inflasi!$H55</f>
        <v>2.31</v>
      </c>
      <c r="C51" s="33">
        <f>'suku bunga'!$H55</f>
        <v>5.25</v>
      </c>
      <c r="D51" s="48">
        <f>'nilai tukar'!$H55</f>
        <v>16298</v>
      </c>
      <c r="E51" s="33">
        <f>'minyak mentah'!H55</f>
        <v>66.069999999999993</v>
      </c>
      <c r="F51" s="46">
        <f>emas!H55</f>
        <v>1826000</v>
      </c>
    </row>
    <row r="52" spans="1:6" x14ac:dyDescent="0.3">
      <c r="A52" s="35">
        <f>inflasi!$G56</f>
        <v>45880</v>
      </c>
      <c r="B52" s="33">
        <f>inflasi!$H56</f>
        <v>2.31</v>
      </c>
      <c r="C52" s="33">
        <f>'suku bunga'!$H56</f>
        <v>5.25</v>
      </c>
      <c r="D52" s="48">
        <f>'nilai tukar'!$H56</f>
        <v>16253</v>
      </c>
      <c r="E52" s="33">
        <f>'minyak mentah'!H56</f>
        <v>66.069999999999993</v>
      </c>
      <c r="F52" s="46">
        <f>emas!H56</f>
        <v>1827000</v>
      </c>
    </row>
    <row r="53" spans="1:6" x14ac:dyDescent="0.3">
      <c r="A53" s="35">
        <f>inflasi!$G57</f>
        <v>45879</v>
      </c>
      <c r="B53" s="33">
        <f>inflasi!$H57</f>
        <v>2.31</v>
      </c>
      <c r="C53" s="33">
        <f>'suku bunga'!$H57</f>
        <v>5.25</v>
      </c>
      <c r="D53" s="48">
        <f>'nilai tukar'!$H57</f>
        <v>16299</v>
      </c>
      <c r="E53" s="33">
        <f>'minyak mentah'!H57</f>
        <v>66.069999999999993</v>
      </c>
      <c r="F53" s="46">
        <f>emas!H57</f>
        <v>1853000</v>
      </c>
    </row>
    <row r="54" spans="1:6" x14ac:dyDescent="0.3">
      <c r="A54" s="35">
        <f>inflasi!$G58</f>
        <v>45878</v>
      </c>
      <c r="B54" s="33">
        <f>inflasi!$H58</f>
        <v>2.31</v>
      </c>
      <c r="C54" s="33">
        <f>'suku bunga'!$H58</f>
        <v>5.25</v>
      </c>
      <c r="D54" s="48">
        <f>'nilai tukar'!$H58</f>
        <v>16299</v>
      </c>
      <c r="E54" s="33">
        <f>'minyak mentah'!H58</f>
        <v>66.069999999999993</v>
      </c>
      <c r="F54" s="46">
        <f>emas!H58</f>
        <v>1853000</v>
      </c>
    </row>
    <row r="55" spans="1:6" x14ac:dyDescent="0.3">
      <c r="A55" s="35">
        <f>inflasi!$G59</f>
        <v>45877</v>
      </c>
      <c r="B55" s="33">
        <f>inflasi!$H59</f>
        <v>2.31</v>
      </c>
      <c r="C55" s="33">
        <f>'suku bunga'!$H59</f>
        <v>5.25</v>
      </c>
      <c r="D55" s="48">
        <f>'nilai tukar'!$H59</f>
        <v>16299</v>
      </c>
      <c r="E55" s="33">
        <f>'minyak mentah'!H59</f>
        <v>66.069999999999993</v>
      </c>
      <c r="F55" s="46">
        <f>emas!H59</f>
        <v>1854000</v>
      </c>
    </row>
    <row r="56" spans="1:6" x14ac:dyDescent="0.3">
      <c r="A56" s="35">
        <f>inflasi!$G60</f>
        <v>45876</v>
      </c>
      <c r="B56" s="33">
        <f>inflasi!$H60</f>
        <v>2.31</v>
      </c>
      <c r="C56" s="33">
        <f>'suku bunga'!$H60</f>
        <v>5.25</v>
      </c>
      <c r="D56" s="48">
        <f>'nilai tukar'!$H60</f>
        <v>16312</v>
      </c>
      <c r="E56" s="33">
        <f>'minyak mentah'!H60</f>
        <v>66.069999999999993</v>
      </c>
      <c r="F56" s="46">
        <f>emas!H60</f>
        <v>1858000</v>
      </c>
    </row>
    <row r="57" spans="1:6" x14ac:dyDescent="0.3">
      <c r="A57" s="35">
        <f>inflasi!$G61</f>
        <v>45875</v>
      </c>
      <c r="B57" s="33">
        <f>inflasi!$H61</f>
        <v>2.31</v>
      </c>
      <c r="C57" s="33">
        <f>'suku bunga'!$H61</f>
        <v>5.25</v>
      </c>
      <c r="D57" s="48">
        <f>'nilai tukar'!$H61</f>
        <v>16379</v>
      </c>
      <c r="E57" s="33">
        <f>'minyak mentah'!H61</f>
        <v>66.069999999999993</v>
      </c>
      <c r="F57" s="46">
        <f>emas!H61</f>
        <v>1856000</v>
      </c>
    </row>
    <row r="58" spans="1:6" x14ac:dyDescent="0.3">
      <c r="A58" s="35">
        <f>inflasi!$G62</f>
        <v>45874</v>
      </c>
      <c r="B58" s="33">
        <f>inflasi!$H62</f>
        <v>2.31</v>
      </c>
      <c r="C58" s="33">
        <f>'suku bunga'!$H62</f>
        <v>5.25</v>
      </c>
      <c r="D58" s="48">
        <f>'nilai tukar'!$H62</f>
        <v>16388</v>
      </c>
      <c r="E58" s="33">
        <f>'minyak mentah'!H62</f>
        <v>66.069999999999993</v>
      </c>
      <c r="F58" s="46">
        <f>emas!H62</f>
        <v>1859000</v>
      </c>
    </row>
    <row r="59" spans="1:6" x14ac:dyDescent="0.3">
      <c r="A59" s="35">
        <f>inflasi!$G63</f>
        <v>45873</v>
      </c>
      <c r="B59" s="33">
        <f>inflasi!$H63</f>
        <v>2.31</v>
      </c>
      <c r="C59" s="33">
        <f>'suku bunga'!$H63</f>
        <v>5.25</v>
      </c>
      <c r="D59" s="48">
        <f>'nilai tukar'!$H63</f>
        <v>16388</v>
      </c>
      <c r="E59" s="33">
        <f>'minyak mentah'!H63</f>
        <v>66.069999999999993</v>
      </c>
      <c r="F59" s="46">
        <f>emas!H63</f>
        <v>1869000</v>
      </c>
    </row>
    <row r="60" spans="1:6" x14ac:dyDescent="0.3">
      <c r="A60" s="35">
        <f>inflasi!$G64</f>
        <v>45872</v>
      </c>
      <c r="B60" s="33">
        <f>inflasi!$H64</f>
        <v>2.31</v>
      </c>
      <c r="C60" s="33">
        <f>'suku bunga'!$H64</f>
        <v>5.25</v>
      </c>
      <c r="D60" s="48">
        <f>'nilai tukar'!$H64</f>
        <v>16494</v>
      </c>
      <c r="E60" s="33">
        <f>'minyak mentah'!H64</f>
        <v>66.069999999999993</v>
      </c>
      <c r="F60" s="46">
        <f>emas!H64</f>
        <v>1863000</v>
      </c>
    </row>
    <row r="61" spans="1:6" x14ac:dyDescent="0.3">
      <c r="A61" s="35">
        <f>inflasi!$G65</f>
        <v>45871</v>
      </c>
      <c r="B61" s="33">
        <f>inflasi!$H65</f>
        <v>2.31</v>
      </c>
      <c r="C61" s="33">
        <f>'suku bunga'!$H65</f>
        <v>5.25</v>
      </c>
      <c r="D61" s="48">
        <f>'nilai tukar'!$H65</f>
        <v>16494</v>
      </c>
      <c r="E61" s="33">
        <f>'minyak mentah'!H65</f>
        <v>66.069999999999993</v>
      </c>
      <c r="F61" s="46">
        <f>emas!H65</f>
        <v>1863000</v>
      </c>
    </row>
    <row r="62" spans="1:6" x14ac:dyDescent="0.3">
      <c r="A62" s="35">
        <f>inflasi!$G66</f>
        <v>45870</v>
      </c>
      <c r="B62" s="33">
        <f>inflasi!$H66</f>
        <v>2.31</v>
      </c>
      <c r="C62" s="33">
        <f>'suku bunga'!$H66</f>
        <v>5.25</v>
      </c>
      <c r="D62" s="48">
        <f>'nilai tukar'!$H66</f>
        <v>16494</v>
      </c>
      <c r="E62" s="33">
        <f>'minyak mentah'!H66</f>
        <v>66.069999999999993</v>
      </c>
      <c r="F62" s="46">
        <f>emas!H66</f>
        <v>1850000</v>
      </c>
    </row>
    <row r="63" spans="1:6" x14ac:dyDescent="0.3">
      <c r="A63" s="35">
        <f>inflasi!$G67</f>
        <v>45869</v>
      </c>
      <c r="B63" s="33">
        <f>inflasi!$H67</f>
        <v>2.37</v>
      </c>
      <c r="C63" s="33">
        <f>'suku bunga'!$H67</f>
        <v>5.25</v>
      </c>
      <c r="D63" s="48">
        <f>'nilai tukar'!$H67</f>
        <v>16459</v>
      </c>
      <c r="E63" s="33">
        <f>'minyak mentah'!H67</f>
        <v>68.59</v>
      </c>
      <c r="F63" s="46">
        <f>emas!H67</f>
        <v>1816000</v>
      </c>
    </row>
    <row r="64" spans="1:6" x14ac:dyDescent="0.3">
      <c r="A64" s="35">
        <f>inflasi!$G68</f>
        <v>45868</v>
      </c>
      <c r="B64" s="33">
        <f>inflasi!$H68</f>
        <v>2.37</v>
      </c>
      <c r="C64" s="33">
        <f>'suku bunga'!$H68</f>
        <v>5.25</v>
      </c>
      <c r="D64" s="48">
        <f>'nilai tukar'!$H68</f>
        <v>16387</v>
      </c>
      <c r="E64" s="33">
        <f>'minyak mentah'!H68</f>
        <v>68.59</v>
      </c>
      <c r="F64" s="46">
        <f>emas!H68</f>
        <v>1819000</v>
      </c>
    </row>
    <row r="65" spans="1:6" x14ac:dyDescent="0.3">
      <c r="A65" s="35">
        <f>inflasi!$G69</f>
        <v>45867</v>
      </c>
      <c r="B65" s="33">
        <f>inflasi!$H69</f>
        <v>2.37</v>
      </c>
      <c r="C65" s="33">
        <f>'suku bunga'!$H69</f>
        <v>5.25</v>
      </c>
      <c r="D65" s="48">
        <f>'nilai tukar'!$H69</f>
        <v>16399</v>
      </c>
      <c r="E65" s="33">
        <f>'minyak mentah'!H69</f>
        <v>68.59</v>
      </c>
      <c r="F65" s="46">
        <f>emas!H69</f>
        <v>1829000</v>
      </c>
    </row>
    <row r="66" spans="1:6" x14ac:dyDescent="0.3">
      <c r="A66" s="35">
        <f>inflasi!$G70</f>
        <v>45866</v>
      </c>
      <c r="B66" s="33">
        <f>inflasi!$H70</f>
        <v>2.37</v>
      </c>
      <c r="C66" s="33">
        <f>'suku bunga'!$H70</f>
        <v>5.25</v>
      </c>
      <c r="D66" s="48">
        <f>'nilai tukar'!$H70</f>
        <v>16341</v>
      </c>
      <c r="E66" s="33">
        <f>'minyak mentah'!H70</f>
        <v>68.59</v>
      </c>
      <c r="F66" s="46">
        <f>emas!H70</f>
        <v>1814000</v>
      </c>
    </row>
    <row r="67" spans="1:6" x14ac:dyDescent="0.3">
      <c r="A67" s="35">
        <f>inflasi!$G71</f>
        <v>45865</v>
      </c>
      <c r="B67" s="33">
        <f>inflasi!$H71</f>
        <v>2.37</v>
      </c>
      <c r="C67" s="33">
        <f>'suku bunga'!$H71</f>
        <v>5.25</v>
      </c>
      <c r="D67" s="48">
        <f>'nilai tukar'!$H71</f>
        <v>16325</v>
      </c>
      <c r="E67" s="33">
        <f>'minyak mentah'!H71</f>
        <v>68.59</v>
      </c>
      <c r="F67" s="46">
        <f>emas!H71</f>
        <v>1829000</v>
      </c>
    </row>
    <row r="68" spans="1:6" x14ac:dyDescent="0.3">
      <c r="A68" s="35">
        <f>inflasi!$G72</f>
        <v>45864</v>
      </c>
      <c r="B68" s="33">
        <f>inflasi!$H72</f>
        <v>2.37</v>
      </c>
      <c r="C68" s="33">
        <f>'suku bunga'!$H72</f>
        <v>5.25</v>
      </c>
      <c r="D68" s="48">
        <f>'nilai tukar'!$H72</f>
        <v>16325</v>
      </c>
      <c r="E68" s="33">
        <f>'minyak mentah'!H72</f>
        <v>68.59</v>
      </c>
      <c r="F68" s="46">
        <f>emas!H72</f>
        <v>1829000</v>
      </c>
    </row>
    <row r="69" spans="1:6" x14ac:dyDescent="0.3">
      <c r="A69" s="35">
        <f>inflasi!$G73</f>
        <v>45863</v>
      </c>
      <c r="B69" s="33">
        <f>inflasi!$H73</f>
        <v>2.37</v>
      </c>
      <c r="C69" s="33">
        <f>'suku bunga'!$H73</f>
        <v>5.25</v>
      </c>
      <c r="D69" s="48">
        <f>'nilai tukar'!$H73</f>
        <v>16325</v>
      </c>
      <c r="E69" s="33">
        <f>'minyak mentah'!H73</f>
        <v>68.59</v>
      </c>
      <c r="F69" s="46">
        <f>emas!H73</f>
        <v>1823000</v>
      </c>
    </row>
    <row r="70" spans="1:6" x14ac:dyDescent="0.3">
      <c r="A70" s="35">
        <f>inflasi!$G74</f>
        <v>45862</v>
      </c>
      <c r="B70" s="33">
        <f>inflasi!$H74</f>
        <v>2.37</v>
      </c>
      <c r="C70" s="33">
        <f>'suku bunga'!$H74</f>
        <v>5.25</v>
      </c>
      <c r="D70" s="48">
        <f>'nilai tukar'!$H74</f>
        <v>16283</v>
      </c>
      <c r="E70" s="33">
        <f>'minyak mentah'!H74</f>
        <v>68.59</v>
      </c>
      <c r="F70" s="46">
        <f>emas!H74</f>
        <v>1845000</v>
      </c>
    </row>
    <row r="71" spans="1:6" x14ac:dyDescent="0.3">
      <c r="A71" s="35">
        <f>inflasi!$G75</f>
        <v>45861</v>
      </c>
      <c r="B71" s="33">
        <f>inflasi!$H75</f>
        <v>2.37</v>
      </c>
      <c r="C71" s="33">
        <f>'suku bunga'!$H75</f>
        <v>5.25</v>
      </c>
      <c r="D71" s="48">
        <f>'nilai tukar'!$H75</f>
        <v>16298</v>
      </c>
      <c r="E71" s="33">
        <f>'minyak mentah'!H75</f>
        <v>68.59</v>
      </c>
      <c r="F71" s="46">
        <f>emas!H75</f>
        <v>1868000</v>
      </c>
    </row>
    <row r="72" spans="1:6" x14ac:dyDescent="0.3">
      <c r="A72" s="35">
        <f>inflasi!$G76</f>
        <v>45860</v>
      </c>
      <c r="B72" s="33">
        <f>inflasi!$H76</f>
        <v>2.37</v>
      </c>
      <c r="C72" s="33">
        <f>'suku bunga'!$H76</f>
        <v>5.25</v>
      </c>
      <c r="D72" s="48">
        <f>'nilai tukar'!$H76</f>
        <v>16307</v>
      </c>
      <c r="E72" s="33">
        <f>'minyak mentah'!H76</f>
        <v>68.59</v>
      </c>
      <c r="F72" s="46">
        <f>emas!H76</f>
        <v>1875000</v>
      </c>
    </row>
    <row r="73" spans="1:6" x14ac:dyDescent="0.3">
      <c r="A73" s="35">
        <f>inflasi!$G77</f>
        <v>45859</v>
      </c>
      <c r="B73" s="33">
        <f>inflasi!$H77</f>
        <v>2.37</v>
      </c>
      <c r="C73" s="33">
        <f>'suku bunga'!$H77</f>
        <v>5.25</v>
      </c>
      <c r="D73" s="48">
        <f>'nilai tukar'!$H77</f>
        <v>16330</v>
      </c>
      <c r="E73" s="33">
        <f>'minyak mentah'!H77</f>
        <v>68.59</v>
      </c>
      <c r="F73" s="46">
        <f>emas!H77</f>
        <v>1860000</v>
      </c>
    </row>
    <row r="74" spans="1:6" x14ac:dyDescent="0.3">
      <c r="A74" s="35">
        <f>inflasi!$G78</f>
        <v>45858</v>
      </c>
      <c r="B74" s="33">
        <f>inflasi!$H78</f>
        <v>2.37</v>
      </c>
      <c r="C74" s="33">
        <f>'suku bunga'!$H78</f>
        <v>5.25</v>
      </c>
      <c r="D74" s="48">
        <f>'nilai tukar'!$H78</f>
        <v>16301</v>
      </c>
      <c r="E74" s="33">
        <f>'minyak mentah'!H78</f>
        <v>68.59</v>
      </c>
      <c r="F74" s="46">
        <f>emas!H78</f>
        <v>1833000</v>
      </c>
    </row>
    <row r="75" spans="1:6" x14ac:dyDescent="0.3">
      <c r="A75" s="35">
        <f>inflasi!$G79</f>
        <v>45857</v>
      </c>
      <c r="B75" s="33">
        <f>inflasi!$H79</f>
        <v>2.37</v>
      </c>
      <c r="C75" s="33">
        <f>'suku bunga'!$H79</f>
        <v>5.25</v>
      </c>
      <c r="D75" s="48">
        <f>'nilai tukar'!$H79</f>
        <v>16301</v>
      </c>
      <c r="E75" s="33">
        <f>'minyak mentah'!H79</f>
        <v>68.59</v>
      </c>
      <c r="F75" s="46">
        <f>emas!H79</f>
        <v>1833000</v>
      </c>
    </row>
    <row r="76" spans="1:6" x14ac:dyDescent="0.3">
      <c r="A76" s="35">
        <f>inflasi!$G80</f>
        <v>45856</v>
      </c>
      <c r="B76" s="33">
        <f>inflasi!$H80</f>
        <v>2.37</v>
      </c>
      <c r="C76" s="33">
        <f>'suku bunga'!$H80</f>
        <v>5.25</v>
      </c>
      <c r="D76" s="48">
        <f>'nilai tukar'!$H80</f>
        <v>16301</v>
      </c>
      <c r="E76" s="33">
        <f>'minyak mentah'!H80</f>
        <v>68.59</v>
      </c>
      <c r="F76" s="46">
        <f>emas!H80</f>
        <v>1840000</v>
      </c>
    </row>
    <row r="77" spans="1:6" x14ac:dyDescent="0.3">
      <c r="A77" s="35">
        <f>inflasi!$G81</f>
        <v>45855</v>
      </c>
      <c r="B77" s="33">
        <f>inflasi!$H81</f>
        <v>2.37</v>
      </c>
      <c r="C77" s="33">
        <f>'suku bunga'!$H81</f>
        <v>5.25</v>
      </c>
      <c r="D77" s="48">
        <f>'nilai tukar'!$H81</f>
        <v>16329</v>
      </c>
      <c r="E77" s="33">
        <f>'minyak mentah'!H81</f>
        <v>68.59</v>
      </c>
      <c r="F77" s="46">
        <f>emas!H81</f>
        <v>1830000</v>
      </c>
    </row>
    <row r="78" spans="1:6" x14ac:dyDescent="0.3">
      <c r="A78" s="35">
        <f>inflasi!$G82</f>
        <v>45854</v>
      </c>
      <c r="B78" s="33">
        <f>inflasi!$H82</f>
        <v>2.37</v>
      </c>
      <c r="C78" s="33">
        <f>'suku bunga'!$H82</f>
        <v>5.25</v>
      </c>
      <c r="D78" s="48">
        <f>'nilai tukar'!$H82</f>
        <v>16288</v>
      </c>
      <c r="E78" s="33">
        <f>'minyak mentah'!H82</f>
        <v>68.59</v>
      </c>
      <c r="F78" s="46">
        <f>emas!H82</f>
        <v>1821000</v>
      </c>
    </row>
    <row r="79" spans="1:6" x14ac:dyDescent="0.3">
      <c r="A79" s="35">
        <f>inflasi!$G83</f>
        <v>45853</v>
      </c>
      <c r="B79" s="33">
        <f>inflasi!$H83</f>
        <v>2.37</v>
      </c>
      <c r="C79" s="33">
        <f>'suku bunga'!$H83</f>
        <v>5.5</v>
      </c>
      <c r="D79" s="48">
        <f>'nilai tukar'!$H83</f>
        <v>16281</v>
      </c>
      <c r="E79" s="33">
        <f>'minyak mentah'!H83</f>
        <v>68.59</v>
      </c>
      <c r="F79" s="46">
        <f>emas!H83</f>
        <v>1828000</v>
      </c>
    </row>
    <row r="80" spans="1:6" x14ac:dyDescent="0.3">
      <c r="A80" s="35">
        <f>inflasi!$G84</f>
        <v>45852</v>
      </c>
      <c r="B80" s="33">
        <f>inflasi!$H84</f>
        <v>2.37</v>
      </c>
      <c r="C80" s="33">
        <f>'suku bunga'!$H84</f>
        <v>5.5</v>
      </c>
      <c r="D80" s="48">
        <f>'nilai tukar'!$H84</f>
        <v>16247</v>
      </c>
      <c r="E80" s="33">
        <f>'minyak mentah'!H84</f>
        <v>68.59</v>
      </c>
      <c r="F80" s="46">
        <f>emas!H84</f>
        <v>1819000</v>
      </c>
    </row>
    <row r="81" spans="1:6" x14ac:dyDescent="0.3">
      <c r="A81" s="35">
        <f>inflasi!$G85</f>
        <v>45851</v>
      </c>
      <c r="B81" s="33">
        <f>inflasi!$H85</f>
        <v>2.37</v>
      </c>
      <c r="C81" s="33">
        <f>'suku bunga'!$H85</f>
        <v>5.5</v>
      </c>
      <c r="D81" s="48">
        <f>'nilai tukar'!$H85</f>
        <v>16221</v>
      </c>
      <c r="E81" s="33">
        <f>'minyak mentah'!H85</f>
        <v>68.59</v>
      </c>
      <c r="F81" s="46">
        <f>emas!H85</f>
        <v>1826000</v>
      </c>
    </row>
    <row r="82" spans="1:6" x14ac:dyDescent="0.3">
      <c r="A82" s="35">
        <f>inflasi!$G86</f>
        <v>45850</v>
      </c>
      <c r="B82" s="33">
        <f>inflasi!$H86</f>
        <v>2.37</v>
      </c>
      <c r="C82" s="33">
        <f>'suku bunga'!$H86</f>
        <v>5.5</v>
      </c>
      <c r="D82" s="48">
        <f>'nilai tukar'!$H86</f>
        <v>16221</v>
      </c>
      <c r="E82" s="33">
        <f>'minyak mentah'!H86</f>
        <v>68.59</v>
      </c>
      <c r="F82" s="46">
        <f>emas!H86</f>
        <v>1826000</v>
      </c>
    </row>
    <row r="83" spans="1:6" x14ac:dyDescent="0.3">
      <c r="A83" s="35">
        <f>inflasi!$G87</f>
        <v>45849</v>
      </c>
      <c r="B83" s="33">
        <f>inflasi!$H87</f>
        <v>2.37</v>
      </c>
      <c r="C83" s="33">
        <f>'suku bunga'!$H87</f>
        <v>5.5</v>
      </c>
      <c r="D83" s="48">
        <f>'nilai tukar'!$H87</f>
        <v>16221</v>
      </c>
      <c r="E83" s="33">
        <f>'minyak mentah'!H87</f>
        <v>68.59</v>
      </c>
      <c r="F83" s="46">
        <f>emas!H87</f>
        <v>1832000</v>
      </c>
    </row>
    <row r="84" spans="1:6" x14ac:dyDescent="0.3">
      <c r="A84" s="35">
        <f>inflasi!$G88</f>
        <v>45848</v>
      </c>
      <c r="B84" s="33">
        <f>inflasi!$H88</f>
        <v>2.37</v>
      </c>
      <c r="C84" s="33">
        <f>'suku bunga'!$H88</f>
        <v>5.5</v>
      </c>
      <c r="D84" s="48">
        <f>'nilai tukar'!$H88</f>
        <v>16220</v>
      </c>
      <c r="E84" s="33">
        <f>'minyak mentah'!H88</f>
        <v>68.59</v>
      </c>
      <c r="F84" s="46">
        <f>emas!H88</f>
        <v>1810000</v>
      </c>
    </row>
    <row r="85" spans="1:6" x14ac:dyDescent="0.3">
      <c r="A85" s="35">
        <f>inflasi!$G89</f>
        <v>45847</v>
      </c>
      <c r="B85" s="33">
        <f>inflasi!$H89</f>
        <v>2.37</v>
      </c>
      <c r="C85" s="33">
        <f>'suku bunga'!$H89</f>
        <v>5.5</v>
      </c>
      <c r="D85" s="48">
        <f>'nilai tukar'!$H89</f>
        <v>16254</v>
      </c>
      <c r="E85" s="33">
        <f>'minyak mentah'!H89</f>
        <v>68.59</v>
      </c>
      <c r="F85" s="46">
        <f>emas!H89</f>
        <v>1810000</v>
      </c>
    </row>
    <row r="86" spans="1:6" x14ac:dyDescent="0.3">
      <c r="A86" s="35">
        <f>inflasi!$G90</f>
        <v>45846</v>
      </c>
      <c r="B86" s="33">
        <f>inflasi!$H90</f>
        <v>2.37</v>
      </c>
      <c r="C86" s="33">
        <f>'suku bunga'!$H90</f>
        <v>5.5</v>
      </c>
      <c r="D86" s="48">
        <f>'nilai tukar'!$H90</f>
        <v>16238</v>
      </c>
      <c r="E86" s="33">
        <f>'minyak mentah'!H90</f>
        <v>68.59</v>
      </c>
      <c r="F86" s="46">
        <f>emas!H90</f>
        <v>1799000</v>
      </c>
    </row>
    <row r="87" spans="1:6" x14ac:dyDescent="0.3">
      <c r="A87" s="35">
        <f>inflasi!$G91</f>
        <v>45845</v>
      </c>
      <c r="B87" s="33">
        <f>inflasi!$H91</f>
        <v>2.37</v>
      </c>
      <c r="C87" s="33">
        <f>'suku bunga'!$H91</f>
        <v>5.5</v>
      </c>
      <c r="D87" s="48">
        <f>'nilai tukar'!$H91</f>
        <v>16237</v>
      </c>
      <c r="E87" s="33">
        <f>'minyak mentah'!H91</f>
        <v>68.59</v>
      </c>
      <c r="F87" s="46">
        <f>emas!H91</f>
        <v>1805000</v>
      </c>
    </row>
    <row r="88" spans="1:6" x14ac:dyDescent="0.3">
      <c r="A88" s="35">
        <f>inflasi!$G92</f>
        <v>45844</v>
      </c>
      <c r="B88" s="33">
        <f>inflasi!$H92</f>
        <v>2.37</v>
      </c>
      <c r="C88" s="33">
        <f>'suku bunga'!$H92</f>
        <v>5.5</v>
      </c>
      <c r="D88" s="48">
        <f>'nilai tukar'!$H92</f>
        <v>16204</v>
      </c>
      <c r="E88" s="33">
        <f>'minyak mentah'!H92</f>
        <v>68.59</v>
      </c>
      <c r="F88" s="46">
        <f>emas!H92</f>
        <v>1814000</v>
      </c>
    </row>
    <row r="89" spans="1:6" x14ac:dyDescent="0.3">
      <c r="A89" s="35">
        <f>inflasi!$G93</f>
        <v>45843</v>
      </c>
      <c r="B89" s="33">
        <f>inflasi!$H93</f>
        <v>2.37</v>
      </c>
      <c r="C89" s="33">
        <f>'suku bunga'!$H93</f>
        <v>5.5</v>
      </c>
      <c r="D89" s="48">
        <f>'nilai tukar'!$H93</f>
        <v>16204</v>
      </c>
      <c r="E89" s="33">
        <f>'minyak mentah'!H93</f>
        <v>68.59</v>
      </c>
      <c r="F89" s="46">
        <f>emas!H93</f>
        <v>1814000</v>
      </c>
    </row>
    <row r="90" spans="1:6" x14ac:dyDescent="0.3">
      <c r="A90" s="35">
        <f>inflasi!$G94</f>
        <v>45842</v>
      </c>
      <c r="B90" s="33">
        <f>inflasi!$H94</f>
        <v>2.37</v>
      </c>
      <c r="C90" s="33">
        <f>'suku bunga'!$H94</f>
        <v>5.5</v>
      </c>
      <c r="D90" s="48">
        <f>'nilai tukar'!$H94</f>
        <v>16204</v>
      </c>
      <c r="E90" s="33">
        <f>'minyak mentah'!H94</f>
        <v>68.59</v>
      </c>
      <c r="F90" s="46">
        <f>emas!H94</f>
        <v>1815000</v>
      </c>
    </row>
    <row r="91" spans="1:6" x14ac:dyDescent="0.3">
      <c r="A91" s="35">
        <f>inflasi!$G95</f>
        <v>45841</v>
      </c>
      <c r="B91" s="33">
        <f>inflasi!$H95</f>
        <v>2.37</v>
      </c>
      <c r="C91" s="33">
        <f>'suku bunga'!$H95</f>
        <v>5.5</v>
      </c>
      <c r="D91" s="48">
        <f>'nilai tukar'!$H95</f>
        <v>16209</v>
      </c>
      <c r="E91" s="33">
        <f>'minyak mentah'!H95</f>
        <v>68.59</v>
      </c>
      <c r="F91" s="46">
        <f>emas!H95</f>
        <v>1813000</v>
      </c>
    </row>
    <row r="92" spans="1:6" x14ac:dyDescent="0.3">
      <c r="A92" s="35">
        <f>inflasi!$G96</f>
        <v>45840</v>
      </c>
      <c r="B92" s="33">
        <f>inflasi!$H96</f>
        <v>2.37</v>
      </c>
      <c r="C92" s="33">
        <f>'suku bunga'!$H96</f>
        <v>5.5</v>
      </c>
      <c r="D92" s="48">
        <f>'nilai tukar'!$H96</f>
        <v>16236</v>
      </c>
      <c r="E92" s="33">
        <f>'minyak mentah'!H96</f>
        <v>68.59</v>
      </c>
      <c r="F92" s="46">
        <f>emas!H96</f>
        <v>1818000</v>
      </c>
    </row>
    <row r="93" spans="1:6" x14ac:dyDescent="0.3">
      <c r="A93" s="35">
        <f>inflasi!$G97</f>
        <v>45839</v>
      </c>
      <c r="B93" s="33">
        <f>inflasi!$H97</f>
        <v>2.37</v>
      </c>
      <c r="C93" s="33">
        <f>'suku bunga'!$H97</f>
        <v>5.5</v>
      </c>
      <c r="D93" s="48">
        <f>'nilai tukar'!$H97</f>
        <v>16192</v>
      </c>
      <c r="E93" s="33">
        <f>'minyak mentah'!H97</f>
        <v>68.59</v>
      </c>
      <c r="F93" s="46">
        <f>emas!H97</f>
        <v>1822000</v>
      </c>
    </row>
    <row r="94" spans="1:6" x14ac:dyDescent="0.3">
      <c r="A94" s="35">
        <f>inflasi!$G98</f>
        <v>45838</v>
      </c>
      <c r="B94" s="33">
        <f>inflasi!$H98</f>
        <v>1.87</v>
      </c>
      <c r="C94" s="33">
        <f>'suku bunga'!$H98</f>
        <v>5.5</v>
      </c>
      <c r="D94" s="48">
        <f>'nilai tukar'!$H98</f>
        <v>16231</v>
      </c>
      <c r="E94" s="33">
        <f>'minyak mentah'!H98</f>
        <v>69.33</v>
      </c>
      <c r="F94" s="46">
        <f>emas!H98</f>
        <v>1790000</v>
      </c>
    </row>
    <row r="95" spans="1:6" x14ac:dyDescent="0.3">
      <c r="A95" s="35">
        <f>inflasi!$G99</f>
        <v>45837</v>
      </c>
      <c r="B95" s="33">
        <f>inflasi!$H99</f>
        <v>1.87</v>
      </c>
      <c r="C95" s="33">
        <f>'suku bunga'!$H99</f>
        <v>5.5</v>
      </c>
      <c r="D95" s="48">
        <f>'nilai tukar'!$H99</f>
        <v>16233</v>
      </c>
      <c r="E95" s="33">
        <f>'minyak mentah'!H99</f>
        <v>69.33</v>
      </c>
      <c r="F95" s="46">
        <f>emas!H99</f>
        <v>1783000</v>
      </c>
    </row>
    <row r="96" spans="1:6" x14ac:dyDescent="0.3">
      <c r="A96" s="35">
        <f>inflasi!$G100</f>
        <v>45836</v>
      </c>
      <c r="B96" s="33">
        <f>inflasi!$H100</f>
        <v>1.87</v>
      </c>
      <c r="C96" s="33">
        <f>'suku bunga'!$H100</f>
        <v>5.5</v>
      </c>
      <c r="D96" s="48">
        <f>'nilai tukar'!$H100</f>
        <v>16233</v>
      </c>
      <c r="E96" s="33">
        <f>'minyak mentah'!H100</f>
        <v>69.33</v>
      </c>
      <c r="F96" s="46">
        <f>emas!H100</f>
        <v>1783000</v>
      </c>
    </row>
    <row r="97" spans="1:6" x14ac:dyDescent="0.3">
      <c r="A97" s="35">
        <f>inflasi!$G101</f>
        <v>45835</v>
      </c>
      <c r="B97" s="33">
        <f>inflasi!$H101</f>
        <v>1.87</v>
      </c>
      <c r="C97" s="33">
        <f>'suku bunga'!$H101</f>
        <v>5.5</v>
      </c>
      <c r="D97" s="48">
        <f>'nilai tukar'!$H101</f>
        <v>16233</v>
      </c>
      <c r="E97" s="33">
        <f>'minyak mentah'!H101</f>
        <v>69.33</v>
      </c>
      <c r="F97" s="46">
        <f>emas!H101</f>
        <v>1782000</v>
      </c>
    </row>
    <row r="98" spans="1:6" x14ac:dyDescent="0.3">
      <c r="A98" s="35">
        <f>inflasi!$G102</f>
        <v>45834</v>
      </c>
      <c r="B98" s="33">
        <f>inflasi!$H102</f>
        <v>1.87</v>
      </c>
      <c r="C98" s="33">
        <f>'suku bunga'!$H102</f>
        <v>5.5</v>
      </c>
      <c r="D98" s="48">
        <f>'nilai tukar'!$H102</f>
        <v>16233</v>
      </c>
      <c r="E98" s="33">
        <f>'minyak mentah'!H102</f>
        <v>69.33</v>
      </c>
      <c r="F98" s="46">
        <f>emas!H102</f>
        <v>1817000</v>
      </c>
    </row>
    <row r="99" spans="1:6" x14ac:dyDescent="0.3">
      <c r="A99" s="35">
        <f>inflasi!$G103</f>
        <v>45833</v>
      </c>
      <c r="B99" s="33">
        <f>inflasi!$H103</f>
        <v>1.87</v>
      </c>
      <c r="C99" s="33">
        <f>'suku bunga'!$H103</f>
        <v>5.5</v>
      </c>
      <c r="D99" s="48">
        <f>'nilai tukar'!$H103</f>
        <v>16292</v>
      </c>
      <c r="E99" s="33">
        <f>'minyak mentah'!H103</f>
        <v>69.33</v>
      </c>
      <c r="F99" s="46">
        <f>emas!H103</f>
        <v>1821000</v>
      </c>
    </row>
    <row r="100" spans="1:6" x14ac:dyDescent="0.3">
      <c r="A100" s="35">
        <f>inflasi!$G104</f>
        <v>45832</v>
      </c>
      <c r="B100" s="33">
        <f>inflasi!$H104</f>
        <v>1.87</v>
      </c>
      <c r="C100" s="33">
        <f>'suku bunga'!$H104</f>
        <v>5.5</v>
      </c>
      <c r="D100" s="48">
        <f>'nilai tukar'!$H104</f>
        <v>16370</v>
      </c>
      <c r="E100" s="33">
        <f>'minyak mentah'!H104</f>
        <v>69.33</v>
      </c>
      <c r="F100" s="46">
        <f>emas!H104</f>
        <v>1831000</v>
      </c>
    </row>
    <row r="101" spans="1:6" x14ac:dyDescent="0.3">
      <c r="A101" s="35">
        <f>inflasi!$G105</f>
        <v>45831</v>
      </c>
      <c r="B101" s="33">
        <f>inflasi!$H105</f>
        <v>1.87</v>
      </c>
      <c r="C101" s="33">
        <f>'suku bunga'!$H105</f>
        <v>5.5</v>
      </c>
      <c r="D101" s="48">
        <f>'nilai tukar'!$H105</f>
        <v>16484</v>
      </c>
      <c r="E101" s="33">
        <f>'minyak mentah'!H105</f>
        <v>69.33</v>
      </c>
      <c r="F101" s="46">
        <f>emas!H105</f>
        <v>1863000</v>
      </c>
    </row>
    <row r="102" spans="1:6" x14ac:dyDescent="0.3">
      <c r="A102" s="35">
        <f>inflasi!$G106</f>
        <v>45830</v>
      </c>
      <c r="B102" s="33">
        <f>inflasi!$H106</f>
        <v>1.87</v>
      </c>
      <c r="C102" s="33">
        <f>'suku bunga'!$H106</f>
        <v>5.5</v>
      </c>
      <c r="D102" s="48">
        <f>'nilai tukar'!$H106</f>
        <v>16399</v>
      </c>
      <c r="E102" s="33">
        <f>'minyak mentah'!H106</f>
        <v>69.33</v>
      </c>
      <c r="F102" s="46">
        <f>emas!H106</f>
        <v>1853000</v>
      </c>
    </row>
    <row r="103" spans="1:6" x14ac:dyDescent="0.3">
      <c r="A103" s="35">
        <f>inflasi!$G107</f>
        <v>45829</v>
      </c>
      <c r="B103" s="33">
        <f>inflasi!$H107</f>
        <v>1.87</v>
      </c>
      <c r="C103" s="33">
        <f>'suku bunga'!$H107</f>
        <v>5.5</v>
      </c>
      <c r="D103" s="48">
        <f>'nilai tukar'!$H107</f>
        <v>16399</v>
      </c>
      <c r="E103" s="33">
        <f>'minyak mentah'!H107</f>
        <v>69.33</v>
      </c>
      <c r="F103" s="46">
        <f>emas!H107</f>
        <v>1853000</v>
      </c>
    </row>
    <row r="104" spans="1:6" x14ac:dyDescent="0.3">
      <c r="A104" s="35">
        <f>inflasi!$G108</f>
        <v>45828</v>
      </c>
      <c r="B104" s="33">
        <f>inflasi!$H108</f>
        <v>1.87</v>
      </c>
      <c r="C104" s="33">
        <f>'suku bunga'!$H108</f>
        <v>5.5</v>
      </c>
      <c r="D104" s="48">
        <f>'nilai tukar'!$H108</f>
        <v>16399</v>
      </c>
      <c r="E104" s="33">
        <f>'minyak mentah'!H108</f>
        <v>69.33</v>
      </c>
      <c r="F104" s="46">
        <f>emas!H108</f>
        <v>1852000</v>
      </c>
    </row>
    <row r="105" spans="1:6" x14ac:dyDescent="0.3">
      <c r="A105" s="35">
        <f>inflasi!$G109</f>
        <v>45827</v>
      </c>
      <c r="B105" s="33">
        <f>inflasi!$H109</f>
        <v>1.87</v>
      </c>
      <c r="C105" s="33">
        <f>'suku bunga'!$H109</f>
        <v>5.5</v>
      </c>
      <c r="D105" s="48">
        <f>'nilai tukar'!$H109</f>
        <v>16378</v>
      </c>
      <c r="E105" s="33">
        <f>'minyak mentah'!H109</f>
        <v>69.33</v>
      </c>
      <c r="F105" s="46">
        <f>emas!H109</f>
        <v>1847000</v>
      </c>
    </row>
    <row r="106" spans="1:6" x14ac:dyDescent="0.3">
      <c r="A106" s="35">
        <f>inflasi!$G110</f>
        <v>45826</v>
      </c>
      <c r="B106" s="33">
        <f>inflasi!$H110</f>
        <v>1.87</v>
      </c>
      <c r="C106" s="33">
        <f>'suku bunga'!$H110</f>
        <v>5.5</v>
      </c>
      <c r="D106" s="48">
        <f>'nilai tukar'!$H110</f>
        <v>16319</v>
      </c>
      <c r="E106" s="33">
        <f>'minyak mentah'!H110</f>
        <v>69.33</v>
      </c>
      <c r="F106" s="46">
        <f>emas!H110</f>
        <v>1852000</v>
      </c>
    </row>
    <row r="107" spans="1:6" x14ac:dyDescent="0.3">
      <c r="A107" s="35">
        <f>inflasi!$G111</f>
        <v>45825</v>
      </c>
      <c r="B107" s="33">
        <f>inflasi!$H111</f>
        <v>1.87</v>
      </c>
      <c r="C107" s="33">
        <f>'suku bunga'!$H111</f>
        <v>5.5</v>
      </c>
      <c r="D107" s="48">
        <f>'nilai tukar'!$H111</f>
        <v>16281</v>
      </c>
      <c r="E107" s="33">
        <f>'minyak mentah'!H111</f>
        <v>69.33</v>
      </c>
      <c r="F107" s="46">
        <f>emas!H111</f>
        <v>1849000</v>
      </c>
    </row>
    <row r="108" spans="1:6" x14ac:dyDescent="0.3">
      <c r="A108" s="35">
        <f>inflasi!$G112</f>
        <v>45824</v>
      </c>
      <c r="B108" s="33">
        <f>inflasi!$H112</f>
        <v>1.87</v>
      </c>
      <c r="C108" s="33">
        <f>'suku bunga'!$H112</f>
        <v>5.5</v>
      </c>
      <c r="D108" s="48">
        <f>'nilai tukar'!$H112</f>
        <v>16296</v>
      </c>
      <c r="E108" s="33">
        <f>'minyak mentah'!H112</f>
        <v>69.33</v>
      </c>
      <c r="F108" s="46">
        <f>emas!H112</f>
        <v>1859000</v>
      </c>
    </row>
    <row r="109" spans="1:6" x14ac:dyDescent="0.3">
      <c r="A109" s="35">
        <f>inflasi!$G113</f>
        <v>45823</v>
      </c>
      <c r="B109" s="33">
        <f>inflasi!$H113</f>
        <v>1.87</v>
      </c>
      <c r="C109" s="33">
        <f>'suku bunga'!$H113</f>
        <v>5.5</v>
      </c>
      <c r="D109" s="48">
        <f>'nilai tukar'!$H113</f>
        <v>16293</v>
      </c>
      <c r="E109" s="33">
        <f>'minyak mentah'!H113</f>
        <v>69.33</v>
      </c>
      <c r="F109" s="46">
        <f>emas!H113</f>
        <v>1878000</v>
      </c>
    </row>
    <row r="110" spans="1:6" x14ac:dyDescent="0.3">
      <c r="A110" s="35">
        <f>inflasi!$G114</f>
        <v>45822</v>
      </c>
      <c r="B110" s="33">
        <f>inflasi!$H114</f>
        <v>1.87</v>
      </c>
      <c r="C110" s="33">
        <f>'suku bunga'!$H114</f>
        <v>5.5</v>
      </c>
      <c r="D110" s="48">
        <f>'nilai tukar'!$H114</f>
        <v>16293</v>
      </c>
      <c r="E110" s="33">
        <f>'minyak mentah'!H114</f>
        <v>69.33</v>
      </c>
      <c r="F110" s="46">
        <f>emas!H114</f>
        <v>1878000</v>
      </c>
    </row>
    <row r="111" spans="1:6" x14ac:dyDescent="0.3">
      <c r="A111" s="35">
        <f>inflasi!$G115</f>
        <v>45821</v>
      </c>
      <c r="B111" s="33">
        <f>inflasi!$H115</f>
        <v>1.87</v>
      </c>
      <c r="C111" s="33">
        <f>'suku bunga'!$H115</f>
        <v>5.5</v>
      </c>
      <c r="D111" s="48">
        <f>'nilai tukar'!$H115</f>
        <v>16293</v>
      </c>
      <c r="E111" s="33">
        <f>'minyak mentah'!H115</f>
        <v>69.33</v>
      </c>
      <c r="F111" s="46">
        <f>emas!H115</f>
        <v>1865000</v>
      </c>
    </row>
    <row r="112" spans="1:6" x14ac:dyDescent="0.3">
      <c r="A112" s="35">
        <f>inflasi!$G116</f>
        <v>45820</v>
      </c>
      <c r="B112" s="33">
        <f>inflasi!$H116</f>
        <v>1.87</v>
      </c>
      <c r="C112" s="33">
        <f>'suku bunga'!$H116</f>
        <v>5.5</v>
      </c>
      <c r="D112" s="48">
        <f>'nilai tukar'!$H116</f>
        <v>16237</v>
      </c>
      <c r="E112" s="33">
        <f>'minyak mentah'!H116</f>
        <v>69.33</v>
      </c>
      <c r="F112" s="46">
        <f>emas!H116</f>
        <v>1850000</v>
      </c>
    </row>
    <row r="113" spans="1:6" x14ac:dyDescent="0.3">
      <c r="A113" s="35">
        <f>inflasi!$G117</f>
        <v>45819</v>
      </c>
      <c r="B113" s="33">
        <f>inflasi!$H117</f>
        <v>1.87</v>
      </c>
      <c r="C113" s="33">
        <f>'suku bunga'!$H117</f>
        <v>5.5</v>
      </c>
      <c r="D113" s="48">
        <f>'nilai tukar'!$H117</f>
        <v>16265</v>
      </c>
      <c r="E113" s="33">
        <f>'minyak mentah'!H117</f>
        <v>69.33</v>
      </c>
      <c r="F113" s="46">
        <f>emas!H117</f>
        <v>1823000</v>
      </c>
    </row>
    <row r="114" spans="1:6" x14ac:dyDescent="0.3">
      <c r="A114" s="35">
        <f>inflasi!$G118</f>
        <v>45818</v>
      </c>
      <c r="B114" s="33">
        <f>inflasi!$H118</f>
        <v>1.87</v>
      </c>
      <c r="C114" s="33">
        <f>'suku bunga'!$H118</f>
        <v>5.5</v>
      </c>
      <c r="D114" s="48">
        <f>'nilai tukar'!$H118</f>
        <v>16276</v>
      </c>
      <c r="E114" s="33">
        <f>'minyak mentah'!H118</f>
        <v>69.33</v>
      </c>
      <c r="F114" s="46">
        <f>emas!H118</f>
        <v>1820000</v>
      </c>
    </row>
    <row r="115" spans="1:6" x14ac:dyDescent="0.3">
      <c r="A115" s="35">
        <f>inflasi!$G119</f>
        <v>45817</v>
      </c>
      <c r="B115" s="33">
        <f>inflasi!$H119</f>
        <v>1.87</v>
      </c>
      <c r="C115" s="33">
        <f>'suku bunga'!$H119</f>
        <v>5.5</v>
      </c>
      <c r="D115" s="48">
        <f>'nilai tukar'!$H119</f>
        <v>16277</v>
      </c>
      <c r="E115" s="33">
        <f>'minyak mentah'!H119</f>
        <v>69.33</v>
      </c>
      <c r="F115" s="46">
        <f>emas!H119</f>
        <v>1818000</v>
      </c>
    </row>
    <row r="116" spans="1:6" x14ac:dyDescent="0.3">
      <c r="A116" s="35">
        <f>inflasi!$G120</f>
        <v>45816</v>
      </c>
      <c r="B116" s="33">
        <f>inflasi!$H120</f>
        <v>1.87</v>
      </c>
      <c r="C116" s="33">
        <f>'suku bunga'!$H120</f>
        <v>5.5</v>
      </c>
      <c r="D116" s="48">
        <f>'nilai tukar'!$H120</f>
        <v>16277</v>
      </c>
      <c r="E116" s="33">
        <f>'minyak mentah'!H120</f>
        <v>69.33</v>
      </c>
      <c r="F116" s="46">
        <f>emas!H120</f>
        <v>1813000</v>
      </c>
    </row>
    <row r="117" spans="1:6" x14ac:dyDescent="0.3">
      <c r="A117" s="35">
        <f>inflasi!$G121</f>
        <v>45815</v>
      </c>
      <c r="B117" s="33">
        <f>inflasi!$H121</f>
        <v>1.87</v>
      </c>
      <c r="C117" s="33">
        <f>'suku bunga'!$H121</f>
        <v>5.5</v>
      </c>
      <c r="D117" s="48">
        <f>'nilai tukar'!$H121</f>
        <v>16277</v>
      </c>
      <c r="E117" s="33">
        <f>'minyak mentah'!H121</f>
        <v>69.33</v>
      </c>
      <c r="F117" s="46">
        <f>emas!H121</f>
        <v>1813000</v>
      </c>
    </row>
    <row r="118" spans="1:6" x14ac:dyDescent="0.3">
      <c r="A118" s="35">
        <f>inflasi!$G122</f>
        <v>45814</v>
      </c>
      <c r="B118" s="33">
        <f>inflasi!$H122</f>
        <v>1.87</v>
      </c>
      <c r="C118" s="33">
        <f>'suku bunga'!$H122</f>
        <v>5.5</v>
      </c>
      <c r="D118" s="48">
        <f>'nilai tukar'!$H122</f>
        <v>16277</v>
      </c>
      <c r="E118" s="33">
        <f>'minyak mentah'!H122</f>
        <v>69.33</v>
      </c>
      <c r="F118" s="46">
        <f>emas!H122</f>
        <v>1815000</v>
      </c>
    </row>
    <row r="119" spans="1:6" x14ac:dyDescent="0.3">
      <c r="A119" s="35">
        <f>inflasi!$G123</f>
        <v>45813</v>
      </c>
      <c r="B119" s="33">
        <f>inflasi!$H123</f>
        <v>1.87</v>
      </c>
      <c r="C119" s="33">
        <f>'suku bunga'!$H123</f>
        <v>5.5</v>
      </c>
      <c r="D119" s="48">
        <f>'nilai tukar'!$H123</f>
        <v>16277</v>
      </c>
      <c r="E119" s="33">
        <f>'minyak mentah'!H123</f>
        <v>69.33</v>
      </c>
      <c r="F119" s="46">
        <f>emas!H123</f>
        <v>1843000</v>
      </c>
    </row>
    <row r="120" spans="1:6" x14ac:dyDescent="0.3">
      <c r="A120" s="35">
        <f>inflasi!$G124</f>
        <v>45812</v>
      </c>
      <c r="B120" s="33">
        <f>inflasi!$H124</f>
        <v>1.87</v>
      </c>
      <c r="C120" s="33">
        <f>'suku bunga'!$H124</f>
        <v>5.5</v>
      </c>
      <c r="D120" s="48">
        <f>'nilai tukar'!$H124</f>
        <v>16305</v>
      </c>
      <c r="E120" s="33">
        <f>'minyak mentah'!H124</f>
        <v>69.33</v>
      </c>
      <c r="F120" s="46">
        <f>emas!H124</f>
        <v>1850000</v>
      </c>
    </row>
    <row r="121" spans="1:6" x14ac:dyDescent="0.3">
      <c r="A121" s="35">
        <f>inflasi!$G125</f>
        <v>45811</v>
      </c>
      <c r="B121" s="33">
        <f>inflasi!$H125</f>
        <v>1.87</v>
      </c>
      <c r="C121" s="33">
        <f>'suku bunga'!$H125</f>
        <v>5.5</v>
      </c>
      <c r="D121" s="48">
        <f>'nilai tukar'!$H125</f>
        <v>16288</v>
      </c>
      <c r="E121" s="33">
        <f>'minyak mentah'!H125</f>
        <v>69.33</v>
      </c>
      <c r="F121" s="46">
        <f>emas!H125</f>
        <v>1829000</v>
      </c>
    </row>
    <row r="122" spans="1:6" x14ac:dyDescent="0.3">
      <c r="A122" s="35">
        <f>inflasi!$G126</f>
        <v>45810</v>
      </c>
      <c r="B122" s="33">
        <f>inflasi!$H126</f>
        <v>1.87</v>
      </c>
      <c r="C122" s="33">
        <f>'suku bunga'!$H126</f>
        <v>5.5</v>
      </c>
      <c r="D122" s="48">
        <f>'nilai tukar'!$H126</f>
        <v>16297</v>
      </c>
      <c r="E122" s="33">
        <f>'minyak mentah'!H126</f>
        <v>69.33</v>
      </c>
      <c r="F122" s="46">
        <f>emas!H126</f>
        <v>1815000</v>
      </c>
    </row>
    <row r="123" spans="1:6" x14ac:dyDescent="0.3">
      <c r="A123" s="35">
        <f>inflasi!$G127</f>
        <v>45809</v>
      </c>
      <c r="B123" s="33">
        <f>inflasi!$H127</f>
        <v>1.87</v>
      </c>
      <c r="C123" s="33">
        <f>'suku bunga'!$H127</f>
        <v>5.5</v>
      </c>
      <c r="D123" s="48">
        <f>'nilai tukar'!$H127</f>
        <v>16300</v>
      </c>
      <c r="E123" s="33">
        <f>'minyak mentah'!H127</f>
        <v>69.33</v>
      </c>
      <c r="F123" s="46">
        <f>emas!H127</f>
        <v>1748800</v>
      </c>
    </row>
    <row r="124" spans="1:6" x14ac:dyDescent="0.3">
      <c r="A124" s="35">
        <f>inflasi!$G128</f>
        <v>45808</v>
      </c>
      <c r="B124" s="33">
        <f>inflasi!$H128</f>
        <v>1.6</v>
      </c>
      <c r="C124" s="33">
        <f>'suku bunga'!$H128</f>
        <v>5.5</v>
      </c>
      <c r="D124" s="48">
        <f>'nilai tukar'!$H128</f>
        <v>16300</v>
      </c>
      <c r="E124" s="33">
        <f>'minyak mentah'!H128</f>
        <v>62.75</v>
      </c>
      <c r="F124" s="46">
        <f>emas!H128</f>
        <v>1748800</v>
      </c>
    </row>
    <row r="125" spans="1:6" x14ac:dyDescent="0.3">
      <c r="A125" s="35">
        <f>inflasi!$G129</f>
        <v>45807</v>
      </c>
      <c r="B125" s="33">
        <f>inflasi!$H129</f>
        <v>1.6</v>
      </c>
      <c r="C125" s="33">
        <f>'suku bunga'!$H129</f>
        <v>5.5</v>
      </c>
      <c r="D125" s="48">
        <f>'nilai tukar'!$H129</f>
        <v>16300</v>
      </c>
      <c r="E125" s="33">
        <f>'minyak mentah'!H129</f>
        <v>62.75</v>
      </c>
      <c r="F125" s="46">
        <f>emas!H129</f>
        <v>1740600</v>
      </c>
    </row>
    <row r="126" spans="1:6" x14ac:dyDescent="0.3">
      <c r="A126" s="35">
        <f>inflasi!$G130</f>
        <v>45806</v>
      </c>
      <c r="B126" s="33">
        <f>inflasi!$H130</f>
        <v>1.6</v>
      </c>
      <c r="C126" s="33">
        <f>'suku bunga'!$H130</f>
        <v>5.5</v>
      </c>
      <c r="D126" s="48">
        <f>'nilai tukar'!$H130</f>
        <v>16300</v>
      </c>
      <c r="E126" s="33">
        <f>'minyak mentah'!H130</f>
        <v>62.75</v>
      </c>
      <c r="F126" s="46">
        <f>emas!H130</f>
        <v>1759200</v>
      </c>
    </row>
    <row r="127" spans="1:6" x14ac:dyDescent="0.3">
      <c r="A127" s="35">
        <f>inflasi!$G131</f>
        <v>45805</v>
      </c>
      <c r="B127" s="33">
        <f>inflasi!$H131</f>
        <v>1.6</v>
      </c>
      <c r="C127" s="33">
        <f>'suku bunga'!$H131</f>
        <v>5.5</v>
      </c>
      <c r="D127" s="48">
        <f>'nilai tukar'!$H131</f>
        <v>16300</v>
      </c>
      <c r="E127" s="33">
        <f>'minyak mentah'!H131</f>
        <v>62.75</v>
      </c>
      <c r="F127" s="46">
        <f>emas!H131</f>
        <v>1749700</v>
      </c>
    </row>
    <row r="128" spans="1:6" x14ac:dyDescent="0.3">
      <c r="A128" s="35">
        <f>inflasi!$G132</f>
        <v>45804</v>
      </c>
      <c r="B128" s="33">
        <f>inflasi!$H132</f>
        <v>1.6</v>
      </c>
      <c r="C128" s="33">
        <f>'suku bunga'!$H132</f>
        <v>5.5</v>
      </c>
      <c r="D128" s="48">
        <f>'nilai tukar'!$H132</f>
        <v>16255</v>
      </c>
      <c r="E128" s="33">
        <f>'minyak mentah'!H132</f>
        <v>62.75</v>
      </c>
      <c r="F128" s="46">
        <f>emas!H132</f>
        <v>1746400</v>
      </c>
    </row>
    <row r="129" spans="1:6" x14ac:dyDescent="0.3">
      <c r="A129" s="35">
        <f>inflasi!$G133</f>
        <v>45803</v>
      </c>
      <c r="B129" s="33">
        <f>inflasi!$H133</f>
        <v>1.6</v>
      </c>
      <c r="C129" s="33">
        <f>'suku bunga'!$H133</f>
        <v>5.5</v>
      </c>
      <c r="D129" s="48">
        <f>'nilai tukar'!$H133</f>
        <v>16207</v>
      </c>
      <c r="E129" s="33">
        <f>'minyak mentah'!H133</f>
        <v>62.75</v>
      </c>
      <c r="F129" s="46">
        <f>emas!H133</f>
        <v>1766700</v>
      </c>
    </row>
    <row r="130" spans="1:6" x14ac:dyDescent="0.3">
      <c r="A130" s="35">
        <f>inflasi!$G134</f>
        <v>45802</v>
      </c>
      <c r="B130" s="33">
        <f>inflasi!$H134</f>
        <v>1.6</v>
      </c>
      <c r="C130" s="33">
        <f>'suku bunga'!$H134</f>
        <v>5.5</v>
      </c>
      <c r="D130" s="48">
        <f>'nilai tukar'!$H134</f>
        <v>16289</v>
      </c>
      <c r="E130" s="33">
        <f>'minyak mentah'!H134</f>
        <v>62.75</v>
      </c>
      <c r="F130" s="46">
        <f>emas!H134</f>
        <v>1777600</v>
      </c>
    </row>
    <row r="131" spans="1:6" x14ac:dyDescent="0.3">
      <c r="A131" s="35">
        <f>inflasi!$G135</f>
        <v>45801</v>
      </c>
      <c r="B131" s="33">
        <f>inflasi!$H135</f>
        <v>1.6</v>
      </c>
      <c r="C131" s="33">
        <f>'suku bunga'!$H135</f>
        <v>5.5</v>
      </c>
      <c r="D131" s="48">
        <f>'nilai tukar'!$H135</f>
        <v>16289</v>
      </c>
      <c r="E131" s="33">
        <f>'minyak mentah'!H135</f>
        <v>62.75</v>
      </c>
      <c r="F131" s="46">
        <f>emas!H135</f>
        <v>1777600</v>
      </c>
    </row>
    <row r="132" spans="1:6" x14ac:dyDescent="0.3">
      <c r="A132" s="35">
        <f>inflasi!$G136</f>
        <v>45800</v>
      </c>
      <c r="B132" s="33">
        <f>inflasi!$H136</f>
        <v>1.6</v>
      </c>
      <c r="C132" s="33">
        <f>'suku bunga'!$H136</f>
        <v>5.5</v>
      </c>
      <c r="D132" s="48">
        <f>'nilai tukar'!$H136</f>
        <v>16289</v>
      </c>
      <c r="E132" s="33">
        <f>'minyak mentah'!H136</f>
        <v>62.75</v>
      </c>
      <c r="F132" s="46">
        <f>emas!H136</f>
        <v>1785700</v>
      </c>
    </row>
    <row r="133" spans="1:6" x14ac:dyDescent="0.3">
      <c r="A133" s="35">
        <f>inflasi!$G137</f>
        <v>45799</v>
      </c>
      <c r="B133" s="33">
        <f>inflasi!$H137</f>
        <v>1.6</v>
      </c>
      <c r="C133" s="33">
        <f>'suku bunga'!$H137</f>
        <v>5.5</v>
      </c>
      <c r="D133" s="48">
        <f>'nilai tukar'!$H137</f>
        <v>16313</v>
      </c>
      <c r="E133" s="33">
        <f>'minyak mentah'!H137</f>
        <v>62.75</v>
      </c>
      <c r="F133" s="46">
        <f>emas!H137</f>
        <v>1755000</v>
      </c>
    </row>
    <row r="134" spans="1:6" x14ac:dyDescent="0.3">
      <c r="A134" s="35">
        <f>inflasi!$G138</f>
        <v>45798</v>
      </c>
      <c r="B134" s="33">
        <f>inflasi!$H138</f>
        <v>1.6</v>
      </c>
      <c r="C134" s="33">
        <f>'suku bunga'!$H138</f>
        <v>5.5</v>
      </c>
      <c r="D134" s="48">
        <f>'nilai tukar'!$H138</f>
        <v>16413</v>
      </c>
      <c r="E134" s="33">
        <f>'minyak mentah'!H138</f>
        <v>62.75</v>
      </c>
      <c r="F134" s="46">
        <f>emas!H138</f>
        <v>1767400</v>
      </c>
    </row>
    <row r="135" spans="1:6" x14ac:dyDescent="0.3">
      <c r="A135" s="35">
        <f>inflasi!$G139</f>
        <v>45797</v>
      </c>
      <c r="B135" s="33">
        <f>inflasi!$H139</f>
        <v>1.6</v>
      </c>
      <c r="C135" s="33">
        <f>'suku bunga'!$H139</f>
        <v>5.75</v>
      </c>
      <c r="D135" s="48">
        <f>'nilai tukar'!$H139</f>
        <v>16406</v>
      </c>
      <c r="E135" s="33">
        <f>'minyak mentah'!H139</f>
        <v>62.75</v>
      </c>
      <c r="F135" s="46">
        <f>emas!H139</f>
        <v>1758000</v>
      </c>
    </row>
    <row r="136" spans="1:6" x14ac:dyDescent="0.3">
      <c r="A136" s="35">
        <f>inflasi!$G140</f>
        <v>45796</v>
      </c>
      <c r="B136" s="33">
        <f>inflasi!$H140</f>
        <v>1.6</v>
      </c>
      <c r="C136" s="33">
        <f>'suku bunga'!$H140</f>
        <v>5.75</v>
      </c>
      <c r="D136" s="48">
        <f>'nilai tukar'!$H140</f>
        <v>16455</v>
      </c>
      <c r="E136" s="33">
        <f>'minyak mentah'!H140</f>
        <v>62.75</v>
      </c>
      <c r="F136" s="46">
        <f>emas!H140</f>
        <v>1733100</v>
      </c>
    </row>
    <row r="137" spans="1:6" x14ac:dyDescent="0.3">
      <c r="A137" s="35">
        <f>inflasi!$G141</f>
        <v>45795</v>
      </c>
      <c r="B137" s="33">
        <f>inflasi!$H141</f>
        <v>1.6</v>
      </c>
      <c r="C137" s="33">
        <f>'suku bunga'!$H141</f>
        <v>5.75</v>
      </c>
      <c r="D137" s="48">
        <f>'nilai tukar'!$H141</f>
        <v>16424</v>
      </c>
      <c r="E137" s="33">
        <f>'minyak mentah'!H141</f>
        <v>62.75</v>
      </c>
      <c r="F137" s="46">
        <f>emas!H141</f>
        <v>1715400</v>
      </c>
    </row>
    <row r="138" spans="1:6" x14ac:dyDescent="0.3">
      <c r="A138" s="35">
        <f>inflasi!$G142</f>
        <v>45794</v>
      </c>
      <c r="B138" s="33">
        <f>inflasi!$H142</f>
        <v>1.6</v>
      </c>
      <c r="C138" s="33">
        <f>'suku bunga'!$H142</f>
        <v>5.75</v>
      </c>
      <c r="D138" s="48">
        <f>'nilai tukar'!$H142</f>
        <v>16424</v>
      </c>
      <c r="E138" s="33">
        <f>'minyak mentah'!H142</f>
        <v>62.75</v>
      </c>
      <c r="F138" s="46">
        <f>emas!H142</f>
        <v>1715400</v>
      </c>
    </row>
    <row r="139" spans="1:6" x14ac:dyDescent="0.3">
      <c r="A139" s="35">
        <f>inflasi!$G143</f>
        <v>45793</v>
      </c>
      <c r="B139" s="33">
        <f>inflasi!$H143</f>
        <v>1.6</v>
      </c>
      <c r="C139" s="33">
        <f>'suku bunga'!$H143</f>
        <v>5.75</v>
      </c>
      <c r="D139" s="48">
        <f>'nilai tukar'!$H143</f>
        <v>16424</v>
      </c>
      <c r="E139" s="33">
        <f>'minyak mentah'!H143</f>
        <v>62.75</v>
      </c>
      <c r="F139" s="46">
        <f>emas!H143</f>
        <v>1708700</v>
      </c>
    </row>
    <row r="140" spans="1:6" x14ac:dyDescent="0.3">
      <c r="A140" s="35">
        <f>inflasi!$G144</f>
        <v>45792</v>
      </c>
      <c r="B140" s="33">
        <f>inflasi!$H144</f>
        <v>1.6</v>
      </c>
      <c r="C140" s="33">
        <f>'suku bunga'!$H144</f>
        <v>5.75</v>
      </c>
      <c r="D140" s="48">
        <f>'nilai tukar'!$H144</f>
        <v>16535</v>
      </c>
      <c r="E140" s="33">
        <f>'minyak mentah'!H144</f>
        <v>62.75</v>
      </c>
      <c r="F140" s="46">
        <f>emas!H144</f>
        <v>1722900</v>
      </c>
    </row>
    <row r="141" spans="1:6" x14ac:dyDescent="0.3">
      <c r="A141" s="35">
        <f>inflasi!$G145</f>
        <v>45791</v>
      </c>
      <c r="B141" s="33">
        <f>inflasi!$H145</f>
        <v>1.6</v>
      </c>
      <c r="C141" s="33">
        <f>'suku bunga'!$H145</f>
        <v>5.75</v>
      </c>
      <c r="D141" s="48">
        <f>'nilai tukar'!$H145</f>
        <v>16568</v>
      </c>
      <c r="E141" s="33">
        <f>'minyak mentah'!H145</f>
        <v>62.75</v>
      </c>
      <c r="F141" s="46">
        <f>emas!H145</f>
        <v>1726000</v>
      </c>
    </row>
    <row r="142" spans="1:6" x14ac:dyDescent="0.3">
      <c r="A142" s="35">
        <f>inflasi!$G146</f>
        <v>45790</v>
      </c>
      <c r="B142" s="33">
        <f>inflasi!$H146</f>
        <v>1.6</v>
      </c>
      <c r="C142" s="33">
        <f>'suku bunga'!$H146</f>
        <v>5.75</v>
      </c>
      <c r="D142" s="48">
        <f>'nilai tukar'!$H146</f>
        <v>16532</v>
      </c>
      <c r="E142" s="33">
        <f>'minyak mentah'!H146</f>
        <v>62.75</v>
      </c>
      <c r="F142" s="46">
        <f>emas!H146</f>
        <v>1758400</v>
      </c>
    </row>
    <row r="143" spans="1:6" x14ac:dyDescent="0.3">
      <c r="A143" s="35">
        <f>inflasi!$G147</f>
        <v>45789</v>
      </c>
      <c r="B143" s="33">
        <f>inflasi!$H147</f>
        <v>1.6</v>
      </c>
      <c r="C143" s="33">
        <f>'suku bunga'!$H147</f>
        <v>5.75</v>
      </c>
      <c r="D143" s="48">
        <f>'nilai tukar'!$H147</f>
        <v>16532</v>
      </c>
      <c r="E143" s="33">
        <f>'minyak mentah'!H147</f>
        <v>62.75</v>
      </c>
      <c r="F143" s="46">
        <f>emas!H147</f>
        <v>1742400</v>
      </c>
    </row>
    <row r="144" spans="1:6" x14ac:dyDescent="0.3">
      <c r="A144" s="35">
        <f>inflasi!$G148</f>
        <v>45788</v>
      </c>
      <c r="B144" s="33">
        <f>inflasi!$H148</f>
        <v>1.6</v>
      </c>
      <c r="C144" s="33">
        <f>'suku bunga'!$H148</f>
        <v>5.75</v>
      </c>
      <c r="D144" s="48">
        <f>'nilai tukar'!$H148</f>
        <v>16532</v>
      </c>
      <c r="E144" s="33">
        <f>'minyak mentah'!H148</f>
        <v>62.75</v>
      </c>
      <c r="F144" s="46">
        <f>emas!H148</f>
        <v>1790000</v>
      </c>
    </row>
    <row r="145" spans="1:6" x14ac:dyDescent="0.3">
      <c r="A145" s="35">
        <f>inflasi!$G149</f>
        <v>45787</v>
      </c>
      <c r="B145" s="33">
        <f>inflasi!$H149</f>
        <v>1.6</v>
      </c>
      <c r="C145" s="33">
        <f>'suku bunga'!$H149</f>
        <v>5.75</v>
      </c>
      <c r="D145" s="48">
        <f>'nilai tukar'!$H149</f>
        <v>16532</v>
      </c>
      <c r="E145" s="33">
        <f>'minyak mentah'!H149</f>
        <v>62.75</v>
      </c>
      <c r="F145" s="46">
        <f>emas!H149</f>
        <v>1790000</v>
      </c>
    </row>
    <row r="146" spans="1:6" x14ac:dyDescent="0.3">
      <c r="A146" s="35">
        <f>inflasi!$G150</f>
        <v>45786</v>
      </c>
      <c r="B146" s="33">
        <f>inflasi!$H150</f>
        <v>1.6</v>
      </c>
      <c r="C146" s="33">
        <f>'suku bunga'!$H150</f>
        <v>5.75</v>
      </c>
      <c r="D146" s="48">
        <f>'nilai tukar'!$H150</f>
        <v>16532</v>
      </c>
      <c r="E146" s="33">
        <f>'minyak mentah'!H150</f>
        <v>62.75</v>
      </c>
      <c r="F146" s="46">
        <f>emas!H150</f>
        <v>1792300</v>
      </c>
    </row>
    <row r="147" spans="1:6" x14ac:dyDescent="0.3">
      <c r="A147" s="35">
        <f>inflasi!$G151</f>
        <v>45785</v>
      </c>
      <c r="B147" s="33">
        <f>inflasi!$H151</f>
        <v>1.6</v>
      </c>
      <c r="C147" s="33">
        <f>'suku bunga'!$H151</f>
        <v>5.75</v>
      </c>
      <c r="D147" s="48">
        <f>'nilai tukar'!$H151</f>
        <v>16497</v>
      </c>
      <c r="E147" s="33">
        <f>'minyak mentah'!H151</f>
        <v>62.75</v>
      </c>
      <c r="F147" s="46">
        <f>emas!H151</f>
        <v>1806100</v>
      </c>
    </row>
    <row r="148" spans="1:6" x14ac:dyDescent="0.3">
      <c r="A148" s="35">
        <f>inflasi!$G152</f>
        <v>45784</v>
      </c>
      <c r="B148" s="33">
        <f>inflasi!$H152</f>
        <v>1.6</v>
      </c>
      <c r="C148" s="33">
        <f>'suku bunga'!$H152</f>
        <v>5.75</v>
      </c>
      <c r="D148" s="48">
        <f>'nilai tukar'!$H152</f>
        <v>16533</v>
      </c>
      <c r="E148" s="33">
        <f>'minyak mentah'!H152</f>
        <v>62.75</v>
      </c>
      <c r="F148" s="46">
        <f>emas!H152</f>
        <v>1808800</v>
      </c>
    </row>
    <row r="149" spans="1:6" x14ac:dyDescent="0.3">
      <c r="A149" s="35">
        <f>inflasi!$G153</f>
        <v>45783</v>
      </c>
      <c r="B149" s="33">
        <f>inflasi!$H153</f>
        <v>1.6</v>
      </c>
      <c r="C149" s="33">
        <f>'suku bunga'!$H153</f>
        <v>5.75</v>
      </c>
      <c r="D149" s="48">
        <f>'nilai tukar'!$H153</f>
        <v>16472</v>
      </c>
      <c r="E149" s="33">
        <f>'minyak mentah'!H153</f>
        <v>62.75</v>
      </c>
      <c r="F149" s="46">
        <f>emas!H153</f>
        <v>1810800</v>
      </c>
    </row>
    <row r="150" spans="1:6" x14ac:dyDescent="0.3">
      <c r="A150" s="35">
        <f>inflasi!$G154</f>
        <v>45782</v>
      </c>
      <c r="B150" s="33">
        <f>inflasi!$H154</f>
        <v>1.6</v>
      </c>
      <c r="C150" s="33">
        <f>'suku bunga'!$H154</f>
        <v>5.75</v>
      </c>
      <c r="D150" s="48">
        <f>'nilai tukar'!$H154</f>
        <v>16421</v>
      </c>
      <c r="E150" s="33">
        <f>'minyak mentah'!H154</f>
        <v>62.75</v>
      </c>
      <c r="F150" s="46">
        <f>emas!H154</f>
        <v>1774000</v>
      </c>
    </row>
    <row r="151" spans="1:6" x14ac:dyDescent="0.3">
      <c r="A151" s="35">
        <f>inflasi!$G155</f>
        <v>45781</v>
      </c>
      <c r="B151" s="33">
        <f>inflasi!$H155</f>
        <v>1.6</v>
      </c>
      <c r="C151" s="33">
        <f>'suku bunga'!$H155</f>
        <v>5.75</v>
      </c>
      <c r="D151" s="48">
        <f>'nilai tukar'!$H155</f>
        <v>16493</v>
      </c>
      <c r="E151" s="33">
        <f>'minyak mentah'!H155</f>
        <v>62.75</v>
      </c>
      <c r="F151" s="46">
        <f>emas!H155</f>
        <v>1734800</v>
      </c>
    </row>
    <row r="152" spans="1:6" x14ac:dyDescent="0.3">
      <c r="A152" s="35">
        <f>inflasi!$G156</f>
        <v>45780</v>
      </c>
      <c r="B152" s="33">
        <f>inflasi!$H156</f>
        <v>1.6</v>
      </c>
      <c r="C152" s="33">
        <f>'suku bunga'!$H156</f>
        <v>5.75</v>
      </c>
      <c r="D152" s="48">
        <f>'nilai tukar'!$H156</f>
        <v>16493</v>
      </c>
      <c r="E152" s="33">
        <f>'minyak mentah'!H156</f>
        <v>62.75</v>
      </c>
      <c r="F152" s="46">
        <f>emas!H156</f>
        <v>1734800</v>
      </c>
    </row>
    <row r="153" spans="1:6" x14ac:dyDescent="0.3">
      <c r="A153" s="35">
        <f>inflasi!$G157</f>
        <v>45779</v>
      </c>
      <c r="B153" s="33">
        <f>inflasi!$H157</f>
        <v>1.6</v>
      </c>
      <c r="C153" s="33">
        <f>'suku bunga'!$H157</f>
        <v>5.75</v>
      </c>
      <c r="D153" s="48">
        <f>'nilai tukar'!$H157</f>
        <v>16493</v>
      </c>
      <c r="E153" s="33">
        <f>'minyak mentah'!H157</f>
        <v>62.75</v>
      </c>
      <c r="F153" s="46">
        <f>emas!H157</f>
        <v>1765300</v>
      </c>
    </row>
    <row r="154" spans="1:6" x14ac:dyDescent="0.3">
      <c r="A154" s="35">
        <f>inflasi!$G158</f>
        <v>45778</v>
      </c>
      <c r="B154" s="33">
        <f>inflasi!$H158</f>
        <v>1.6</v>
      </c>
      <c r="C154" s="33">
        <f>'suku bunga'!$H158</f>
        <v>5.75</v>
      </c>
      <c r="D154" s="48">
        <f>'nilai tukar'!$H158</f>
        <v>16679</v>
      </c>
      <c r="E154" s="33">
        <f>'minyak mentah'!H158</f>
        <v>62.75</v>
      </c>
      <c r="F154" s="46">
        <f>emas!H158</f>
        <v>1742200</v>
      </c>
    </row>
    <row r="155" spans="1:6" x14ac:dyDescent="0.3">
      <c r="A155" s="35">
        <f>inflasi!$G159</f>
        <v>45777</v>
      </c>
      <c r="B155" s="33">
        <f>inflasi!$H159</f>
        <v>1.95</v>
      </c>
      <c r="C155" s="33">
        <f>'suku bunga'!$H159</f>
        <v>5.75</v>
      </c>
      <c r="D155" s="48">
        <f>'nilai tukar'!$H159</f>
        <v>16679</v>
      </c>
      <c r="E155" s="33">
        <f>'minyak mentah'!H159</f>
        <v>65.290000000000006</v>
      </c>
      <c r="F155" s="46">
        <f>emas!H159</f>
        <v>1801900</v>
      </c>
    </row>
    <row r="156" spans="1:6" x14ac:dyDescent="0.3">
      <c r="A156" s="35">
        <f>inflasi!$G160</f>
        <v>45776</v>
      </c>
      <c r="B156" s="33">
        <f>inflasi!$H160</f>
        <v>1.95</v>
      </c>
      <c r="C156" s="33">
        <f>'suku bunga'!$H160</f>
        <v>5.75</v>
      </c>
      <c r="D156" s="48">
        <f>'nilai tukar'!$H160</f>
        <v>16787</v>
      </c>
      <c r="E156" s="33">
        <f>'minyak mentah'!H160</f>
        <v>65.290000000000006</v>
      </c>
      <c r="F156" s="46">
        <f>emas!H160</f>
        <v>1813400</v>
      </c>
    </row>
    <row r="157" spans="1:6" x14ac:dyDescent="0.3">
      <c r="A157" s="35">
        <f>inflasi!$G161</f>
        <v>45775</v>
      </c>
      <c r="B157" s="33">
        <f>inflasi!$H161</f>
        <v>1.95</v>
      </c>
      <c r="C157" s="33">
        <f>'suku bunga'!$H161</f>
        <v>5.75</v>
      </c>
      <c r="D157" s="48">
        <f>'nilai tukar'!$H161</f>
        <v>16862</v>
      </c>
      <c r="E157" s="33">
        <f>'minyak mentah'!H161</f>
        <v>65.290000000000006</v>
      </c>
      <c r="F157" s="46">
        <f>emas!H161</f>
        <v>1825500</v>
      </c>
    </row>
    <row r="158" spans="1:6" x14ac:dyDescent="0.3">
      <c r="A158" s="35">
        <f>inflasi!$G162</f>
        <v>45774</v>
      </c>
      <c r="B158" s="33">
        <f>inflasi!$H162</f>
        <v>1.95</v>
      </c>
      <c r="C158" s="33">
        <f>'suku bunga'!$H162</f>
        <v>5.75</v>
      </c>
      <c r="D158" s="48">
        <f>'nilai tukar'!$H162</f>
        <v>16829</v>
      </c>
      <c r="E158" s="33">
        <f>'minyak mentah'!H162</f>
        <v>65.290000000000006</v>
      </c>
      <c r="F158" s="46">
        <f>emas!H162</f>
        <v>1819700</v>
      </c>
    </row>
    <row r="159" spans="1:6" x14ac:dyDescent="0.3">
      <c r="A159" s="35">
        <f>inflasi!$G163</f>
        <v>45773</v>
      </c>
      <c r="B159" s="33">
        <f>inflasi!$H163</f>
        <v>1.95</v>
      </c>
      <c r="C159" s="33">
        <f>'suku bunga'!$H163</f>
        <v>5.75</v>
      </c>
      <c r="D159" s="48">
        <f>'nilai tukar'!$H163</f>
        <v>16829</v>
      </c>
      <c r="E159" s="33">
        <f>'minyak mentah'!H163</f>
        <v>65.290000000000006</v>
      </c>
      <c r="F159" s="46">
        <f>emas!H163</f>
        <v>1819700</v>
      </c>
    </row>
    <row r="160" spans="1:6" x14ac:dyDescent="0.3">
      <c r="A160" s="35">
        <f>inflasi!$G164</f>
        <v>45772</v>
      </c>
      <c r="B160" s="33">
        <f>inflasi!$H164</f>
        <v>1.95</v>
      </c>
      <c r="C160" s="33">
        <f>'suku bunga'!$H164</f>
        <v>5.75</v>
      </c>
      <c r="D160" s="48">
        <f>'nilai tukar'!$H164</f>
        <v>16829</v>
      </c>
      <c r="E160" s="33">
        <f>'minyak mentah'!H164</f>
        <v>65.290000000000006</v>
      </c>
      <c r="F160" s="46">
        <f>emas!H164</f>
        <v>1796800</v>
      </c>
    </row>
    <row r="161" spans="1:6" x14ac:dyDescent="0.3">
      <c r="A161" s="35">
        <f>inflasi!$G165</f>
        <v>45771</v>
      </c>
      <c r="B161" s="33">
        <f>inflasi!$H165</f>
        <v>1.95</v>
      </c>
      <c r="C161" s="33">
        <f>'suku bunga'!$H165</f>
        <v>5.75</v>
      </c>
      <c r="D161" s="48">
        <f>'nilai tukar'!$H165</f>
        <v>16884</v>
      </c>
      <c r="E161" s="33">
        <f>'minyak mentah'!H165</f>
        <v>65.290000000000006</v>
      </c>
      <c r="F161" s="46">
        <f>emas!H165</f>
        <v>1827400</v>
      </c>
    </row>
    <row r="162" spans="1:6" x14ac:dyDescent="0.3">
      <c r="A162" s="35">
        <f>inflasi!$G166</f>
        <v>45770</v>
      </c>
      <c r="B162" s="33">
        <f>inflasi!$H166</f>
        <v>1.95</v>
      </c>
      <c r="C162" s="33">
        <f>'suku bunga'!$H166</f>
        <v>5.75</v>
      </c>
      <c r="D162" s="48">
        <f>'nilai tukar'!$H166</f>
        <v>16880</v>
      </c>
      <c r="E162" s="33">
        <f>'minyak mentah'!H166</f>
        <v>65.290000000000006</v>
      </c>
      <c r="F162" s="46">
        <f>emas!H166</f>
        <v>1802900</v>
      </c>
    </row>
    <row r="163" spans="1:6" x14ac:dyDescent="0.3">
      <c r="A163" s="35">
        <f>inflasi!$G167</f>
        <v>45769</v>
      </c>
      <c r="B163" s="33">
        <f>inflasi!$H167</f>
        <v>1.95</v>
      </c>
      <c r="C163" s="33">
        <f>'suku bunga'!$H167</f>
        <v>5.75</v>
      </c>
      <c r="D163" s="48">
        <f>'nilai tukar'!$H167</f>
        <v>16862</v>
      </c>
      <c r="E163" s="33">
        <f>'minyak mentah'!H167</f>
        <v>65.290000000000006</v>
      </c>
      <c r="F163" s="46">
        <f>emas!H167</f>
        <v>1880100</v>
      </c>
    </row>
    <row r="164" spans="1:6" x14ac:dyDescent="0.3">
      <c r="A164" s="35">
        <f>inflasi!$G168</f>
        <v>45768</v>
      </c>
      <c r="B164" s="33">
        <f>inflasi!$H168</f>
        <v>1.95</v>
      </c>
      <c r="C164" s="33">
        <f>'suku bunga'!$H168</f>
        <v>5.75</v>
      </c>
      <c r="D164" s="48">
        <f>'nilai tukar'!$H168</f>
        <v>16808</v>
      </c>
      <c r="E164" s="33">
        <f>'minyak mentah'!H168</f>
        <v>65.290000000000006</v>
      </c>
      <c r="F164" s="46">
        <f>emas!H168</f>
        <v>1873000</v>
      </c>
    </row>
    <row r="165" spans="1:6" x14ac:dyDescent="0.3">
      <c r="A165" s="35">
        <f>inflasi!$G169</f>
        <v>45767</v>
      </c>
      <c r="B165" s="33">
        <f>inflasi!$H169</f>
        <v>1.95</v>
      </c>
      <c r="C165" s="33">
        <f>'suku bunga'!$H169</f>
        <v>5.75</v>
      </c>
      <c r="D165" s="48">
        <f>'nilai tukar'!$H169</f>
        <v>16833</v>
      </c>
      <c r="E165" s="33">
        <f>'minyak mentah'!H169</f>
        <v>65.290000000000006</v>
      </c>
      <c r="F165" s="46">
        <f>emas!H169</f>
        <v>1819500</v>
      </c>
    </row>
    <row r="166" spans="1:6" x14ac:dyDescent="0.3">
      <c r="A166" s="35">
        <f>inflasi!$G170</f>
        <v>45766</v>
      </c>
      <c r="B166" s="33">
        <f>inflasi!$H170</f>
        <v>1.95</v>
      </c>
      <c r="C166" s="33">
        <f>'suku bunga'!$H170</f>
        <v>5.75</v>
      </c>
      <c r="D166" s="48">
        <f>'nilai tukar'!$H170</f>
        <v>16833</v>
      </c>
      <c r="E166" s="33">
        <f>'minyak mentah'!H170</f>
        <v>65.290000000000006</v>
      </c>
      <c r="F166" s="46">
        <f>emas!H170</f>
        <v>1819500</v>
      </c>
    </row>
    <row r="167" spans="1:6" x14ac:dyDescent="0.3">
      <c r="A167" s="35">
        <f>inflasi!$G171</f>
        <v>45765</v>
      </c>
      <c r="B167" s="33">
        <f>inflasi!$H171</f>
        <v>1.95</v>
      </c>
      <c r="C167" s="33">
        <f>'suku bunga'!$H171</f>
        <v>5.75</v>
      </c>
      <c r="D167" s="48">
        <f>'nilai tukar'!$H171</f>
        <v>16833</v>
      </c>
      <c r="E167" s="33">
        <f>'minyak mentah'!H171</f>
        <v>65.290000000000006</v>
      </c>
      <c r="F167" s="46">
        <f>emas!H171</f>
        <v>1819500</v>
      </c>
    </row>
    <row r="168" spans="1:6" x14ac:dyDescent="0.3">
      <c r="A168" s="35">
        <f>inflasi!$G172</f>
        <v>45764</v>
      </c>
      <c r="B168" s="33">
        <f>inflasi!$H172</f>
        <v>1.95</v>
      </c>
      <c r="C168" s="33">
        <f>'suku bunga'!$H172</f>
        <v>5.75</v>
      </c>
      <c r="D168" s="48">
        <f>'nilai tukar'!$H172</f>
        <v>16833</v>
      </c>
      <c r="E168" s="33">
        <f>'minyak mentah'!H172</f>
        <v>65.290000000000006</v>
      </c>
      <c r="F168" s="46">
        <f>emas!H172</f>
        <v>1798300</v>
      </c>
    </row>
    <row r="169" spans="1:6" x14ac:dyDescent="0.3">
      <c r="A169" s="35">
        <f>inflasi!$G173</f>
        <v>45763</v>
      </c>
      <c r="B169" s="33">
        <f>inflasi!$H173</f>
        <v>1.95</v>
      </c>
      <c r="C169" s="33">
        <f>'suku bunga'!$H173</f>
        <v>5.75</v>
      </c>
      <c r="D169" s="48">
        <f>'nilai tukar'!$H173</f>
        <v>16845</v>
      </c>
      <c r="E169" s="33">
        <f>'minyak mentah'!H173</f>
        <v>65.290000000000006</v>
      </c>
      <c r="F169" s="46">
        <f>emas!H173</f>
        <v>1814300</v>
      </c>
    </row>
    <row r="170" spans="1:6" x14ac:dyDescent="0.3">
      <c r="A170" s="35">
        <f>inflasi!$G174</f>
        <v>45762</v>
      </c>
      <c r="B170" s="33">
        <f>inflasi!$H174</f>
        <v>1.95</v>
      </c>
      <c r="C170" s="33">
        <f>'suku bunga'!$H174</f>
        <v>5.75</v>
      </c>
      <c r="D170" s="48">
        <f>'nilai tukar'!$H174</f>
        <v>16815</v>
      </c>
      <c r="E170" s="33">
        <f>'minyak mentah'!H174</f>
        <v>65.290000000000006</v>
      </c>
      <c r="F170" s="46">
        <f>emas!H174</f>
        <v>1763400</v>
      </c>
    </row>
    <row r="171" spans="1:6" x14ac:dyDescent="0.3">
      <c r="A171" s="35">
        <f>inflasi!$G175</f>
        <v>45761</v>
      </c>
      <c r="B171" s="33">
        <f>inflasi!$H175</f>
        <v>1.95</v>
      </c>
      <c r="C171" s="33">
        <f>'suku bunga'!$H175</f>
        <v>5.75</v>
      </c>
      <c r="D171" s="48">
        <f>'nilai tukar'!$H175</f>
        <v>16773</v>
      </c>
      <c r="E171" s="33">
        <f>'minyak mentah'!H175</f>
        <v>65.290000000000006</v>
      </c>
      <c r="F171" s="46">
        <f>emas!H175</f>
        <v>1761600</v>
      </c>
    </row>
    <row r="172" spans="1:6" x14ac:dyDescent="0.3">
      <c r="A172" s="35">
        <f>inflasi!$G176</f>
        <v>45760</v>
      </c>
      <c r="B172" s="33">
        <f>inflasi!$H176</f>
        <v>1.95</v>
      </c>
      <c r="C172" s="33">
        <f>'suku bunga'!$H176</f>
        <v>5.75</v>
      </c>
      <c r="D172" s="48">
        <f>'nilai tukar'!$H176</f>
        <v>16805</v>
      </c>
      <c r="E172" s="33">
        <f>'minyak mentah'!H176</f>
        <v>65.290000000000006</v>
      </c>
      <c r="F172" s="46">
        <f>emas!H176</f>
        <v>1776400</v>
      </c>
    </row>
    <row r="173" spans="1:6" x14ac:dyDescent="0.3">
      <c r="A173" s="35">
        <f>inflasi!$G177</f>
        <v>45759</v>
      </c>
      <c r="B173" s="33">
        <f>inflasi!$H177</f>
        <v>1.95</v>
      </c>
      <c r="C173" s="33">
        <f>'suku bunga'!$H177</f>
        <v>5.75</v>
      </c>
      <c r="D173" s="48">
        <f>'nilai tukar'!$H177</f>
        <v>16805</v>
      </c>
      <c r="E173" s="33">
        <f>'minyak mentah'!H177</f>
        <v>65.290000000000006</v>
      </c>
      <c r="F173" s="46">
        <f>emas!H177</f>
        <v>1776400</v>
      </c>
    </row>
    <row r="174" spans="1:6" x14ac:dyDescent="0.3">
      <c r="A174" s="35">
        <f>inflasi!$G178</f>
        <v>45758</v>
      </c>
      <c r="B174" s="33">
        <f>inflasi!$H178</f>
        <v>1.95</v>
      </c>
      <c r="C174" s="33">
        <f>'suku bunga'!$H178</f>
        <v>5.75</v>
      </c>
      <c r="D174" s="48">
        <f>'nilai tukar'!$H178</f>
        <v>16805</v>
      </c>
      <c r="E174" s="33">
        <f>'minyak mentah'!H178</f>
        <v>65.290000000000006</v>
      </c>
      <c r="F174" s="46">
        <f>emas!H178</f>
        <v>1768600</v>
      </c>
    </row>
    <row r="175" spans="1:6" x14ac:dyDescent="0.3">
      <c r="A175" s="35">
        <f>inflasi!$G179</f>
        <v>45757</v>
      </c>
      <c r="B175" s="33">
        <f>inflasi!$H179</f>
        <v>1.95</v>
      </c>
      <c r="C175" s="33">
        <f>'suku bunga'!$H179</f>
        <v>5.75</v>
      </c>
      <c r="D175" s="48">
        <f>'nilai tukar'!$H179</f>
        <v>16779</v>
      </c>
      <c r="E175" s="33">
        <f>'minyak mentah'!H179</f>
        <v>65.290000000000006</v>
      </c>
      <c r="F175" s="46">
        <f>emas!H179</f>
        <v>1738100</v>
      </c>
    </row>
    <row r="176" spans="1:6" x14ac:dyDescent="0.3">
      <c r="A176" s="35">
        <f>inflasi!$G180</f>
        <v>45756</v>
      </c>
      <c r="B176" s="33">
        <f>inflasi!$H180</f>
        <v>1.95</v>
      </c>
      <c r="C176" s="33">
        <f>'suku bunga'!$H180</f>
        <v>5.75</v>
      </c>
      <c r="D176" s="48">
        <f>'nilai tukar'!$H180</f>
        <v>16943</v>
      </c>
      <c r="E176" s="33">
        <f>'minyak mentah'!H180</f>
        <v>65.290000000000006</v>
      </c>
      <c r="F176" s="46">
        <f>emas!H180</f>
        <v>1688200</v>
      </c>
    </row>
    <row r="177" spans="1:6" x14ac:dyDescent="0.3">
      <c r="A177" s="35">
        <f>inflasi!$G181</f>
        <v>45755</v>
      </c>
      <c r="B177" s="33">
        <f>inflasi!$H181</f>
        <v>1.95</v>
      </c>
      <c r="C177" s="33">
        <f>'suku bunga'!$H181</f>
        <v>5.75</v>
      </c>
      <c r="D177" s="48">
        <f>'nilai tukar'!$H181</f>
        <v>16849</v>
      </c>
      <c r="E177" s="33">
        <f>'minyak mentah'!H181</f>
        <v>65.290000000000006</v>
      </c>
      <c r="F177" s="46">
        <f>emas!H181</f>
        <v>1657700</v>
      </c>
    </row>
    <row r="178" spans="1:6" x14ac:dyDescent="0.3">
      <c r="A178" s="35">
        <f>inflasi!$G182</f>
        <v>45754</v>
      </c>
      <c r="B178" s="33">
        <f>inflasi!$H182</f>
        <v>1.95</v>
      </c>
      <c r="C178" s="33">
        <f>'suku bunga'!$H182</f>
        <v>5.75</v>
      </c>
      <c r="D178" s="48">
        <f>'nilai tukar'!$H182</f>
        <v>16566</v>
      </c>
      <c r="E178" s="33">
        <f>'minyak mentah'!H182</f>
        <v>65.290000000000006</v>
      </c>
      <c r="F178" s="46">
        <f>emas!H182</f>
        <v>1653400</v>
      </c>
    </row>
    <row r="179" spans="1:6" x14ac:dyDescent="0.3">
      <c r="A179" s="35">
        <f>inflasi!$G183</f>
        <v>45753</v>
      </c>
      <c r="B179" s="33">
        <f>inflasi!$H183</f>
        <v>1.95</v>
      </c>
      <c r="C179" s="33">
        <f>'suku bunga'!$H183</f>
        <v>5.75</v>
      </c>
      <c r="D179" s="48">
        <f>'nilai tukar'!$H183</f>
        <v>16566</v>
      </c>
      <c r="E179" s="33">
        <f>'minyak mentah'!H183</f>
        <v>65.290000000000006</v>
      </c>
      <c r="F179" s="46">
        <f>emas!H183</f>
        <v>1673500</v>
      </c>
    </row>
    <row r="180" spans="1:6" x14ac:dyDescent="0.3">
      <c r="A180" s="35">
        <f>inflasi!$G184</f>
        <v>45752</v>
      </c>
      <c r="B180" s="33">
        <f>inflasi!$H184</f>
        <v>1.95</v>
      </c>
      <c r="C180" s="33">
        <f>'suku bunga'!$H184</f>
        <v>5.75</v>
      </c>
      <c r="D180" s="48">
        <f>'nilai tukar'!$H184</f>
        <v>16566</v>
      </c>
      <c r="E180" s="33">
        <f>'minyak mentah'!H184</f>
        <v>65.290000000000006</v>
      </c>
      <c r="F180" s="46">
        <f>emas!H184</f>
        <v>1673500</v>
      </c>
    </row>
    <row r="181" spans="1:6" x14ac:dyDescent="0.3">
      <c r="A181" s="35">
        <f>inflasi!$G185</f>
        <v>45751</v>
      </c>
      <c r="B181" s="33">
        <f>inflasi!$H185</f>
        <v>1.95</v>
      </c>
      <c r="C181" s="33">
        <f>'suku bunga'!$H185</f>
        <v>5.75</v>
      </c>
      <c r="D181" s="48">
        <f>'nilai tukar'!$H185</f>
        <v>16566</v>
      </c>
      <c r="E181" s="33">
        <f>'minyak mentah'!H185</f>
        <v>65.290000000000006</v>
      </c>
      <c r="F181" s="46">
        <f>emas!H185</f>
        <v>1653600</v>
      </c>
    </row>
    <row r="182" spans="1:6" x14ac:dyDescent="0.3">
      <c r="A182" s="35">
        <f>inflasi!$G186</f>
        <v>45750</v>
      </c>
      <c r="B182" s="33">
        <f>inflasi!$H186</f>
        <v>1.95</v>
      </c>
      <c r="C182" s="33">
        <f>'suku bunga'!$H186</f>
        <v>5.75</v>
      </c>
      <c r="D182" s="48">
        <f>'nilai tukar'!$H186</f>
        <v>16566</v>
      </c>
      <c r="E182" s="33">
        <f>'minyak mentah'!H186</f>
        <v>65.290000000000006</v>
      </c>
      <c r="F182" s="46">
        <f>emas!H186</f>
        <v>1701000</v>
      </c>
    </row>
    <row r="183" spans="1:6" x14ac:dyDescent="0.3">
      <c r="A183" s="35">
        <f>inflasi!$G187</f>
        <v>45749</v>
      </c>
      <c r="B183" s="33">
        <f>inflasi!$H187</f>
        <v>1.95</v>
      </c>
      <c r="C183" s="33">
        <f>'suku bunga'!$H187</f>
        <v>5.75</v>
      </c>
      <c r="D183" s="48">
        <f>'nilai tukar'!$H187</f>
        <v>16566</v>
      </c>
      <c r="E183" s="33">
        <f>'minyak mentah'!H187</f>
        <v>65.290000000000006</v>
      </c>
      <c r="F183" s="46">
        <f>emas!H187</f>
        <v>1701000</v>
      </c>
    </row>
    <row r="184" spans="1:6" x14ac:dyDescent="0.3">
      <c r="A184" s="35">
        <f>inflasi!$G188</f>
        <v>45748</v>
      </c>
      <c r="B184" s="33">
        <f>inflasi!$H188</f>
        <v>1.95</v>
      </c>
      <c r="C184" s="33">
        <f>'suku bunga'!$H188</f>
        <v>5.75</v>
      </c>
      <c r="D184" s="48">
        <f>'nilai tukar'!$H188</f>
        <v>16566</v>
      </c>
      <c r="E184" s="33">
        <f>'minyak mentah'!H188</f>
        <v>65.290000000000006</v>
      </c>
      <c r="F184" s="46">
        <f>emas!H188</f>
        <v>1691500</v>
      </c>
    </row>
    <row r="185" spans="1:6" x14ac:dyDescent="0.3">
      <c r="A185" s="35">
        <f>inflasi!$G189</f>
        <v>45747</v>
      </c>
      <c r="B185" s="33">
        <f>inflasi!$H189</f>
        <v>1.03</v>
      </c>
      <c r="C185" s="33">
        <f>'suku bunga'!$H189</f>
        <v>5.75</v>
      </c>
      <c r="D185" s="48">
        <f>'nilai tukar'!$H189</f>
        <v>16566</v>
      </c>
      <c r="E185" s="33">
        <f>'minyak mentah'!H189</f>
        <v>71.11</v>
      </c>
      <c r="F185" s="46">
        <f>emas!H189</f>
        <v>1682700</v>
      </c>
    </row>
    <row r="186" spans="1:6" x14ac:dyDescent="0.3">
      <c r="A186" s="35">
        <f>inflasi!$G190</f>
        <v>45746</v>
      </c>
      <c r="B186" s="33">
        <f>inflasi!$H190</f>
        <v>1.03</v>
      </c>
      <c r="C186" s="33">
        <f>'suku bunga'!$H190</f>
        <v>5.75</v>
      </c>
      <c r="D186" s="48">
        <f>'nilai tukar'!$H190</f>
        <v>16566</v>
      </c>
      <c r="E186" s="33">
        <f>'minyak mentah'!H190</f>
        <v>71.11</v>
      </c>
      <c r="F186" s="46">
        <f>emas!H190</f>
        <v>1663000</v>
      </c>
    </row>
    <row r="187" spans="1:6" x14ac:dyDescent="0.3">
      <c r="A187" s="35">
        <f>inflasi!$G191</f>
        <v>45745</v>
      </c>
      <c r="B187" s="33">
        <f>inflasi!$H191</f>
        <v>1.03</v>
      </c>
      <c r="C187" s="33">
        <f>'suku bunga'!$H191</f>
        <v>5.75</v>
      </c>
      <c r="D187" s="48">
        <f>'nilai tukar'!$H191</f>
        <v>16566</v>
      </c>
      <c r="E187" s="33">
        <f>'minyak mentah'!H191</f>
        <v>71.11</v>
      </c>
      <c r="F187" s="46">
        <f>emas!H191</f>
        <v>1663000</v>
      </c>
    </row>
    <row r="188" spans="1:6" x14ac:dyDescent="0.3">
      <c r="A188" s="35">
        <f>inflasi!$G192</f>
        <v>45744</v>
      </c>
      <c r="B188" s="33">
        <f>inflasi!$H192</f>
        <v>1.03</v>
      </c>
      <c r="C188" s="33">
        <f>'suku bunga'!$H192</f>
        <v>5.75</v>
      </c>
      <c r="D188" s="48">
        <f>'nilai tukar'!$H192</f>
        <v>16566</v>
      </c>
      <c r="E188" s="33">
        <f>'minyak mentah'!H192</f>
        <v>71.11</v>
      </c>
      <c r="F188" s="46">
        <f>emas!H192</f>
        <v>1654400</v>
      </c>
    </row>
    <row r="189" spans="1:6" x14ac:dyDescent="0.3">
      <c r="A189" s="35">
        <f>inflasi!$G193</f>
        <v>45743</v>
      </c>
      <c r="B189" s="33">
        <f>inflasi!$H193</f>
        <v>1.03</v>
      </c>
      <c r="C189" s="33">
        <f>'suku bunga'!$H193</f>
        <v>5.75</v>
      </c>
      <c r="D189" s="48">
        <f>'nilai tukar'!$H193</f>
        <v>16566</v>
      </c>
      <c r="E189" s="33">
        <f>'minyak mentah'!H193</f>
        <v>71.11</v>
      </c>
      <c r="F189" s="46">
        <f>emas!H193</f>
        <v>1650400</v>
      </c>
    </row>
    <row r="190" spans="1:6" x14ac:dyDescent="0.3">
      <c r="A190" s="35">
        <f>inflasi!$G194</f>
        <v>45742</v>
      </c>
      <c r="B190" s="33">
        <f>inflasi!$H194</f>
        <v>1.03</v>
      </c>
      <c r="C190" s="33">
        <f>'suku bunga'!$H194</f>
        <v>5.75</v>
      </c>
      <c r="D190" s="48">
        <f>'nilai tukar'!$H194</f>
        <v>16588</v>
      </c>
      <c r="E190" s="33">
        <f>'minyak mentah'!H194</f>
        <v>71.11</v>
      </c>
      <c r="F190" s="46">
        <f>emas!H194</f>
        <v>1624900</v>
      </c>
    </row>
    <row r="191" spans="1:6" x14ac:dyDescent="0.3">
      <c r="A191" s="35">
        <f>inflasi!$G195</f>
        <v>45741</v>
      </c>
      <c r="B191" s="33">
        <f>inflasi!$H195</f>
        <v>1.03</v>
      </c>
      <c r="C191" s="33">
        <f>'suku bunga'!$H195</f>
        <v>5.75</v>
      </c>
      <c r="D191" s="48">
        <f>'nilai tukar'!$H195</f>
        <v>16622</v>
      </c>
      <c r="E191" s="33">
        <f>'minyak mentah'!H195</f>
        <v>71.11</v>
      </c>
      <c r="F191" s="46">
        <f>emas!H195</f>
        <v>1629000</v>
      </c>
    </row>
    <row r="192" spans="1:6" x14ac:dyDescent="0.3">
      <c r="A192" s="35">
        <f>inflasi!$G196</f>
        <v>45740</v>
      </c>
      <c r="B192" s="33">
        <f>inflasi!$H196</f>
        <v>1.03</v>
      </c>
      <c r="C192" s="33">
        <f>'suku bunga'!$H196</f>
        <v>5.75</v>
      </c>
      <c r="D192" s="48">
        <f>'nilai tukar'!$H196</f>
        <v>16561</v>
      </c>
      <c r="E192" s="33">
        <f>'minyak mentah'!H196</f>
        <v>71.11</v>
      </c>
      <c r="F192" s="46">
        <f>emas!H196</f>
        <v>1616000</v>
      </c>
    </row>
    <row r="193" spans="1:6" x14ac:dyDescent="0.3">
      <c r="A193" s="35">
        <f>inflasi!$G197</f>
        <v>45739</v>
      </c>
      <c r="B193" s="33">
        <f>inflasi!$H197</f>
        <v>1.03</v>
      </c>
      <c r="C193" s="33">
        <f>'suku bunga'!$H197</f>
        <v>5.75</v>
      </c>
      <c r="D193" s="48">
        <f>'nilai tukar'!$H197</f>
        <v>16501</v>
      </c>
      <c r="E193" s="33">
        <f>'minyak mentah'!H197</f>
        <v>71.11</v>
      </c>
      <c r="F193" s="46">
        <f>emas!H197</f>
        <v>1621900</v>
      </c>
    </row>
    <row r="194" spans="1:6" x14ac:dyDescent="0.3">
      <c r="A194" s="35">
        <f>inflasi!$G198</f>
        <v>45738</v>
      </c>
      <c r="B194" s="33">
        <f>inflasi!$H198</f>
        <v>1.03</v>
      </c>
      <c r="C194" s="33">
        <f>'suku bunga'!$H198</f>
        <v>5.75</v>
      </c>
      <c r="D194" s="48">
        <f>'nilai tukar'!$H198</f>
        <v>16501</v>
      </c>
      <c r="E194" s="33">
        <f>'minyak mentah'!H198</f>
        <v>71.11</v>
      </c>
      <c r="F194" s="46">
        <f>emas!H198</f>
        <v>1621900</v>
      </c>
    </row>
    <row r="195" spans="1:6" x14ac:dyDescent="0.3">
      <c r="A195" s="35">
        <f>inflasi!$G199</f>
        <v>45737</v>
      </c>
      <c r="B195" s="33">
        <f>inflasi!$H199</f>
        <v>1.03</v>
      </c>
      <c r="C195" s="33">
        <f>'suku bunga'!$H199</f>
        <v>5.75</v>
      </c>
      <c r="D195" s="48">
        <f>'nilai tukar'!$H199</f>
        <v>16501</v>
      </c>
      <c r="E195" s="33">
        <f>'minyak mentah'!H199</f>
        <v>71.11</v>
      </c>
      <c r="F195" s="46">
        <f>emas!H199</f>
        <v>1617900</v>
      </c>
    </row>
    <row r="196" spans="1:6" x14ac:dyDescent="0.3">
      <c r="A196" s="35">
        <f>inflasi!$G200</f>
        <v>45736</v>
      </c>
      <c r="B196" s="33">
        <f>inflasi!$H200</f>
        <v>1.03</v>
      </c>
      <c r="C196" s="33">
        <f>'suku bunga'!$H200</f>
        <v>5.75</v>
      </c>
      <c r="D196" s="48">
        <f>'nilai tukar'!$H200</f>
        <v>16481</v>
      </c>
      <c r="E196" s="33">
        <f>'minyak mentah'!H200</f>
        <v>71.11</v>
      </c>
      <c r="F196" s="46">
        <f>emas!H200</f>
        <v>1632000</v>
      </c>
    </row>
    <row r="197" spans="1:6" x14ac:dyDescent="0.3">
      <c r="A197" s="35">
        <f>inflasi!$G201</f>
        <v>45735</v>
      </c>
      <c r="B197" s="33">
        <f>inflasi!$H201</f>
        <v>1.03</v>
      </c>
      <c r="C197" s="33">
        <f>'suku bunga'!$H201</f>
        <v>5.75</v>
      </c>
      <c r="D197" s="48">
        <f>'nilai tukar'!$H201</f>
        <v>16528</v>
      </c>
      <c r="E197" s="33">
        <f>'minyak mentah'!H201</f>
        <v>71.11</v>
      </c>
      <c r="F197" s="46">
        <f>emas!H201</f>
        <v>1624500</v>
      </c>
    </row>
    <row r="198" spans="1:6" x14ac:dyDescent="0.3">
      <c r="A198" s="35">
        <f>inflasi!$G202</f>
        <v>45734</v>
      </c>
      <c r="B198" s="33">
        <f>inflasi!$H202</f>
        <v>1.03</v>
      </c>
      <c r="C198" s="33">
        <f>'suku bunga'!$H202</f>
        <v>5.75</v>
      </c>
      <c r="D198" s="48">
        <f>'nilai tukar'!$H202</f>
        <v>16432</v>
      </c>
      <c r="E198" s="33">
        <f>'minyak mentah'!H202</f>
        <v>71.11</v>
      </c>
      <c r="F198" s="46">
        <f>emas!H202</f>
        <v>1612400</v>
      </c>
    </row>
    <row r="199" spans="1:6" x14ac:dyDescent="0.3">
      <c r="A199" s="35">
        <f>inflasi!$G203</f>
        <v>45733</v>
      </c>
      <c r="B199" s="33">
        <f>inflasi!$H203</f>
        <v>1.03</v>
      </c>
      <c r="C199" s="33">
        <f>'suku bunga'!$H203</f>
        <v>5.75</v>
      </c>
      <c r="D199" s="48">
        <f>'nilai tukar'!$H203</f>
        <v>16379</v>
      </c>
      <c r="E199" s="33">
        <f>'minyak mentah'!H203</f>
        <v>71.11</v>
      </c>
      <c r="F199" s="46">
        <f>emas!H203</f>
        <v>1594400</v>
      </c>
    </row>
    <row r="200" spans="1:6" x14ac:dyDescent="0.3">
      <c r="A200" s="35">
        <f>inflasi!$G204</f>
        <v>45732</v>
      </c>
      <c r="B200" s="33">
        <f>inflasi!$H204</f>
        <v>1.03</v>
      </c>
      <c r="C200" s="33">
        <f>'suku bunga'!$H204</f>
        <v>5.75</v>
      </c>
      <c r="D200" s="48">
        <f>'nilai tukar'!$H204</f>
        <v>16392</v>
      </c>
      <c r="E200" s="33">
        <f>'minyak mentah'!H204</f>
        <v>71.11</v>
      </c>
      <c r="F200" s="46">
        <f>emas!H204</f>
        <v>1587700</v>
      </c>
    </row>
    <row r="201" spans="1:6" x14ac:dyDescent="0.3">
      <c r="A201" s="35">
        <f>inflasi!$G205</f>
        <v>45731</v>
      </c>
      <c r="B201" s="33">
        <f>inflasi!$H205</f>
        <v>1.03</v>
      </c>
      <c r="C201" s="33">
        <f>'suku bunga'!$H205</f>
        <v>5.75</v>
      </c>
      <c r="D201" s="48">
        <f>'nilai tukar'!$H205</f>
        <v>16392</v>
      </c>
      <c r="E201" s="33">
        <f>'minyak mentah'!H205</f>
        <v>71.11</v>
      </c>
      <c r="F201" s="46">
        <f>emas!H205</f>
        <v>1587700</v>
      </c>
    </row>
    <row r="202" spans="1:6" x14ac:dyDescent="0.3">
      <c r="A202" s="35">
        <f>inflasi!$G206</f>
        <v>45730</v>
      </c>
      <c r="B202" s="33">
        <f>inflasi!$H206</f>
        <v>1.03</v>
      </c>
      <c r="C202" s="33">
        <f>'suku bunga'!$H206</f>
        <v>5.75</v>
      </c>
      <c r="D202" s="48">
        <f>'nilai tukar'!$H206</f>
        <v>16392</v>
      </c>
      <c r="E202" s="33">
        <f>'minyak mentah'!H206</f>
        <v>71.11</v>
      </c>
      <c r="F202" s="46">
        <f>emas!H206</f>
        <v>1594500</v>
      </c>
    </row>
    <row r="203" spans="1:6" x14ac:dyDescent="0.3">
      <c r="A203" s="35">
        <f>inflasi!$G207</f>
        <v>45729</v>
      </c>
      <c r="B203" s="33">
        <f>inflasi!$H207</f>
        <v>1.03</v>
      </c>
      <c r="C203" s="33">
        <f>'suku bunga'!$H207</f>
        <v>5.75</v>
      </c>
      <c r="D203" s="48">
        <f>'nilai tukar'!$H207</f>
        <v>16428</v>
      </c>
      <c r="E203" s="33">
        <f>'minyak mentah'!H207</f>
        <v>71.11</v>
      </c>
      <c r="F203" s="46">
        <f>emas!H207</f>
        <v>1589300</v>
      </c>
    </row>
    <row r="204" spans="1:6" x14ac:dyDescent="0.3">
      <c r="A204" s="35">
        <f>inflasi!$G208</f>
        <v>45728</v>
      </c>
      <c r="B204" s="33">
        <f>inflasi!$H208</f>
        <v>1.03</v>
      </c>
      <c r="C204" s="33">
        <f>'suku bunga'!$H208</f>
        <v>5.75</v>
      </c>
      <c r="D204" s="48">
        <f>'nilai tukar'!$H208</f>
        <v>16453</v>
      </c>
      <c r="E204" s="33">
        <f>'minyak mentah'!H208</f>
        <v>71.11</v>
      </c>
      <c r="F204" s="46">
        <f>emas!H208</f>
        <v>1559000</v>
      </c>
    </row>
    <row r="205" spans="1:6" x14ac:dyDescent="0.3">
      <c r="A205" s="35">
        <f>inflasi!$G209</f>
        <v>45727</v>
      </c>
      <c r="B205" s="33">
        <f>inflasi!$H209</f>
        <v>1.03</v>
      </c>
      <c r="C205" s="33">
        <f>'suku bunga'!$H209</f>
        <v>5.75</v>
      </c>
      <c r="D205" s="48">
        <f>'nilai tukar'!$H209</f>
        <v>16430</v>
      </c>
      <c r="E205" s="33">
        <f>'minyak mentah'!H209</f>
        <v>71.11</v>
      </c>
      <c r="F205" s="46">
        <f>emas!H209</f>
        <v>1549600</v>
      </c>
    </row>
    <row r="206" spans="1:6" x14ac:dyDescent="0.3">
      <c r="A206" s="35">
        <f>inflasi!$G210</f>
        <v>45726</v>
      </c>
      <c r="B206" s="33">
        <f>inflasi!$H210</f>
        <v>1.03</v>
      </c>
      <c r="C206" s="33">
        <f>'suku bunga'!$H210</f>
        <v>5.75</v>
      </c>
      <c r="D206" s="48">
        <f>'nilai tukar'!$H210</f>
        <v>16326</v>
      </c>
      <c r="E206" s="33">
        <f>'minyak mentah'!H210</f>
        <v>71.11</v>
      </c>
      <c r="F206" s="46">
        <f>emas!H210</f>
        <v>1536700</v>
      </c>
    </row>
    <row r="207" spans="1:6" x14ac:dyDescent="0.3">
      <c r="A207" s="35">
        <f>inflasi!$G211</f>
        <v>45725</v>
      </c>
      <c r="B207" s="33">
        <f>inflasi!$H211</f>
        <v>1.03</v>
      </c>
      <c r="C207" s="33">
        <f>'suku bunga'!$H211</f>
        <v>5.75</v>
      </c>
      <c r="D207" s="48">
        <f>'nilai tukar'!$H211</f>
        <v>16336</v>
      </c>
      <c r="E207" s="33">
        <f>'minyak mentah'!H211</f>
        <v>71.11</v>
      </c>
      <c r="F207" s="46">
        <f>emas!H211</f>
        <v>1539500</v>
      </c>
    </row>
    <row r="208" spans="1:6" x14ac:dyDescent="0.3">
      <c r="A208" s="35">
        <f>inflasi!$G212</f>
        <v>45724</v>
      </c>
      <c r="B208" s="33">
        <f>inflasi!$H212</f>
        <v>1.03</v>
      </c>
      <c r="C208" s="33">
        <f>'suku bunga'!$H212</f>
        <v>5.75</v>
      </c>
      <c r="D208" s="48">
        <f>'nilai tukar'!$H212</f>
        <v>16336</v>
      </c>
      <c r="E208" s="33">
        <f>'minyak mentah'!H212</f>
        <v>71.11</v>
      </c>
      <c r="F208" s="46">
        <f>emas!H212</f>
        <v>1539500</v>
      </c>
    </row>
    <row r="209" spans="1:6" x14ac:dyDescent="0.3">
      <c r="A209" s="35">
        <f>inflasi!$G213</f>
        <v>45723</v>
      </c>
      <c r="B209" s="33">
        <f>inflasi!$H213</f>
        <v>1.03</v>
      </c>
      <c r="C209" s="33">
        <f>'suku bunga'!$H213</f>
        <v>5.75</v>
      </c>
      <c r="D209" s="48">
        <f>'nilai tukar'!$H213</f>
        <v>16336</v>
      </c>
      <c r="E209" s="33">
        <f>'minyak mentah'!H213</f>
        <v>71.11</v>
      </c>
      <c r="F209" s="46">
        <f>emas!H213</f>
        <v>1557400</v>
      </c>
    </row>
    <row r="210" spans="1:6" x14ac:dyDescent="0.3">
      <c r="A210" s="35">
        <f>inflasi!$G214</f>
        <v>45722</v>
      </c>
      <c r="B210" s="33">
        <f>inflasi!$H214</f>
        <v>1.03</v>
      </c>
      <c r="C210" s="33">
        <f>'suku bunga'!$H214</f>
        <v>5.75</v>
      </c>
      <c r="D210" s="48">
        <f>'nilai tukar'!$H214</f>
        <v>16315</v>
      </c>
      <c r="E210" s="33">
        <f>'minyak mentah'!H214</f>
        <v>71.11</v>
      </c>
      <c r="F210" s="46">
        <f>emas!H214</f>
        <v>1550100</v>
      </c>
    </row>
    <row r="211" spans="1:6" x14ac:dyDescent="0.3">
      <c r="A211" s="35">
        <f>inflasi!$G215</f>
        <v>45721</v>
      </c>
      <c r="B211" s="33">
        <f>inflasi!$H215</f>
        <v>1.03</v>
      </c>
      <c r="C211" s="33">
        <f>'suku bunga'!$H215</f>
        <v>5.75</v>
      </c>
      <c r="D211" s="48">
        <f>'nilai tukar'!$H215</f>
        <v>16371</v>
      </c>
      <c r="E211" s="33">
        <f>'minyak mentah'!H215</f>
        <v>71.11</v>
      </c>
      <c r="F211" s="46">
        <f>emas!H215</f>
        <v>1553500</v>
      </c>
    </row>
    <row r="212" spans="1:6" x14ac:dyDescent="0.3">
      <c r="A212" s="35">
        <f>inflasi!$G216</f>
        <v>45720</v>
      </c>
      <c r="B212" s="33">
        <f>inflasi!$H216</f>
        <v>1.03</v>
      </c>
      <c r="C212" s="33">
        <f>'suku bunga'!$H216</f>
        <v>5.75</v>
      </c>
      <c r="D212" s="48">
        <f>'nilai tukar'!$H216</f>
        <v>16443</v>
      </c>
      <c r="E212" s="33">
        <f>'minyak mentah'!H216</f>
        <v>71.11</v>
      </c>
      <c r="F212" s="46">
        <f>emas!H216</f>
        <v>1554800</v>
      </c>
    </row>
    <row r="213" spans="1:6" x14ac:dyDescent="0.3">
      <c r="A213" s="35">
        <f>inflasi!$G217</f>
        <v>45719</v>
      </c>
      <c r="B213" s="33">
        <f>inflasi!$H217</f>
        <v>1.03</v>
      </c>
      <c r="C213" s="33">
        <f>'suku bunga'!$H217</f>
        <v>5.75</v>
      </c>
      <c r="D213" s="48">
        <f>'nilai tukar'!$H217</f>
        <v>16506</v>
      </c>
      <c r="E213" s="33">
        <f>'minyak mentah'!H217</f>
        <v>71.11</v>
      </c>
      <c r="F213" s="46">
        <f>emas!H217</f>
        <v>1547600</v>
      </c>
    </row>
    <row r="214" spans="1:6" x14ac:dyDescent="0.3">
      <c r="A214" s="35">
        <f>inflasi!$G218</f>
        <v>45718</v>
      </c>
      <c r="B214" s="33">
        <f>inflasi!$H218</f>
        <v>1.03</v>
      </c>
      <c r="C214" s="33">
        <f>'suku bunga'!$H218</f>
        <v>5.75</v>
      </c>
      <c r="D214" s="48">
        <f>'nilai tukar'!$H218</f>
        <v>16575</v>
      </c>
      <c r="E214" s="33">
        <f>'minyak mentah'!H218</f>
        <v>71.11</v>
      </c>
      <c r="F214" s="46">
        <f>emas!H218</f>
        <v>1536900</v>
      </c>
    </row>
    <row r="215" spans="1:6" x14ac:dyDescent="0.3">
      <c r="A215" s="35">
        <f>inflasi!$G219</f>
        <v>45717</v>
      </c>
      <c r="B215" s="33">
        <f>inflasi!$H219</f>
        <v>1.03</v>
      </c>
      <c r="C215" s="33">
        <f>'suku bunga'!$H219</f>
        <v>5.75</v>
      </c>
      <c r="D215" s="48">
        <f>'nilai tukar'!$H219</f>
        <v>16575</v>
      </c>
      <c r="E215" s="33">
        <f>'minyak mentah'!H219</f>
        <v>71.11</v>
      </c>
      <c r="F215" s="46">
        <f>emas!H219</f>
        <v>1536900</v>
      </c>
    </row>
    <row r="216" spans="1:6" x14ac:dyDescent="0.3">
      <c r="A216" s="35">
        <f>inflasi!$G220</f>
        <v>45716</v>
      </c>
      <c r="B216" s="33">
        <f>inflasi!$H220</f>
        <v>-0.09</v>
      </c>
      <c r="C216" s="33">
        <f>'suku bunga'!$H220</f>
        <v>5.75</v>
      </c>
      <c r="D216" s="48">
        <f>'nilai tukar'!$H220</f>
        <v>16575</v>
      </c>
      <c r="E216" s="33">
        <f>'minyak mentah'!H220</f>
        <v>74.290000000000006</v>
      </c>
      <c r="F216" s="46">
        <f>emas!H220</f>
        <v>1516400</v>
      </c>
    </row>
    <row r="217" spans="1:6" x14ac:dyDescent="0.3">
      <c r="A217" s="35">
        <f>inflasi!$G221</f>
        <v>45715</v>
      </c>
      <c r="B217" s="33">
        <f>inflasi!$H221</f>
        <v>-0.09</v>
      </c>
      <c r="C217" s="33">
        <f>'suku bunga'!$H221</f>
        <v>5.75</v>
      </c>
      <c r="D217" s="48">
        <f>'nilai tukar'!$H221</f>
        <v>16431</v>
      </c>
      <c r="E217" s="33">
        <f>'minyak mentah'!H221</f>
        <v>74.290000000000006</v>
      </c>
      <c r="F217" s="46">
        <f>emas!H221</f>
        <v>1528500</v>
      </c>
    </row>
    <row r="218" spans="1:6" x14ac:dyDescent="0.3">
      <c r="A218" s="35">
        <f>inflasi!$G222</f>
        <v>45714</v>
      </c>
      <c r="B218" s="33">
        <f>inflasi!$H222</f>
        <v>-0.09</v>
      </c>
      <c r="C218" s="33">
        <f>'suku bunga'!$H222</f>
        <v>5.75</v>
      </c>
      <c r="D218" s="48">
        <f>'nilai tukar'!$H222</f>
        <v>16387</v>
      </c>
      <c r="E218" s="33">
        <f>'minyak mentah'!H222</f>
        <v>74.290000000000006</v>
      </c>
      <c r="F218" s="46">
        <f>emas!H222</f>
        <v>1542900</v>
      </c>
    </row>
    <row r="219" spans="1:6" x14ac:dyDescent="0.3">
      <c r="A219" s="35">
        <f>inflasi!$G223</f>
        <v>45713</v>
      </c>
      <c r="B219" s="33">
        <f>inflasi!$H223</f>
        <v>-0.09</v>
      </c>
      <c r="C219" s="33">
        <f>'suku bunga'!$H223</f>
        <v>5.75</v>
      </c>
      <c r="D219" s="48">
        <f>'nilai tukar'!$H223</f>
        <v>16316</v>
      </c>
      <c r="E219" s="33">
        <f>'minyak mentah'!H223</f>
        <v>74.290000000000006</v>
      </c>
      <c r="F219" s="46">
        <f>emas!H223</f>
        <v>1553700</v>
      </c>
    </row>
    <row r="220" spans="1:6" x14ac:dyDescent="0.3">
      <c r="A220" s="35">
        <f>inflasi!$G224</f>
        <v>45712</v>
      </c>
      <c r="B220" s="33">
        <f>inflasi!$H224</f>
        <v>-0.09</v>
      </c>
      <c r="C220" s="33">
        <f>'suku bunga'!$H224</f>
        <v>5.75</v>
      </c>
      <c r="D220" s="48">
        <f>'nilai tukar'!$H224</f>
        <v>16303</v>
      </c>
      <c r="E220" s="33">
        <f>'minyak mentah'!H224</f>
        <v>74.290000000000006</v>
      </c>
      <c r="F220" s="46">
        <f>emas!H224</f>
        <v>1559800</v>
      </c>
    </row>
    <row r="221" spans="1:6" x14ac:dyDescent="0.3">
      <c r="A221" s="35">
        <f>inflasi!$G225</f>
        <v>45711</v>
      </c>
      <c r="B221" s="33">
        <f>inflasi!$H225</f>
        <v>-0.09</v>
      </c>
      <c r="C221" s="33">
        <f>'suku bunga'!$H225</f>
        <v>5.75</v>
      </c>
      <c r="D221" s="48">
        <f>'nilai tukar'!$H225</f>
        <v>16300</v>
      </c>
      <c r="E221" s="33">
        <f>'minyak mentah'!H225</f>
        <v>74.290000000000006</v>
      </c>
      <c r="F221" s="46">
        <f>emas!H225</f>
        <v>1557100</v>
      </c>
    </row>
    <row r="222" spans="1:6" x14ac:dyDescent="0.3">
      <c r="A222" s="35">
        <f>inflasi!$G226</f>
        <v>45710</v>
      </c>
      <c r="B222" s="33">
        <f>inflasi!$H226</f>
        <v>-0.09</v>
      </c>
      <c r="C222" s="33">
        <f>'suku bunga'!$H226</f>
        <v>5.75</v>
      </c>
      <c r="D222" s="48">
        <f>'nilai tukar'!$H226</f>
        <v>16300</v>
      </c>
      <c r="E222" s="33">
        <f>'minyak mentah'!H226</f>
        <v>74.290000000000006</v>
      </c>
      <c r="F222" s="46">
        <f>emas!H226</f>
        <v>1557100</v>
      </c>
    </row>
    <row r="223" spans="1:6" x14ac:dyDescent="0.3">
      <c r="A223" s="35">
        <f>inflasi!$G227</f>
        <v>45709</v>
      </c>
      <c r="B223" s="33">
        <f>inflasi!$H227</f>
        <v>-0.09</v>
      </c>
      <c r="C223" s="33">
        <f>'suku bunga'!$H227</f>
        <v>5.75</v>
      </c>
      <c r="D223" s="48">
        <f>'nilai tukar'!$H227</f>
        <v>16300</v>
      </c>
      <c r="E223" s="33">
        <f>'minyak mentah'!H227</f>
        <v>74.290000000000006</v>
      </c>
      <c r="F223" s="46">
        <f>emas!H227</f>
        <v>1551800</v>
      </c>
    </row>
    <row r="224" spans="1:6" x14ac:dyDescent="0.3">
      <c r="A224" s="35">
        <f>inflasi!$G228</f>
        <v>45708</v>
      </c>
      <c r="B224" s="33">
        <f>inflasi!$H228</f>
        <v>-0.09</v>
      </c>
      <c r="C224" s="33">
        <f>'suku bunga'!$H228</f>
        <v>5.75</v>
      </c>
      <c r="D224" s="48">
        <f>'nilai tukar'!$H228</f>
        <v>16344</v>
      </c>
      <c r="E224" s="33">
        <f>'minyak mentah'!H228</f>
        <v>74.290000000000006</v>
      </c>
      <c r="F224" s="46">
        <f>emas!H228</f>
        <v>1562600</v>
      </c>
    </row>
    <row r="225" spans="1:6" x14ac:dyDescent="0.3">
      <c r="A225" s="35">
        <f>inflasi!$G229</f>
        <v>45707</v>
      </c>
      <c r="B225" s="33">
        <f>inflasi!$H229</f>
        <v>-0.09</v>
      </c>
      <c r="C225" s="33">
        <f>'suku bunga'!$H229</f>
        <v>5.75</v>
      </c>
      <c r="D225" s="48">
        <f>'nilai tukar'!$H229</f>
        <v>16357</v>
      </c>
      <c r="E225" s="33">
        <f>'minyak mentah'!H229</f>
        <v>74.290000000000006</v>
      </c>
      <c r="F225" s="46">
        <f>emas!H229</f>
        <v>1560800</v>
      </c>
    </row>
    <row r="226" spans="1:6" x14ac:dyDescent="0.3">
      <c r="A226" s="35">
        <f>inflasi!$G230</f>
        <v>45706</v>
      </c>
      <c r="B226" s="33">
        <f>inflasi!$H230</f>
        <v>-0.09</v>
      </c>
      <c r="C226" s="33">
        <f>'suku bunga'!$H230</f>
        <v>5.75</v>
      </c>
      <c r="D226" s="48">
        <f>'nilai tukar'!$H230</f>
        <v>16275</v>
      </c>
      <c r="E226" s="33">
        <f>'minyak mentah'!H230</f>
        <v>74.290000000000006</v>
      </c>
      <c r="F226" s="46">
        <f>emas!H230</f>
        <v>1543700</v>
      </c>
    </row>
    <row r="227" spans="1:6" x14ac:dyDescent="0.3">
      <c r="A227" s="35">
        <f>inflasi!$G231</f>
        <v>45705</v>
      </c>
      <c r="B227" s="33">
        <f>inflasi!$H231</f>
        <v>-0.09</v>
      </c>
      <c r="C227" s="33">
        <f>'suku bunga'!$H231</f>
        <v>5.75</v>
      </c>
      <c r="D227" s="48">
        <f>'nilai tukar'!$H231</f>
        <v>16208</v>
      </c>
      <c r="E227" s="33">
        <f>'minyak mentah'!H231</f>
        <v>74.290000000000006</v>
      </c>
      <c r="F227" s="46">
        <f>emas!H231</f>
        <v>1528100</v>
      </c>
    </row>
    <row r="228" spans="1:6" x14ac:dyDescent="0.3">
      <c r="A228" s="35">
        <f>inflasi!$G232</f>
        <v>45704</v>
      </c>
      <c r="B228" s="33">
        <f>inflasi!$H232</f>
        <v>-0.09</v>
      </c>
      <c r="C228" s="33">
        <f>'suku bunga'!$H232</f>
        <v>5.75</v>
      </c>
      <c r="D228" s="48">
        <f>'nilai tukar'!$H232</f>
        <v>16285</v>
      </c>
      <c r="E228" s="33">
        <f>'minyak mentah'!H232</f>
        <v>74.290000000000006</v>
      </c>
      <c r="F228" s="46">
        <f>emas!H232</f>
        <v>1518500</v>
      </c>
    </row>
    <row r="229" spans="1:6" x14ac:dyDescent="0.3">
      <c r="A229" s="35">
        <f>inflasi!$G233</f>
        <v>45703</v>
      </c>
      <c r="B229" s="33">
        <f>inflasi!$H233</f>
        <v>-0.09</v>
      </c>
      <c r="C229" s="33">
        <f>'suku bunga'!$H233</f>
        <v>5.75</v>
      </c>
      <c r="D229" s="48">
        <f>'nilai tukar'!$H233</f>
        <v>16285</v>
      </c>
      <c r="E229" s="33">
        <f>'minyak mentah'!H233</f>
        <v>74.290000000000006</v>
      </c>
      <c r="F229" s="46">
        <f>emas!H233</f>
        <v>1518500</v>
      </c>
    </row>
    <row r="230" spans="1:6" x14ac:dyDescent="0.3">
      <c r="A230" s="35">
        <f>inflasi!$G234</f>
        <v>45702</v>
      </c>
      <c r="B230" s="33">
        <f>inflasi!$H234</f>
        <v>-0.09</v>
      </c>
      <c r="C230" s="33">
        <f>'suku bunga'!$H234</f>
        <v>5.75</v>
      </c>
      <c r="D230" s="48">
        <f>'nilai tukar'!$H234</f>
        <v>16285</v>
      </c>
      <c r="E230" s="33">
        <f>'minyak mentah'!H234</f>
        <v>74.290000000000006</v>
      </c>
      <c r="F230" s="46">
        <f>emas!H234</f>
        <v>1556000</v>
      </c>
    </row>
    <row r="231" spans="1:6" x14ac:dyDescent="0.3">
      <c r="A231" s="35">
        <f>inflasi!$G235</f>
        <v>45701</v>
      </c>
      <c r="B231" s="33">
        <f>inflasi!$H235</f>
        <v>-0.09</v>
      </c>
      <c r="C231" s="33">
        <f>'suku bunga'!$H235</f>
        <v>5.75</v>
      </c>
      <c r="D231" s="48">
        <f>'nilai tukar'!$H235</f>
        <v>16365</v>
      </c>
      <c r="E231" s="33">
        <f>'minyak mentah'!H235</f>
        <v>74.290000000000006</v>
      </c>
      <c r="F231" s="46">
        <f>emas!H235</f>
        <v>1549000</v>
      </c>
    </row>
    <row r="232" spans="1:6" x14ac:dyDescent="0.3">
      <c r="A232" s="35">
        <f>inflasi!$G236</f>
        <v>45700</v>
      </c>
      <c r="B232" s="33">
        <f>inflasi!$H236</f>
        <v>-0.09</v>
      </c>
      <c r="C232" s="33">
        <f>'suku bunga'!$H236</f>
        <v>5.75</v>
      </c>
      <c r="D232" s="48">
        <f>'nilai tukar'!$H236</f>
        <v>16364</v>
      </c>
      <c r="E232" s="33">
        <f>'minyak mentah'!H236</f>
        <v>74.290000000000006</v>
      </c>
      <c r="F232" s="46">
        <f>emas!H236</f>
        <v>1539000</v>
      </c>
    </row>
    <row r="233" spans="1:6" x14ac:dyDescent="0.3">
      <c r="A233" s="35">
        <f>inflasi!$G237</f>
        <v>45699</v>
      </c>
      <c r="B233" s="33">
        <f>inflasi!$H237</f>
        <v>-0.09</v>
      </c>
      <c r="C233" s="33">
        <f>'suku bunga'!$H237</f>
        <v>5.75</v>
      </c>
      <c r="D233" s="48">
        <f>'nilai tukar'!$H237</f>
        <v>16380</v>
      </c>
      <c r="E233" s="33">
        <f>'minyak mentah'!H237</f>
        <v>74.290000000000006</v>
      </c>
      <c r="F233" s="46">
        <f>emas!H237</f>
        <v>1540300</v>
      </c>
    </row>
    <row r="234" spans="1:6" x14ac:dyDescent="0.3">
      <c r="A234" s="35">
        <f>inflasi!$G238</f>
        <v>45698</v>
      </c>
      <c r="B234" s="33">
        <f>inflasi!$H238</f>
        <v>-0.09</v>
      </c>
      <c r="C234" s="33">
        <f>'suku bunga'!$H238</f>
        <v>5.75</v>
      </c>
      <c r="D234" s="48">
        <f>'nilai tukar'!$H238</f>
        <v>16350</v>
      </c>
      <c r="E234" s="33">
        <f>'minyak mentah'!H238</f>
        <v>74.290000000000006</v>
      </c>
      <c r="F234" s="46">
        <f>emas!H238</f>
        <v>1542100</v>
      </c>
    </row>
    <row r="235" spans="1:6" x14ac:dyDescent="0.3">
      <c r="A235" s="35">
        <f>inflasi!$G239</f>
        <v>45697</v>
      </c>
      <c r="B235" s="33">
        <f>inflasi!$H239</f>
        <v>-0.09</v>
      </c>
      <c r="C235" s="33">
        <f>'suku bunga'!$H239</f>
        <v>5.75</v>
      </c>
      <c r="D235" s="48">
        <f>'nilai tukar'!$H239</f>
        <v>16325</v>
      </c>
      <c r="E235" s="33">
        <f>'minyak mentah'!H239</f>
        <v>74.290000000000006</v>
      </c>
      <c r="F235" s="46">
        <f>emas!H239</f>
        <v>1517500</v>
      </c>
    </row>
    <row r="236" spans="1:6" x14ac:dyDescent="0.3">
      <c r="A236" s="35">
        <f>inflasi!$G240</f>
        <v>45696</v>
      </c>
      <c r="B236" s="33">
        <f>inflasi!$H240</f>
        <v>-0.09</v>
      </c>
      <c r="C236" s="33">
        <f>'suku bunga'!$H240</f>
        <v>5.75</v>
      </c>
      <c r="D236" s="48">
        <f>'nilai tukar'!$H240</f>
        <v>16325</v>
      </c>
      <c r="E236" s="33">
        <f>'minyak mentah'!H240</f>
        <v>74.290000000000006</v>
      </c>
      <c r="F236" s="46">
        <f>emas!H240</f>
        <v>1517500</v>
      </c>
    </row>
    <row r="237" spans="1:6" x14ac:dyDescent="0.3">
      <c r="A237" s="35">
        <f>inflasi!$G241</f>
        <v>45695</v>
      </c>
      <c r="B237" s="33">
        <f>inflasi!$H241</f>
        <v>-0.09</v>
      </c>
      <c r="C237" s="33">
        <f>'suku bunga'!$H241</f>
        <v>5.75</v>
      </c>
      <c r="D237" s="48">
        <f>'nilai tukar'!$H241</f>
        <v>16325</v>
      </c>
      <c r="E237" s="33">
        <f>'minyak mentah'!H241</f>
        <v>74.290000000000006</v>
      </c>
      <c r="F237" s="46">
        <f>emas!H241</f>
        <v>1527800</v>
      </c>
    </row>
    <row r="238" spans="1:6" x14ac:dyDescent="0.3">
      <c r="A238" s="35">
        <f>inflasi!$G242</f>
        <v>45694</v>
      </c>
      <c r="B238" s="33">
        <f>inflasi!$H242</f>
        <v>-0.09</v>
      </c>
      <c r="C238" s="33">
        <f>'suku bunga'!$H242</f>
        <v>5.75</v>
      </c>
      <c r="D238" s="48">
        <f>'nilai tukar'!$H242</f>
        <v>16330</v>
      </c>
      <c r="E238" s="33">
        <f>'minyak mentah'!H242</f>
        <v>74.290000000000006</v>
      </c>
      <c r="F238" s="46">
        <f>emas!H242</f>
        <v>1509600</v>
      </c>
    </row>
    <row r="239" spans="1:6" x14ac:dyDescent="0.3">
      <c r="A239" s="35">
        <f>inflasi!$G243</f>
        <v>45693</v>
      </c>
      <c r="B239" s="33">
        <f>inflasi!$H243</f>
        <v>-0.09</v>
      </c>
      <c r="C239" s="33">
        <f>'suku bunga'!$H243</f>
        <v>5.75</v>
      </c>
      <c r="D239" s="48">
        <f>'nilai tukar'!$H243</f>
        <v>16308</v>
      </c>
      <c r="E239" s="33">
        <f>'minyak mentah'!H243</f>
        <v>74.290000000000006</v>
      </c>
      <c r="F239" s="46">
        <f>emas!H243</f>
        <v>1522700</v>
      </c>
    </row>
    <row r="240" spans="1:6" x14ac:dyDescent="0.3">
      <c r="A240" s="35">
        <f>inflasi!$G244</f>
        <v>45692</v>
      </c>
      <c r="B240" s="33">
        <f>inflasi!$H244</f>
        <v>-0.09</v>
      </c>
      <c r="C240" s="33">
        <f>'suku bunga'!$H244</f>
        <v>5.75</v>
      </c>
      <c r="D240" s="48">
        <f>'nilai tukar'!$H244</f>
        <v>16365</v>
      </c>
      <c r="E240" s="33">
        <f>'minyak mentah'!H244</f>
        <v>74.290000000000006</v>
      </c>
      <c r="F240" s="46">
        <f>emas!H244</f>
        <v>1522200</v>
      </c>
    </row>
    <row r="241" spans="1:6" x14ac:dyDescent="0.3">
      <c r="A241" s="35">
        <f>inflasi!$G245</f>
        <v>45691</v>
      </c>
      <c r="B241" s="33">
        <f>inflasi!$H245</f>
        <v>-0.09</v>
      </c>
      <c r="C241" s="33">
        <f>'suku bunga'!$H245</f>
        <v>5.75</v>
      </c>
      <c r="D241" s="48">
        <f>'nilai tukar'!$H245</f>
        <v>16453</v>
      </c>
      <c r="E241" s="33">
        <f>'minyak mentah'!H245</f>
        <v>74.290000000000006</v>
      </c>
      <c r="F241" s="46">
        <f>emas!H245</f>
        <v>1506000</v>
      </c>
    </row>
    <row r="242" spans="1:6" x14ac:dyDescent="0.3">
      <c r="A242" s="35">
        <f>inflasi!$G246</f>
        <v>45690</v>
      </c>
      <c r="B242" s="33">
        <f>inflasi!$H246</f>
        <v>-0.09</v>
      </c>
      <c r="C242" s="33">
        <f>'suku bunga'!$H246</f>
        <v>5.75</v>
      </c>
      <c r="D242" s="48">
        <f>'nilai tukar'!$H246</f>
        <v>16312</v>
      </c>
      <c r="E242" s="33">
        <f>'minyak mentah'!H246</f>
        <v>74.290000000000006</v>
      </c>
      <c r="F242" s="46">
        <f>emas!H246</f>
        <v>1489700</v>
      </c>
    </row>
    <row r="243" spans="1:6" x14ac:dyDescent="0.3">
      <c r="A243" s="35">
        <f>inflasi!$G247</f>
        <v>45689</v>
      </c>
      <c r="B243" s="33">
        <f>inflasi!$H247</f>
        <v>-0.09</v>
      </c>
      <c r="C243" s="33">
        <f>'suku bunga'!$H247</f>
        <v>5.75</v>
      </c>
      <c r="D243" s="48">
        <f>'nilai tukar'!$H247</f>
        <v>16312</v>
      </c>
      <c r="E243" s="33">
        <f>'minyak mentah'!H247</f>
        <v>74.290000000000006</v>
      </c>
      <c r="F243" s="46">
        <f>emas!H247</f>
        <v>1489700</v>
      </c>
    </row>
    <row r="244" spans="1:6" x14ac:dyDescent="0.3">
      <c r="A244" s="35">
        <f>inflasi!$G248</f>
        <v>45688</v>
      </c>
      <c r="B244" s="33">
        <f>inflasi!$H248</f>
        <v>0.76</v>
      </c>
      <c r="C244" s="33">
        <f>'suku bunga'!$H248</f>
        <v>5.75</v>
      </c>
      <c r="D244" s="48">
        <f>'nilai tukar'!$H248</f>
        <v>16312</v>
      </c>
      <c r="E244" s="33">
        <f>'minyak mentah'!H248</f>
        <v>76.81</v>
      </c>
      <c r="F244" s="46">
        <f>emas!H248</f>
        <v>1490900</v>
      </c>
    </row>
    <row r="245" spans="1:6" x14ac:dyDescent="0.3">
      <c r="A245" s="35">
        <f>inflasi!$G249</f>
        <v>45687</v>
      </c>
      <c r="B245" s="33">
        <f>inflasi!$H249</f>
        <v>0.76</v>
      </c>
      <c r="C245" s="33">
        <f>'suku bunga'!$H249</f>
        <v>5.75</v>
      </c>
      <c r="D245" s="48">
        <f>'nilai tukar'!$H249</f>
        <v>16259</v>
      </c>
      <c r="E245" s="33">
        <f>'minyak mentah'!H249</f>
        <v>76.81</v>
      </c>
      <c r="F245" s="46">
        <f>emas!H249</f>
        <v>1478700</v>
      </c>
    </row>
    <row r="246" spans="1:6" x14ac:dyDescent="0.3">
      <c r="A246" s="35">
        <f>inflasi!$G250</f>
        <v>45686</v>
      </c>
      <c r="B246" s="33">
        <f>inflasi!$H250</f>
        <v>0.76</v>
      </c>
      <c r="C246" s="33">
        <f>'suku bunga'!$H250</f>
        <v>5.75</v>
      </c>
      <c r="D246" s="48">
        <f>'nilai tukar'!$H250</f>
        <v>16200</v>
      </c>
      <c r="E246" s="33">
        <f>'minyak mentah'!H250</f>
        <v>76.81</v>
      </c>
      <c r="F246" s="46">
        <f>emas!H250</f>
        <v>1462200</v>
      </c>
    </row>
    <row r="247" spans="1:6" x14ac:dyDescent="0.3">
      <c r="A247" s="35">
        <f>inflasi!$G251</f>
        <v>45685</v>
      </c>
      <c r="B247" s="33">
        <f>inflasi!$H251</f>
        <v>0.76</v>
      </c>
      <c r="C247" s="33">
        <f>'suku bunga'!$H251</f>
        <v>5.75</v>
      </c>
      <c r="D247" s="48">
        <f>'nilai tukar'!$H251</f>
        <v>16200</v>
      </c>
      <c r="E247" s="33">
        <f>'minyak mentah'!H251</f>
        <v>76.81</v>
      </c>
      <c r="F247" s="46">
        <f>emas!H251</f>
        <v>1452700</v>
      </c>
    </row>
    <row r="248" spans="1:6" x14ac:dyDescent="0.3">
      <c r="A248" s="35">
        <f>inflasi!$G252</f>
        <v>45684</v>
      </c>
      <c r="B248" s="33">
        <f>inflasi!$H252</f>
        <v>0.76</v>
      </c>
      <c r="C248" s="33">
        <f>'suku bunga'!$H252</f>
        <v>5.75</v>
      </c>
      <c r="D248" s="48">
        <f>'nilai tukar'!$H252</f>
        <v>16200</v>
      </c>
      <c r="E248" s="33">
        <f>'minyak mentah'!H252</f>
        <v>76.81</v>
      </c>
      <c r="F248" s="46">
        <f>emas!H252</f>
        <v>1450100</v>
      </c>
    </row>
    <row r="249" spans="1:6" x14ac:dyDescent="0.3">
      <c r="A249" s="35">
        <f>inflasi!$G253</f>
        <v>45683</v>
      </c>
      <c r="B249" s="33">
        <f>inflasi!$H253</f>
        <v>0.76</v>
      </c>
      <c r="C249" s="33">
        <f>'suku bunga'!$H253</f>
        <v>5.75</v>
      </c>
      <c r="D249" s="48">
        <f>'nilai tukar'!$H253</f>
        <v>16200</v>
      </c>
      <c r="E249" s="33">
        <f>'minyak mentah'!H253</f>
        <v>76.81</v>
      </c>
      <c r="F249" s="46">
        <f>emas!H253</f>
        <v>1461100</v>
      </c>
    </row>
    <row r="250" spans="1:6" x14ac:dyDescent="0.3">
      <c r="A250" s="35">
        <f>inflasi!$G254</f>
        <v>45682</v>
      </c>
      <c r="B250" s="33">
        <f>inflasi!$H254</f>
        <v>0.76</v>
      </c>
      <c r="C250" s="33">
        <f>'suku bunga'!$H254</f>
        <v>5.75</v>
      </c>
      <c r="D250" s="48">
        <f>'nilai tukar'!$H254</f>
        <v>16200</v>
      </c>
      <c r="E250" s="33">
        <f>'minyak mentah'!H254</f>
        <v>76.81</v>
      </c>
      <c r="F250" s="46">
        <f>emas!H254</f>
        <v>1461100</v>
      </c>
    </row>
    <row r="251" spans="1:6" x14ac:dyDescent="0.3">
      <c r="A251" s="35">
        <f>inflasi!$G255</f>
        <v>45681</v>
      </c>
      <c r="B251" s="33">
        <f>inflasi!$H255</f>
        <v>0.76</v>
      </c>
      <c r="C251" s="33">
        <f>'suku bunga'!$H255</f>
        <v>5.75</v>
      </c>
      <c r="D251" s="48">
        <f>'nilai tukar'!$H255</f>
        <v>16200</v>
      </c>
      <c r="E251" s="33">
        <f>'minyak mentah'!H255</f>
        <v>76.81</v>
      </c>
      <c r="F251" s="46">
        <f>emas!H255</f>
        <v>1473600</v>
      </c>
    </row>
    <row r="252" spans="1:6" x14ac:dyDescent="0.3">
      <c r="A252" s="35">
        <f>inflasi!$G256</f>
        <v>45680</v>
      </c>
      <c r="B252" s="33">
        <f>inflasi!$H256</f>
        <v>0.76</v>
      </c>
      <c r="C252" s="33">
        <f>'suku bunga'!$H256</f>
        <v>5.75</v>
      </c>
      <c r="D252" s="48">
        <f>'nilai tukar'!$H256</f>
        <v>16276</v>
      </c>
      <c r="E252" s="33">
        <f>'minyak mentah'!H256</f>
        <v>76.81</v>
      </c>
      <c r="F252" s="46">
        <f>emas!H256</f>
        <v>1453600</v>
      </c>
    </row>
    <row r="253" spans="1:6" x14ac:dyDescent="0.3">
      <c r="A253" s="35">
        <f>inflasi!$G257</f>
        <v>45679</v>
      </c>
      <c r="B253" s="33">
        <f>inflasi!$H257</f>
        <v>0.76</v>
      </c>
      <c r="C253" s="33">
        <f>'suku bunga'!$H257</f>
        <v>5.75</v>
      </c>
      <c r="D253" s="48">
        <f>'nilai tukar'!$H257</f>
        <v>16327</v>
      </c>
      <c r="E253" s="33">
        <f>'minyak mentah'!H257</f>
        <v>76.81</v>
      </c>
      <c r="F253" s="46">
        <f>emas!H257</f>
        <v>1470300</v>
      </c>
    </row>
    <row r="254" spans="1:6" x14ac:dyDescent="0.3">
      <c r="A254" s="35">
        <f>inflasi!$G258</f>
        <v>45678</v>
      </c>
      <c r="B254" s="33">
        <f>inflasi!$H258</f>
        <v>0.76</v>
      </c>
      <c r="C254" s="33">
        <f>'suku bunga'!$H258</f>
        <v>5.75</v>
      </c>
      <c r="D254" s="48">
        <f>'nilai tukar'!$H258</f>
        <v>16331</v>
      </c>
      <c r="E254" s="33">
        <f>'minyak mentah'!H258</f>
        <v>76.81</v>
      </c>
      <c r="F254" s="46">
        <f>emas!H258</f>
        <v>1465400</v>
      </c>
    </row>
    <row r="255" spans="1:6" x14ac:dyDescent="0.3">
      <c r="A255" s="35">
        <f>inflasi!$G259</f>
        <v>45677</v>
      </c>
      <c r="B255" s="33">
        <f>inflasi!$H259</f>
        <v>0.76</v>
      </c>
      <c r="C255" s="33">
        <f>'suku bunga'!$H259</f>
        <v>5.75</v>
      </c>
      <c r="D255" s="48">
        <f>'nilai tukar'!$H259</f>
        <v>16372</v>
      </c>
      <c r="E255" s="33">
        <f>'minyak mentah'!H259</f>
        <v>76.81</v>
      </c>
      <c r="F255" s="46">
        <f>emas!H259</f>
        <v>1451200</v>
      </c>
    </row>
    <row r="256" spans="1:6" x14ac:dyDescent="0.3">
      <c r="A256" s="35">
        <f>inflasi!$G260</f>
        <v>45676</v>
      </c>
      <c r="B256" s="33">
        <f>inflasi!$H260</f>
        <v>0.76</v>
      </c>
      <c r="C256" s="33">
        <f>'suku bunga'!$H260</f>
        <v>5.75</v>
      </c>
      <c r="D256" s="48">
        <f>'nilai tukar'!$H260</f>
        <v>16373</v>
      </c>
      <c r="E256" s="33">
        <f>'minyak mentah'!H260</f>
        <v>76.81</v>
      </c>
      <c r="F256" s="46">
        <f>emas!H260</f>
        <v>1447700</v>
      </c>
    </row>
    <row r="257" spans="1:6" x14ac:dyDescent="0.3">
      <c r="A257" s="35">
        <f>inflasi!$G261</f>
        <v>45675</v>
      </c>
      <c r="B257" s="33">
        <f>inflasi!$H261</f>
        <v>0.76</v>
      </c>
      <c r="C257" s="33">
        <f>'suku bunga'!$H261</f>
        <v>5.75</v>
      </c>
      <c r="D257" s="48">
        <f>'nilai tukar'!$H261</f>
        <v>16373</v>
      </c>
      <c r="E257" s="33">
        <f>'minyak mentah'!H261</f>
        <v>76.81</v>
      </c>
      <c r="F257" s="46">
        <f>emas!H261</f>
        <v>1447700</v>
      </c>
    </row>
    <row r="258" spans="1:6" x14ac:dyDescent="0.3">
      <c r="A258" s="35">
        <f>inflasi!$G262</f>
        <v>45674</v>
      </c>
      <c r="B258" s="33">
        <f>inflasi!$H262</f>
        <v>0.76</v>
      </c>
      <c r="C258" s="33">
        <f>'suku bunga'!$H262</f>
        <v>5.75</v>
      </c>
      <c r="D258" s="48">
        <f>'nilai tukar'!$H262</f>
        <v>16373</v>
      </c>
      <c r="E258" s="33">
        <f>'minyak mentah'!H262</f>
        <v>76.81</v>
      </c>
      <c r="F258" s="46">
        <f>emas!H262</f>
        <v>1452900</v>
      </c>
    </row>
    <row r="259" spans="1:6" x14ac:dyDescent="0.3">
      <c r="A259" s="35">
        <f>inflasi!$G263</f>
        <v>45673</v>
      </c>
      <c r="B259" s="33">
        <f>inflasi!$H263</f>
        <v>0.76</v>
      </c>
      <c r="C259" s="33">
        <f>'suku bunga'!$H263</f>
        <v>5.75</v>
      </c>
      <c r="D259" s="48">
        <f>'nilai tukar'!$H263</f>
        <v>16378</v>
      </c>
      <c r="E259" s="33">
        <f>'minyak mentah'!H263</f>
        <v>76.81</v>
      </c>
      <c r="F259" s="46">
        <f>emas!H263</f>
        <v>1454300</v>
      </c>
    </row>
    <row r="260" spans="1:6" x14ac:dyDescent="0.3">
      <c r="A260" s="35">
        <f>inflasi!$G264</f>
        <v>45672</v>
      </c>
      <c r="B260" s="33">
        <f>inflasi!$H264</f>
        <v>0.76</v>
      </c>
      <c r="C260" s="33">
        <f>'suku bunga'!$H264</f>
        <v>5.75</v>
      </c>
      <c r="D260" s="48">
        <f>'nilai tukar'!$H264</f>
        <v>16311</v>
      </c>
      <c r="E260" s="33">
        <f>'minyak mentah'!H264</f>
        <v>76.81</v>
      </c>
      <c r="F260" s="46">
        <f>emas!H264</f>
        <v>1429600</v>
      </c>
    </row>
    <row r="261" spans="1:6" x14ac:dyDescent="0.3">
      <c r="A261" s="35">
        <f>inflasi!$G265</f>
        <v>45671</v>
      </c>
      <c r="B261" s="33">
        <f>inflasi!$H265</f>
        <v>0.76</v>
      </c>
      <c r="C261" s="33">
        <f>'suku bunga'!$H265</f>
        <v>6</v>
      </c>
      <c r="D261" s="48">
        <f>'nilai tukar'!$H265</f>
        <v>16265</v>
      </c>
      <c r="E261" s="33">
        <f>'minyak mentah'!H265</f>
        <v>76.81</v>
      </c>
      <c r="F261" s="46">
        <f>emas!H265</f>
        <v>1420500</v>
      </c>
    </row>
    <row r="262" spans="1:6" x14ac:dyDescent="0.3">
      <c r="A262" s="35">
        <f>inflasi!$G266</f>
        <v>45670</v>
      </c>
      <c r="B262" s="33">
        <f>inflasi!$H266</f>
        <v>0.76</v>
      </c>
      <c r="C262" s="33">
        <f>'suku bunga'!$H266</f>
        <v>6</v>
      </c>
      <c r="D262" s="48">
        <f>'nilai tukar'!$H266</f>
        <v>16281</v>
      </c>
      <c r="E262" s="33">
        <f>'minyak mentah'!H266</f>
        <v>76.81</v>
      </c>
      <c r="F262" s="46">
        <f>emas!H266</f>
        <v>1413400</v>
      </c>
    </row>
    <row r="263" spans="1:6" x14ac:dyDescent="0.3">
      <c r="A263" s="35">
        <f>inflasi!$G267</f>
        <v>45669</v>
      </c>
      <c r="B263" s="33">
        <f>inflasi!$H267</f>
        <v>0.76</v>
      </c>
      <c r="C263" s="33">
        <f>'suku bunga'!$H267</f>
        <v>6</v>
      </c>
      <c r="D263" s="48">
        <f>'nilai tukar'!$H267</f>
        <v>16194</v>
      </c>
      <c r="E263" s="33">
        <f>'minyak mentah'!H267</f>
        <v>76.81</v>
      </c>
      <c r="F263" s="46">
        <f>emas!H267</f>
        <v>1422100</v>
      </c>
    </row>
    <row r="264" spans="1:6" x14ac:dyDescent="0.3">
      <c r="A264" s="35">
        <f>inflasi!$G268</f>
        <v>45668</v>
      </c>
      <c r="B264" s="33">
        <f>inflasi!$H268</f>
        <v>0.76</v>
      </c>
      <c r="C264" s="33">
        <f>'suku bunga'!$H268</f>
        <v>6</v>
      </c>
      <c r="D264" s="48">
        <f>'nilai tukar'!$H268</f>
        <v>16194</v>
      </c>
      <c r="E264" s="33">
        <f>'minyak mentah'!H268</f>
        <v>76.81</v>
      </c>
      <c r="F264" s="46">
        <f>emas!H268</f>
        <v>1422100</v>
      </c>
    </row>
    <row r="265" spans="1:6" x14ac:dyDescent="0.3">
      <c r="A265" s="35">
        <f>inflasi!$G269</f>
        <v>45667</v>
      </c>
      <c r="B265" s="33">
        <f>inflasi!$H269</f>
        <v>0.76</v>
      </c>
      <c r="C265" s="33">
        <f>'suku bunga'!$H269</f>
        <v>6</v>
      </c>
      <c r="D265" s="48">
        <f>'nilai tukar'!$H269</f>
        <v>16194</v>
      </c>
      <c r="E265" s="33">
        <f>'minyak mentah'!H269</f>
        <v>76.81</v>
      </c>
      <c r="F265" s="46">
        <f>emas!H269</f>
        <v>1421900</v>
      </c>
    </row>
    <row r="266" spans="1:6" x14ac:dyDescent="0.3">
      <c r="A266" s="35">
        <f>inflasi!$G270</f>
        <v>45666</v>
      </c>
      <c r="B266" s="33">
        <f>inflasi!$H270</f>
        <v>0.76</v>
      </c>
      <c r="C266" s="33">
        <f>'suku bunga'!$H270</f>
        <v>6</v>
      </c>
      <c r="D266" s="48">
        <f>'nilai tukar'!$H270</f>
        <v>16238</v>
      </c>
      <c r="E266" s="33">
        <f>'minyak mentah'!H270</f>
        <v>76.81</v>
      </c>
      <c r="F266" s="46">
        <f>emas!H270</f>
        <v>1420100</v>
      </c>
    </row>
    <row r="267" spans="1:6" x14ac:dyDescent="0.3">
      <c r="A267" s="35">
        <f>inflasi!$G271</f>
        <v>45665</v>
      </c>
      <c r="B267" s="33">
        <f>inflasi!$H271</f>
        <v>0.76</v>
      </c>
      <c r="C267" s="33">
        <f>'suku bunga'!$H271</f>
        <v>6</v>
      </c>
      <c r="D267" s="48">
        <f>'nilai tukar'!$H271</f>
        <v>16201</v>
      </c>
      <c r="E267" s="33">
        <f>'minyak mentah'!H271</f>
        <v>76.81</v>
      </c>
      <c r="F267" s="46">
        <f>emas!H271</f>
        <v>1405200</v>
      </c>
    </row>
    <row r="268" spans="1:6" x14ac:dyDescent="0.3">
      <c r="A268" s="35">
        <f>inflasi!$G272</f>
        <v>45664</v>
      </c>
      <c r="B268" s="33">
        <f>inflasi!$H272</f>
        <v>0.76</v>
      </c>
      <c r="C268" s="33">
        <f>'suku bunga'!$H272</f>
        <v>6</v>
      </c>
      <c r="D268" s="48">
        <f>'nilai tukar'!$H272</f>
        <v>16169</v>
      </c>
      <c r="E268" s="33">
        <f>'minyak mentah'!H272</f>
        <v>76.81</v>
      </c>
      <c r="F268" s="46">
        <f>emas!H272</f>
        <v>1402900</v>
      </c>
    </row>
    <row r="269" spans="1:6" x14ac:dyDescent="0.3">
      <c r="A269" s="35">
        <f>inflasi!$G273</f>
        <v>45663</v>
      </c>
      <c r="B269" s="33">
        <f>inflasi!$H273</f>
        <v>0.76</v>
      </c>
      <c r="C269" s="33">
        <f>'suku bunga'!$H273</f>
        <v>6</v>
      </c>
      <c r="D269" s="48">
        <f>'nilai tukar'!$H273</f>
        <v>16193</v>
      </c>
      <c r="E269" s="33">
        <f>'minyak mentah'!H273</f>
        <v>76.81</v>
      </c>
      <c r="F269" s="46">
        <f>emas!H273</f>
        <v>1395100</v>
      </c>
    </row>
    <row r="270" spans="1:6" x14ac:dyDescent="0.3">
      <c r="A270" s="35">
        <f>inflasi!$G274</f>
        <v>45662</v>
      </c>
      <c r="B270" s="33">
        <f>inflasi!$H274</f>
        <v>0.76</v>
      </c>
      <c r="C270" s="33">
        <f>'suku bunga'!$H274</f>
        <v>6</v>
      </c>
      <c r="D270" s="48">
        <f>'nilai tukar'!$H274</f>
        <v>16217</v>
      </c>
      <c r="E270" s="33">
        <f>'minyak mentah'!H274</f>
        <v>76.81</v>
      </c>
      <c r="F270" s="46">
        <f>emas!H274</f>
        <v>1399000</v>
      </c>
    </row>
    <row r="271" spans="1:6" x14ac:dyDescent="0.3">
      <c r="A271" s="35">
        <f>inflasi!$G275</f>
        <v>45661</v>
      </c>
      <c r="B271" s="33">
        <f>inflasi!$H275</f>
        <v>0.76</v>
      </c>
      <c r="C271" s="33">
        <f>'suku bunga'!$H275</f>
        <v>6</v>
      </c>
      <c r="D271" s="48">
        <f>'nilai tukar'!$H275</f>
        <v>16217</v>
      </c>
      <c r="E271" s="33">
        <f>'minyak mentah'!H275</f>
        <v>76.81</v>
      </c>
      <c r="F271" s="46">
        <f>emas!H275</f>
        <v>1399000</v>
      </c>
    </row>
    <row r="272" spans="1:6" x14ac:dyDescent="0.3">
      <c r="A272" s="35">
        <f>inflasi!$G276</f>
        <v>45660</v>
      </c>
      <c r="B272" s="33">
        <f>inflasi!$H276</f>
        <v>0.76</v>
      </c>
      <c r="C272" s="33">
        <f>'suku bunga'!$H276</f>
        <v>6</v>
      </c>
      <c r="D272" s="48">
        <f>'nilai tukar'!$H276</f>
        <v>16217</v>
      </c>
      <c r="E272" s="33">
        <f>'minyak mentah'!H276</f>
        <v>76.81</v>
      </c>
      <c r="F272" s="46">
        <f>emas!H276</f>
        <v>1401300</v>
      </c>
    </row>
    <row r="273" spans="1:6" x14ac:dyDescent="0.3">
      <c r="A273" s="35">
        <f>inflasi!$G277</f>
        <v>45659</v>
      </c>
      <c r="B273" s="33">
        <f>inflasi!$H277</f>
        <v>0.76</v>
      </c>
      <c r="C273" s="33">
        <f>'suku bunga'!$H277</f>
        <v>6</v>
      </c>
      <c r="D273" s="48">
        <f>'nilai tukar'!$H277</f>
        <v>16236</v>
      </c>
      <c r="E273" s="33">
        <f>'minyak mentah'!H277</f>
        <v>76.81</v>
      </c>
      <c r="F273" s="46">
        <f>emas!H277</f>
        <v>1400900</v>
      </c>
    </row>
    <row r="274" spans="1:6" x14ac:dyDescent="0.3">
      <c r="A274" s="35">
        <f>inflasi!$G278</f>
        <v>45658</v>
      </c>
      <c r="B274" s="33">
        <f>inflasi!$H278</f>
        <v>0.76</v>
      </c>
      <c r="C274" s="33">
        <f>'suku bunga'!$H278</f>
        <v>6</v>
      </c>
      <c r="D274" s="48">
        <f>'nilai tukar'!$H278</f>
        <v>16157</v>
      </c>
      <c r="E274" s="33">
        <f>'minyak mentah'!H278</f>
        <v>76.81</v>
      </c>
      <c r="F274" s="46">
        <f>emas!H278</f>
        <v>1388200</v>
      </c>
    </row>
    <row r="275" spans="1:6" x14ac:dyDescent="0.3">
      <c r="A275" s="35">
        <f>inflasi!$G279</f>
        <v>45657</v>
      </c>
      <c r="B275" s="33">
        <f>inflasi!$H279</f>
        <v>1.57</v>
      </c>
      <c r="C275" s="33">
        <f>'suku bunga'!$H279</f>
        <v>6</v>
      </c>
      <c r="D275" s="48">
        <f>'nilai tukar'!$H279</f>
        <v>16157</v>
      </c>
      <c r="E275" s="33">
        <f>'minyak mentah'!H279</f>
        <v>71.61</v>
      </c>
      <c r="F275" s="46">
        <f>emas!H279</f>
        <v>1380300</v>
      </c>
    </row>
    <row r="276" spans="1:6" x14ac:dyDescent="0.3">
      <c r="A276" s="35">
        <f>inflasi!$G280</f>
        <v>45656</v>
      </c>
      <c r="B276" s="33">
        <f>inflasi!$H280</f>
        <v>1.57</v>
      </c>
      <c r="C276" s="33">
        <f>'suku bunga'!$H280</f>
        <v>6</v>
      </c>
      <c r="D276" s="48">
        <f>'nilai tukar'!$H280</f>
        <v>16162</v>
      </c>
      <c r="E276" s="33">
        <f>'minyak mentah'!H280</f>
        <v>71.61</v>
      </c>
      <c r="F276" s="46">
        <f>emas!H280</f>
        <v>1383400</v>
      </c>
    </row>
    <row r="277" spans="1:6" x14ac:dyDescent="0.3">
      <c r="A277" s="35">
        <f>inflasi!$G281</f>
        <v>45655</v>
      </c>
      <c r="B277" s="33">
        <f>inflasi!$H281</f>
        <v>1.57</v>
      </c>
      <c r="C277" s="33">
        <f>'suku bunga'!$H281</f>
        <v>6</v>
      </c>
      <c r="D277" s="48">
        <f>'nilai tukar'!$H281</f>
        <v>16251</v>
      </c>
      <c r="E277" s="33">
        <f>'minyak mentah'!H281</f>
        <v>71.61</v>
      </c>
      <c r="F277" s="46">
        <f>emas!H281</f>
        <v>1389200</v>
      </c>
    </row>
    <row r="278" spans="1:6" x14ac:dyDescent="0.3">
      <c r="A278" s="35">
        <f>inflasi!$G282</f>
        <v>45654</v>
      </c>
      <c r="B278" s="33">
        <f>inflasi!$H282</f>
        <v>1.57</v>
      </c>
      <c r="C278" s="33">
        <f>'suku bunga'!$H282</f>
        <v>6</v>
      </c>
      <c r="D278" s="48">
        <f>'nilai tukar'!$H282</f>
        <v>16251</v>
      </c>
      <c r="E278" s="33">
        <f>'minyak mentah'!H282</f>
        <v>71.61</v>
      </c>
      <c r="F278" s="46">
        <f>emas!H282</f>
        <v>1389200</v>
      </c>
    </row>
    <row r="279" spans="1:6" x14ac:dyDescent="0.3">
      <c r="A279" s="35">
        <f>inflasi!$G283</f>
        <v>45653</v>
      </c>
      <c r="B279" s="33">
        <f>inflasi!$H283</f>
        <v>1.57</v>
      </c>
      <c r="C279" s="33">
        <f>'suku bunga'!$H283</f>
        <v>6</v>
      </c>
      <c r="D279" s="48">
        <f>'nilai tukar'!$H283</f>
        <v>16251</v>
      </c>
      <c r="E279" s="33">
        <f>'minyak mentah'!H283</f>
        <v>71.61</v>
      </c>
      <c r="F279" s="46">
        <f>emas!H283</f>
        <v>1384900</v>
      </c>
    </row>
    <row r="280" spans="1:6" x14ac:dyDescent="0.3">
      <c r="A280" s="35">
        <f>inflasi!$G284</f>
        <v>45652</v>
      </c>
      <c r="B280" s="33">
        <f>inflasi!$H284</f>
        <v>1.57</v>
      </c>
      <c r="C280" s="33">
        <f>'suku bunga'!$H284</f>
        <v>6</v>
      </c>
      <c r="D280" s="48">
        <f>'nilai tukar'!$H284</f>
        <v>16208</v>
      </c>
      <c r="E280" s="33">
        <f>'minyak mentah'!H284</f>
        <v>71.61</v>
      </c>
      <c r="F280" s="46">
        <f>emas!H284</f>
        <v>1391300</v>
      </c>
    </row>
    <row r="281" spans="1:6" x14ac:dyDescent="0.3">
      <c r="A281" s="35">
        <f>inflasi!$G285</f>
        <v>45651</v>
      </c>
      <c r="B281" s="33">
        <f>inflasi!$H285</f>
        <v>1.57</v>
      </c>
      <c r="C281" s="33">
        <f>'suku bunga'!$H285</f>
        <v>6</v>
      </c>
      <c r="D281" s="48">
        <f>'nilai tukar'!$H285</f>
        <v>16208</v>
      </c>
      <c r="E281" s="33">
        <f>'minyak mentah'!H285</f>
        <v>71.61</v>
      </c>
      <c r="F281" s="46">
        <f>emas!H285</f>
        <v>1385000</v>
      </c>
    </row>
    <row r="282" spans="1:6" x14ac:dyDescent="0.3">
      <c r="A282" s="35">
        <f>inflasi!$G286</f>
        <v>45650</v>
      </c>
      <c r="B282" s="33">
        <f>inflasi!$H286</f>
        <v>1.57</v>
      </c>
      <c r="C282" s="33">
        <f>'suku bunga'!$H286</f>
        <v>6</v>
      </c>
      <c r="D282" s="48">
        <f>'nilai tukar'!$H286</f>
        <v>16208</v>
      </c>
      <c r="E282" s="33">
        <f>'minyak mentah'!H286</f>
        <v>71.61</v>
      </c>
      <c r="F282" s="46">
        <f>emas!H286</f>
        <v>1379800</v>
      </c>
    </row>
    <row r="283" spans="1:6" x14ac:dyDescent="0.3">
      <c r="A283" s="35">
        <f>inflasi!$G287</f>
        <v>45649</v>
      </c>
      <c r="B283" s="33">
        <f>inflasi!$H287</f>
        <v>1.57</v>
      </c>
      <c r="C283" s="33">
        <f>'suku bunga'!$H287</f>
        <v>6</v>
      </c>
      <c r="D283" s="48">
        <f>'nilai tukar'!$H287</f>
        <v>16159</v>
      </c>
      <c r="E283" s="33">
        <f>'minyak mentah'!H287</f>
        <v>71.61</v>
      </c>
      <c r="F283" s="46">
        <f>emas!H287</f>
        <v>1386900</v>
      </c>
    </row>
    <row r="284" spans="1:6" x14ac:dyDescent="0.3">
      <c r="A284" s="35">
        <f>inflasi!$G288</f>
        <v>45648</v>
      </c>
      <c r="B284" s="33">
        <f>inflasi!$H288</f>
        <v>1.57</v>
      </c>
      <c r="C284" s="33">
        <f>'suku bunga'!$H288</f>
        <v>6</v>
      </c>
      <c r="D284" s="48">
        <f>'nilai tukar'!$H288</f>
        <v>16270</v>
      </c>
      <c r="E284" s="33">
        <f>'minyak mentah'!H288</f>
        <v>71.61</v>
      </c>
      <c r="F284" s="46">
        <f>emas!H288</f>
        <v>1390800</v>
      </c>
    </row>
    <row r="285" spans="1:6" x14ac:dyDescent="0.3">
      <c r="A285" s="35">
        <f>inflasi!$G289</f>
        <v>45647</v>
      </c>
      <c r="B285" s="33">
        <f>inflasi!$H289</f>
        <v>1.57</v>
      </c>
      <c r="C285" s="33">
        <f>'suku bunga'!$H289</f>
        <v>6</v>
      </c>
      <c r="D285" s="48">
        <f>'nilai tukar'!$H289</f>
        <v>16270</v>
      </c>
      <c r="E285" s="33">
        <f>'minyak mentah'!H289</f>
        <v>71.61</v>
      </c>
      <c r="F285" s="46">
        <f>emas!H289</f>
        <v>1390800</v>
      </c>
    </row>
    <row r="286" spans="1:6" x14ac:dyDescent="0.3">
      <c r="A286" s="35">
        <f>inflasi!$G290</f>
        <v>45646</v>
      </c>
      <c r="B286" s="33">
        <f>inflasi!$H290</f>
        <v>1.57</v>
      </c>
      <c r="C286" s="33">
        <f>'suku bunga'!$H290</f>
        <v>6</v>
      </c>
      <c r="D286" s="48">
        <f>'nilai tukar'!$H290</f>
        <v>16270</v>
      </c>
      <c r="E286" s="33">
        <f>'minyak mentah'!H290</f>
        <v>71.61</v>
      </c>
      <c r="F286" s="46">
        <f>emas!H290</f>
        <v>1394600</v>
      </c>
    </row>
    <row r="287" spans="1:6" x14ac:dyDescent="0.3">
      <c r="A287" s="35">
        <f>inflasi!$G291</f>
        <v>45645</v>
      </c>
      <c r="B287" s="33">
        <f>inflasi!$H291</f>
        <v>1.57</v>
      </c>
      <c r="C287" s="33">
        <f>'suku bunga'!$H291</f>
        <v>6</v>
      </c>
      <c r="D287" s="48">
        <f>'nilai tukar'!$H291</f>
        <v>16277</v>
      </c>
      <c r="E287" s="33">
        <f>'minyak mentah'!H291</f>
        <v>71.61</v>
      </c>
      <c r="F287" s="46">
        <f>emas!H291</f>
        <v>1365400</v>
      </c>
    </row>
    <row r="288" spans="1:6" x14ac:dyDescent="0.3">
      <c r="A288" s="35">
        <f>inflasi!$G292</f>
        <v>45644</v>
      </c>
      <c r="B288" s="33">
        <f>inflasi!$H292</f>
        <v>1.57</v>
      </c>
      <c r="C288" s="33">
        <f>'suku bunga'!$H292</f>
        <v>6</v>
      </c>
      <c r="D288" s="48">
        <f>'nilai tukar'!$H292</f>
        <v>16100</v>
      </c>
      <c r="E288" s="33">
        <f>'minyak mentah'!H292</f>
        <v>71.61</v>
      </c>
      <c r="F288" s="46">
        <f>emas!H292</f>
        <v>1391000</v>
      </c>
    </row>
    <row r="289" spans="1:6" x14ac:dyDescent="0.3">
      <c r="A289" s="35">
        <f>inflasi!$G293</f>
        <v>45643</v>
      </c>
      <c r="B289" s="33">
        <f>inflasi!$H293</f>
        <v>1.57</v>
      </c>
      <c r="C289" s="33">
        <f>'suku bunga'!$H293</f>
        <v>6</v>
      </c>
      <c r="D289" s="48">
        <f>'nilai tukar'!$H293</f>
        <v>16050</v>
      </c>
      <c r="E289" s="33">
        <f>'minyak mentah'!H293</f>
        <v>71.61</v>
      </c>
      <c r="F289" s="46">
        <f>emas!H293</f>
        <v>1380100</v>
      </c>
    </row>
    <row r="290" spans="1:6" x14ac:dyDescent="0.3">
      <c r="A290" s="35">
        <f>inflasi!$G294</f>
        <v>45642</v>
      </c>
      <c r="B290" s="33">
        <f>inflasi!$H294</f>
        <v>1.57</v>
      </c>
      <c r="C290" s="33">
        <f>'suku bunga'!$H294</f>
        <v>6</v>
      </c>
      <c r="D290" s="48">
        <f>'nilai tukar'!$H294</f>
        <v>16019</v>
      </c>
      <c r="E290" s="33">
        <f>'minyak mentah'!H294</f>
        <v>71.61</v>
      </c>
      <c r="F290" s="46">
        <f>emas!H294</f>
        <v>1389900</v>
      </c>
    </row>
    <row r="291" spans="1:6" x14ac:dyDescent="0.3">
      <c r="A291" s="35">
        <f>inflasi!$G295</f>
        <v>45641</v>
      </c>
      <c r="B291" s="33">
        <f>inflasi!$H295</f>
        <v>1.57</v>
      </c>
      <c r="C291" s="33">
        <f>'suku bunga'!$H295</f>
        <v>6</v>
      </c>
      <c r="D291" s="48">
        <f>'nilai tukar'!$H295</f>
        <v>15987</v>
      </c>
      <c r="E291" s="33">
        <f>'minyak mentah'!H295</f>
        <v>71.61</v>
      </c>
      <c r="F291" s="46">
        <f>emas!H295</f>
        <v>1386500</v>
      </c>
    </row>
    <row r="292" spans="1:6" x14ac:dyDescent="0.3">
      <c r="A292" s="35">
        <f>inflasi!$G296</f>
        <v>45640</v>
      </c>
      <c r="B292" s="33">
        <f>inflasi!$H296</f>
        <v>1.57</v>
      </c>
      <c r="C292" s="33">
        <f>'suku bunga'!$H296</f>
        <v>6</v>
      </c>
      <c r="D292" s="48">
        <f>'nilai tukar'!$H296</f>
        <v>15987</v>
      </c>
      <c r="E292" s="33">
        <f>'minyak mentah'!H296</f>
        <v>71.61</v>
      </c>
      <c r="F292" s="46">
        <f>emas!H296</f>
        <v>1386500</v>
      </c>
    </row>
    <row r="293" spans="1:6" x14ac:dyDescent="0.3">
      <c r="A293" s="35">
        <f>inflasi!$G297</f>
        <v>45639</v>
      </c>
      <c r="B293" s="33">
        <f>inflasi!$H297</f>
        <v>1.57</v>
      </c>
      <c r="C293" s="33">
        <f>'suku bunga'!$H297</f>
        <v>6</v>
      </c>
      <c r="D293" s="48">
        <f>'nilai tukar'!$H297</f>
        <v>15987</v>
      </c>
      <c r="E293" s="33">
        <f>'minyak mentah'!H297</f>
        <v>71.61</v>
      </c>
      <c r="F293" s="46">
        <f>emas!H297</f>
        <v>1387400</v>
      </c>
    </row>
    <row r="294" spans="1:6" x14ac:dyDescent="0.3">
      <c r="A294" s="35">
        <f>inflasi!$G298</f>
        <v>45638</v>
      </c>
      <c r="B294" s="33">
        <f>inflasi!$H298</f>
        <v>1.57</v>
      </c>
      <c r="C294" s="33">
        <f>'suku bunga'!$H298</f>
        <v>6</v>
      </c>
      <c r="D294" s="48">
        <f>'nilai tukar'!$H298</f>
        <v>15939</v>
      </c>
      <c r="E294" s="33">
        <f>'minyak mentah'!H298</f>
        <v>71.61</v>
      </c>
      <c r="F294" s="46">
        <f>emas!H298</f>
        <v>1398500</v>
      </c>
    </row>
    <row r="295" spans="1:6" x14ac:dyDescent="0.3">
      <c r="A295" s="35">
        <f>inflasi!$G299</f>
        <v>45637</v>
      </c>
      <c r="B295" s="33">
        <f>inflasi!$H299</f>
        <v>1.57</v>
      </c>
      <c r="C295" s="33">
        <f>'suku bunga'!$H299</f>
        <v>6</v>
      </c>
      <c r="D295" s="48">
        <f>'nilai tukar'!$H299</f>
        <v>15905</v>
      </c>
      <c r="E295" s="33">
        <f>'minyak mentah'!H299</f>
        <v>71.61</v>
      </c>
      <c r="F295" s="46">
        <f>emas!H299</f>
        <v>1403200</v>
      </c>
    </row>
    <row r="296" spans="1:6" x14ac:dyDescent="0.3">
      <c r="A296" s="35">
        <f>inflasi!$G300</f>
        <v>45636</v>
      </c>
      <c r="B296" s="33">
        <f>inflasi!$H300</f>
        <v>1.57</v>
      </c>
      <c r="C296" s="33">
        <f>'suku bunga'!$H300</f>
        <v>6</v>
      </c>
      <c r="D296" s="48">
        <f>'nilai tukar'!$H300</f>
        <v>15874</v>
      </c>
      <c r="E296" s="33">
        <f>'minyak mentah'!H300</f>
        <v>71.61</v>
      </c>
      <c r="F296" s="46">
        <f>emas!H300</f>
        <v>1396100</v>
      </c>
    </row>
    <row r="297" spans="1:6" x14ac:dyDescent="0.3">
      <c r="A297" s="35">
        <f>inflasi!$G301</f>
        <v>45635</v>
      </c>
      <c r="B297" s="33">
        <f>inflasi!$H301</f>
        <v>1.57</v>
      </c>
      <c r="C297" s="33">
        <f>'suku bunga'!$H301</f>
        <v>6</v>
      </c>
      <c r="D297" s="48">
        <f>'nilai tukar'!$H301</f>
        <v>15861</v>
      </c>
      <c r="E297" s="33">
        <f>'minyak mentah'!H301</f>
        <v>71.61</v>
      </c>
      <c r="F297" s="46">
        <f>emas!H301</f>
        <v>1383200</v>
      </c>
    </row>
    <row r="298" spans="1:6" x14ac:dyDescent="0.3">
      <c r="A298" s="35">
        <f>inflasi!$G302</f>
        <v>45634</v>
      </c>
      <c r="B298" s="33">
        <f>inflasi!$H302</f>
        <v>1.57</v>
      </c>
      <c r="C298" s="33">
        <f>'suku bunga'!$H302</f>
        <v>6</v>
      </c>
      <c r="D298" s="48">
        <f>'nilai tukar'!$H302</f>
        <v>15848</v>
      </c>
      <c r="E298" s="33">
        <f>'minyak mentah'!H302</f>
        <v>71.61</v>
      </c>
      <c r="F298" s="46">
        <f>emas!H302</f>
        <v>1361600</v>
      </c>
    </row>
    <row r="299" spans="1:6" x14ac:dyDescent="0.3">
      <c r="A299" s="35">
        <f>inflasi!$G303</f>
        <v>45633</v>
      </c>
      <c r="B299" s="33">
        <f>inflasi!$H303</f>
        <v>1.57</v>
      </c>
      <c r="C299" s="33">
        <f>'suku bunga'!$H303</f>
        <v>6</v>
      </c>
      <c r="D299" s="48">
        <f>'nilai tukar'!$H303</f>
        <v>15848</v>
      </c>
      <c r="E299" s="33">
        <f>'minyak mentah'!H303</f>
        <v>71.61</v>
      </c>
      <c r="F299" s="46">
        <f>emas!H303</f>
        <v>1361600</v>
      </c>
    </row>
    <row r="300" spans="1:6" x14ac:dyDescent="0.3">
      <c r="A300" s="35">
        <f>inflasi!$G304</f>
        <v>45632</v>
      </c>
      <c r="B300" s="33">
        <f>inflasi!$H304</f>
        <v>1.57</v>
      </c>
      <c r="C300" s="33">
        <f>'suku bunga'!$H304</f>
        <v>6</v>
      </c>
      <c r="D300" s="48">
        <f>'nilai tukar'!$H304</f>
        <v>15848</v>
      </c>
      <c r="E300" s="33">
        <f>'minyak mentah'!H304</f>
        <v>71.61</v>
      </c>
      <c r="F300" s="46">
        <f>emas!H304</f>
        <v>1364600</v>
      </c>
    </row>
    <row r="301" spans="1:6" x14ac:dyDescent="0.3">
      <c r="A301" s="35">
        <f>inflasi!$G305</f>
        <v>45631</v>
      </c>
      <c r="B301" s="33">
        <f>inflasi!$H305</f>
        <v>1.57</v>
      </c>
      <c r="C301" s="33">
        <f>'suku bunga'!$H305</f>
        <v>6</v>
      </c>
      <c r="D301" s="48">
        <f>'nilai tukar'!$H305</f>
        <v>15892</v>
      </c>
      <c r="E301" s="33">
        <f>'minyak mentah'!H305</f>
        <v>71.61</v>
      </c>
      <c r="F301" s="46">
        <f>emas!H305</f>
        <v>1376300</v>
      </c>
    </row>
    <row r="302" spans="1:6" x14ac:dyDescent="0.3">
      <c r="A302" s="35">
        <f>inflasi!$G306</f>
        <v>45630</v>
      </c>
      <c r="B302" s="33">
        <f>inflasi!$H306</f>
        <v>1.57</v>
      </c>
      <c r="C302" s="33">
        <f>'suku bunga'!$H306</f>
        <v>6</v>
      </c>
      <c r="D302" s="48">
        <f>'nilai tukar'!$H306</f>
        <v>15957</v>
      </c>
      <c r="E302" s="33">
        <f>'minyak mentah'!H306</f>
        <v>71.61</v>
      </c>
      <c r="F302" s="46">
        <f>emas!H306</f>
        <v>1380000</v>
      </c>
    </row>
    <row r="303" spans="1:6" x14ac:dyDescent="0.3">
      <c r="A303" s="35">
        <f>inflasi!$G307</f>
        <v>45629</v>
      </c>
      <c r="B303" s="33">
        <f>inflasi!$H307</f>
        <v>1.57</v>
      </c>
      <c r="C303" s="33">
        <f>'suku bunga'!$H307</f>
        <v>6</v>
      </c>
      <c r="D303" s="48">
        <f>'nilai tukar'!$H307</f>
        <v>15950</v>
      </c>
      <c r="E303" s="33">
        <f>'minyak mentah'!H307</f>
        <v>71.61</v>
      </c>
      <c r="F303" s="46">
        <f>emas!H307</f>
        <v>1372500</v>
      </c>
    </row>
    <row r="304" spans="1:6" x14ac:dyDescent="0.3">
      <c r="A304" s="35">
        <f>inflasi!$G308</f>
        <v>45628</v>
      </c>
      <c r="B304" s="33">
        <f>inflasi!$H308</f>
        <v>1.57</v>
      </c>
      <c r="C304" s="33">
        <f>'suku bunga'!$H308</f>
        <v>6</v>
      </c>
      <c r="D304" s="48">
        <f>'nilai tukar'!$H308</f>
        <v>15905</v>
      </c>
      <c r="E304" s="33">
        <f>'minyak mentah'!H308</f>
        <v>71.61</v>
      </c>
      <c r="F304" s="46">
        <f>emas!H308</f>
        <v>1371600</v>
      </c>
    </row>
    <row r="305" spans="1:6" x14ac:dyDescent="0.3">
      <c r="A305" s="35">
        <f>inflasi!$G309</f>
        <v>45627</v>
      </c>
      <c r="B305" s="33">
        <f>inflasi!$H309</f>
        <v>1.57</v>
      </c>
      <c r="C305" s="33">
        <f>'suku bunga'!$H309</f>
        <v>6</v>
      </c>
      <c r="D305" s="48">
        <f>'nilai tukar'!$H309</f>
        <v>15856</v>
      </c>
      <c r="E305" s="33">
        <f>'minyak mentah'!H309</f>
        <v>71.61</v>
      </c>
      <c r="F305" s="46">
        <f>emas!H309</f>
        <v>1371500</v>
      </c>
    </row>
    <row r="306" spans="1:6" x14ac:dyDescent="0.3">
      <c r="A306" s="35">
        <f>inflasi!$G310</f>
        <v>45626</v>
      </c>
      <c r="B306" s="33">
        <f>inflasi!$H310</f>
        <v>1.55</v>
      </c>
      <c r="C306" s="33">
        <f>'suku bunga'!$H310</f>
        <v>6</v>
      </c>
      <c r="D306" s="48">
        <f>'nilai tukar'!$H310</f>
        <v>15856</v>
      </c>
      <c r="E306" s="33">
        <f>'minyak mentah'!H310</f>
        <v>71.83</v>
      </c>
      <c r="F306" s="46">
        <f>emas!H310</f>
        <v>1371500</v>
      </c>
    </row>
    <row r="307" spans="1:6" x14ac:dyDescent="0.3">
      <c r="A307" s="35">
        <f>inflasi!$G311</f>
        <v>45625</v>
      </c>
      <c r="B307" s="33">
        <f>inflasi!$H311</f>
        <v>1.55</v>
      </c>
      <c r="C307" s="33">
        <f>'suku bunga'!$H311</f>
        <v>6</v>
      </c>
      <c r="D307" s="48">
        <f>'nilai tukar'!$H311</f>
        <v>15856</v>
      </c>
      <c r="E307" s="33">
        <f>'minyak mentah'!H311</f>
        <v>71.83</v>
      </c>
      <c r="F307" s="46">
        <f>emas!H311</f>
        <v>1375400</v>
      </c>
    </row>
    <row r="308" spans="1:6" x14ac:dyDescent="0.3">
      <c r="A308" s="35">
        <f>inflasi!$G312</f>
        <v>45624</v>
      </c>
      <c r="B308" s="33">
        <f>inflasi!$H312</f>
        <v>1.55</v>
      </c>
      <c r="C308" s="33">
        <f>'suku bunga'!$H312</f>
        <v>6</v>
      </c>
      <c r="D308" s="48">
        <f>'nilai tukar'!$H312</f>
        <v>15864</v>
      </c>
      <c r="E308" s="33">
        <f>'minyak mentah'!H312</f>
        <v>71.83</v>
      </c>
      <c r="F308" s="46">
        <f>emas!H312</f>
        <v>1367600</v>
      </c>
    </row>
    <row r="309" spans="1:6" x14ac:dyDescent="0.3">
      <c r="A309" s="35">
        <f>inflasi!$G313</f>
        <v>45623</v>
      </c>
      <c r="B309" s="33">
        <f>inflasi!$H313</f>
        <v>1.55</v>
      </c>
      <c r="C309" s="33">
        <f>'suku bunga'!$H313</f>
        <v>6</v>
      </c>
      <c r="D309" s="48">
        <f>'nilai tukar'!$H313</f>
        <v>15930</v>
      </c>
      <c r="E309" s="33">
        <f>'minyak mentah'!H313</f>
        <v>71.83</v>
      </c>
      <c r="F309" s="46">
        <f>emas!H313</f>
        <v>1373600</v>
      </c>
    </row>
    <row r="310" spans="1:6" x14ac:dyDescent="0.3">
      <c r="A310" s="35">
        <f>inflasi!$G314</f>
        <v>45622</v>
      </c>
      <c r="B310" s="33">
        <f>inflasi!$H314</f>
        <v>1.55</v>
      </c>
      <c r="C310" s="33">
        <f>'suku bunga'!$H314</f>
        <v>6</v>
      </c>
      <c r="D310" s="48">
        <f>'nilai tukar'!$H314</f>
        <v>15930</v>
      </c>
      <c r="E310" s="33">
        <f>'minyak mentah'!H314</f>
        <v>71.83</v>
      </c>
      <c r="F310" s="46">
        <f>emas!H314</f>
        <v>1357300</v>
      </c>
    </row>
    <row r="311" spans="1:6" x14ac:dyDescent="0.3">
      <c r="A311" s="35">
        <f>inflasi!$G315</f>
        <v>45621</v>
      </c>
      <c r="B311" s="33">
        <f>inflasi!$H315</f>
        <v>1.55</v>
      </c>
      <c r="C311" s="33">
        <f>'suku bunga'!$H315</f>
        <v>6</v>
      </c>
      <c r="D311" s="48">
        <f>'nilai tukar'!$H315</f>
        <v>15864</v>
      </c>
      <c r="E311" s="33">
        <f>'minyak mentah'!H315</f>
        <v>71.83</v>
      </c>
      <c r="F311" s="46">
        <f>emas!H315</f>
        <v>1370300</v>
      </c>
    </row>
    <row r="312" spans="1:6" x14ac:dyDescent="0.3">
      <c r="A312" s="35">
        <f>inflasi!$G316</f>
        <v>45620</v>
      </c>
      <c r="B312" s="33">
        <f>inflasi!$H316</f>
        <v>1.55</v>
      </c>
      <c r="C312" s="33">
        <f>'suku bunga'!$H316</f>
        <v>6</v>
      </c>
      <c r="D312" s="48">
        <f>'nilai tukar'!$H316</f>
        <v>15911</v>
      </c>
      <c r="E312" s="33">
        <f>'minyak mentah'!H316</f>
        <v>71.83</v>
      </c>
      <c r="F312" s="46">
        <f>emas!H316</f>
        <v>1409800</v>
      </c>
    </row>
    <row r="313" spans="1:6" x14ac:dyDescent="0.3">
      <c r="A313" s="35">
        <f>inflasi!$G317</f>
        <v>45619</v>
      </c>
      <c r="B313" s="33">
        <f>inflasi!$H317</f>
        <v>1.55</v>
      </c>
      <c r="C313" s="33">
        <f>'suku bunga'!$H317</f>
        <v>6</v>
      </c>
      <c r="D313" s="48">
        <f>'nilai tukar'!$H317</f>
        <v>15911</v>
      </c>
      <c r="E313" s="33">
        <f>'minyak mentah'!H317</f>
        <v>71.83</v>
      </c>
      <c r="F313" s="46">
        <f>emas!H317</f>
        <v>1409800</v>
      </c>
    </row>
    <row r="314" spans="1:6" x14ac:dyDescent="0.3">
      <c r="A314" s="35">
        <f>inflasi!$G318</f>
        <v>45618</v>
      </c>
      <c r="B314" s="33">
        <f>inflasi!$H318</f>
        <v>1.55</v>
      </c>
      <c r="C314" s="33">
        <f>'suku bunga'!$H318</f>
        <v>6</v>
      </c>
      <c r="D314" s="48">
        <f>'nilai tukar'!$H318</f>
        <v>15911</v>
      </c>
      <c r="E314" s="33">
        <f>'minyak mentah'!H318</f>
        <v>71.83</v>
      </c>
      <c r="F314" s="46">
        <f>emas!H318</f>
        <v>1398200</v>
      </c>
    </row>
    <row r="315" spans="1:6" x14ac:dyDescent="0.3">
      <c r="A315" s="35">
        <f>inflasi!$G319</f>
        <v>45617</v>
      </c>
      <c r="B315" s="33">
        <f>inflasi!$H319</f>
        <v>1.55</v>
      </c>
      <c r="C315" s="33">
        <f>'suku bunga'!$H319</f>
        <v>6</v>
      </c>
      <c r="D315" s="48">
        <f>'nilai tukar'!$H319</f>
        <v>15942</v>
      </c>
      <c r="E315" s="33">
        <f>'minyak mentah'!H319</f>
        <v>71.83</v>
      </c>
      <c r="F315" s="46">
        <f>emas!H319</f>
        <v>1382400</v>
      </c>
    </row>
    <row r="316" spans="1:6" x14ac:dyDescent="0.3">
      <c r="A316" s="35">
        <f>inflasi!$G320</f>
        <v>45616</v>
      </c>
      <c r="B316" s="33">
        <f>inflasi!$H320</f>
        <v>1.55</v>
      </c>
      <c r="C316" s="33">
        <f>'suku bunga'!$H320</f>
        <v>6</v>
      </c>
      <c r="D316" s="48">
        <f>'nilai tukar'!$H320</f>
        <v>15858</v>
      </c>
      <c r="E316" s="33">
        <f>'minyak mentah'!H320</f>
        <v>71.83</v>
      </c>
      <c r="F316" s="46">
        <f>emas!H320</f>
        <v>1365900</v>
      </c>
    </row>
    <row r="317" spans="1:6" x14ac:dyDescent="0.3">
      <c r="A317" s="35">
        <f>inflasi!$G321</f>
        <v>45615</v>
      </c>
      <c r="B317" s="33">
        <f>inflasi!$H321</f>
        <v>1.55</v>
      </c>
      <c r="C317" s="33">
        <f>'suku bunga'!$H321</f>
        <v>6</v>
      </c>
      <c r="D317" s="48">
        <f>'nilai tukar'!$H321</f>
        <v>15816</v>
      </c>
      <c r="E317" s="33">
        <f>'minyak mentah'!H321</f>
        <v>71.83</v>
      </c>
      <c r="F317" s="46">
        <f>emas!H321</f>
        <v>1358900</v>
      </c>
    </row>
    <row r="318" spans="1:6" x14ac:dyDescent="0.3">
      <c r="A318" s="35">
        <f>inflasi!$G322</f>
        <v>45614</v>
      </c>
      <c r="B318" s="33">
        <f>inflasi!$H322</f>
        <v>1.55</v>
      </c>
      <c r="C318" s="33">
        <f>'suku bunga'!$H322</f>
        <v>6</v>
      </c>
      <c r="D318" s="48">
        <f>'nilai tukar'!$H322</f>
        <v>15848</v>
      </c>
      <c r="E318" s="33">
        <f>'minyak mentah'!H322</f>
        <v>71.83</v>
      </c>
      <c r="F318" s="46">
        <f>emas!H322</f>
        <v>1351300</v>
      </c>
    </row>
    <row r="319" spans="1:6" x14ac:dyDescent="0.3">
      <c r="A319" s="35">
        <f>inflasi!$G323</f>
        <v>45613</v>
      </c>
      <c r="B319" s="33">
        <f>inflasi!$H323</f>
        <v>1.55</v>
      </c>
      <c r="C319" s="33">
        <f>'suku bunga'!$H323</f>
        <v>6</v>
      </c>
      <c r="D319" s="48">
        <f>'nilai tukar'!$H323</f>
        <v>15888</v>
      </c>
      <c r="E319" s="33">
        <f>'minyak mentah'!H323</f>
        <v>71.83</v>
      </c>
      <c r="F319" s="46">
        <f>emas!H323</f>
        <v>1328300</v>
      </c>
    </row>
    <row r="320" spans="1:6" x14ac:dyDescent="0.3">
      <c r="A320" s="35">
        <f>inflasi!$G324</f>
        <v>45612</v>
      </c>
      <c r="B320" s="33">
        <f>inflasi!$H324</f>
        <v>1.55</v>
      </c>
      <c r="C320" s="33">
        <f>'suku bunga'!$H324</f>
        <v>6</v>
      </c>
      <c r="D320" s="48">
        <f>'nilai tukar'!$H324</f>
        <v>15888</v>
      </c>
      <c r="E320" s="33">
        <f>'minyak mentah'!H324</f>
        <v>71.83</v>
      </c>
      <c r="F320" s="46">
        <f>emas!H324</f>
        <v>1328300</v>
      </c>
    </row>
    <row r="321" spans="1:6" x14ac:dyDescent="0.3">
      <c r="A321" s="35">
        <f>inflasi!$G325</f>
        <v>45611</v>
      </c>
      <c r="B321" s="33">
        <f>inflasi!$H325</f>
        <v>1.55</v>
      </c>
      <c r="C321" s="33">
        <f>'suku bunga'!$H325</f>
        <v>6</v>
      </c>
      <c r="D321" s="48">
        <f>'nilai tukar'!$H325</f>
        <v>15888</v>
      </c>
      <c r="E321" s="33">
        <f>'minyak mentah'!H325</f>
        <v>71.83</v>
      </c>
      <c r="F321" s="46">
        <f>emas!H325</f>
        <v>1339900</v>
      </c>
    </row>
    <row r="322" spans="1:6" x14ac:dyDescent="0.3">
      <c r="A322" s="35">
        <f>inflasi!$G326</f>
        <v>45610</v>
      </c>
      <c r="B322" s="33">
        <f>inflasi!$H326</f>
        <v>1.55</v>
      </c>
      <c r="C322" s="33">
        <f>'suku bunga'!$H326</f>
        <v>6</v>
      </c>
      <c r="D322" s="48">
        <f>'nilai tukar'!$H326</f>
        <v>15873</v>
      </c>
      <c r="E322" s="33">
        <f>'minyak mentah'!H326</f>
        <v>71.83</v>
      </c>
      <c r="F322" s="46">
        <f>emas!H326</f>
        <v>1313700</v>
      </c>
    </row>
    <row r="323" spans="1:6" x14ac:dyDescent="0.3">
      <c r="A323" s="35">
        <f>inflasi!$G327</f>
        <v>45609</v>
      </c>
      <c r="B323" s="33">
        <f>inflasi!$H327</f>
        <v>1.55</v>
      </c>
      <c r="C323" s="33">
        <f>'suku bunga'!$H327</f>
        <v>6</v>
      </c>
      <c r="D323" s="48">
        <f>'nilai tukar'!$H327</f>
        <v>15782</v>
      </c>
      <c r="E323" s="33">
        <f>'minyak mentah'!H327</f>
        <v>71.83</v>
      </c>
      <c r="F323" s="46">
        <f>emas!H327</f>
        <v>1341900</v>
      </c>
    </row>
    <row r="324" spans="1:6" x14ac:dyDescent="0.3">
      <c r="A324" s="35">
        <f>inflasi!$G328</f>
        <v>45608</v>
      </c>
      <c r="B324" s="33">
        <f>inflasi!$H328</f>
        <v>1.55</v>
      </c>
      <c r="C324" s="33">
        <f>'suku bunga'!$H328</f>
        <v>6</v>
      </c>
      <c r="D324" s="48">
        <f>'nilai tukar'!$H328</f>
        <v>15771</v>
      </c>
      <c r="E324" s="33">
        <f>'minyak mentah'!H328</f>
        <v>71.83</v>
      </c>
      <c r="F324" s="46">
        <f>emas!H328</f>
        <v>1340000</v>
      </c>
    </row>
    <row r="325" spans="1:6" x14ac:dyDescent="0.3">
      <c r="A325" s="35">
        <f>inflasi!$G329</f>
        <v>45607</v>
      </c>
      <c r="B325" s="33">
        <f>inflasi!$H329</f>
        <v>1.55</v>
      </c>
      <c r="C325" s="33">
        <f>'suku bunga'!$H329</f>
        <v>6</v>
      </c>
      <c r="D325" s="48">
        <f>'nilai tukar'!$H329</f>
        <v>15677</v>
      </c>
      <c r="E325" s="33">
        <f>'minyak mentah'!H329</f>
        <v>71.83</v>
      </c>
      <c r="F325" s="46">
        <f>emas!H329</f>
        <v>1334900</v>
      </c>
    </row>
    <row r="326" spans="1:6" x14ac:dyDescent="0.3">
      <c r="A326" s="35">
        <f>inflasi!$G330</f>
        <v>45606</v>
      </c>
      <c r="B326" s="33">
        <f>inflasi!$H330</f>
        <v>1.55</v>
      </c>
      <c r="C326" s="33">
        <f>'suku bunga'!$H330</f>
        <v>6</v>
      </c>
      <c r="D326" s="48">
        <f>'nilai tukar'!$H330</f>
        <v>15671</v>
      </c>
      <c r="E326" s="33">
        <f>'minyak mentah'!H330</f>
        <v>71.83</v>
      </c>
      <c r="F326" s="46">
        <f>emas!H330</f>
        <v>1366600</v>
      </c>
    </row>
    <row r="327" spans="1:6" x14ac:dyDescent="0.3">
      <c r="A327" s="35">
        <f>inflasi!$G331</f>
        <v>45605</v>
      </c>
      <c r="B327" s="33">
        <f>inflasi!$H331</f>
        <v>1.55</v>
      </c>
      <c r="C327" s="33">
        <f>'suku bunga'!$H331</f>
        <v>6</v>
      </c>
      <c r="D327" s="48">
        <f>'nilai tukar'!$H331</f>
        <v>15671</v>
      </c>
      <c r="E327" s="33">
        <f>'minyak mentah'!H331</f>
        <v>71.83</v>
      </c>
      <c r="F327" s="46">
        <f>emas!H331</f>
        <v>1366600</v>
      </c>
    </row>
    <row r="328" spans="1:6" x14ac:dyDescent="0.3">
      <c r="A328" s="35">
        <f>inflasi!$G332</f>
        <v>45604</v>
      </c>
      <c r="B328" s="33">
        <f>inflasi!$H332</f>
        <v>1.55</v>
      </c>
      <c r="C328" s="33">
        <f>'suku bunga'!$H332</f>
        <v>6</v>
      </c>
      <c r="D328" s="48">
        <f>'nilai tukar'!$H332</f>
        <v>15671</v>
      </c>
      <c r="E328" s="33">
        <f>'minyak mentah'!H332</f>
        <v>71.83</v>
      </c>
      <c r="F328" s="46">
        <f>emas!H332</f>
        <v>1376300</v>
      </c>
    </row>
    <row r="329" spans="1:6" x14ac:dyDescent="0.3">
      <c r="A329" s="35">
        <f>inflasi!$G333</f>
        <v>45603</v>
      </c>
      <c r="B329" s="33">
        <f>inflasi!$H333</f>
        <v>1.55</v>
      </c>
      <c r="C329" s="33">
        <f>'suku bunga'!$H333</f>
        <v>6</v>
      </c>
      <c r="D329" s="48">
        <f>'nilai tukar'!$H333</f>
        <v>15767</v>
      </c>
      <c r="E329" s="33">
        <f>'minyak mentah'!H333</f>
        <v>71.83</v>
      </c>
      <c r="F329" s="46">
        <f>emas!H333</f>
        <v>1394500</v>
      </c>
    </row>
    <row r="330" spans="1:6" x14ac:dyDescent="0.3">
      <c r="A330" s="35">
        <f>inflasi!$G334</f>
        <v>45602</v>
      </c>
      <c r="B330" s="33">
        <f>inflasi!$H334</f>
        <v>1.55</v>
      </c>
      <c r="C330" s="33">
        <f>'suku bunga'!$H334</f>
        <v>6</v>
      </c>
      <c r="D330" s="48">
        <f>'nilai tukar'!$H334</f>
        <v>15840</v>
      </c>
      <c r="E330" s="33">
        <f>'minyak mentah'!H334</f>
        <v>71.83</v>
      </c>
      <c r="F330" s="46">
        <f>emas!H334</f>
        <v>1367800</v>
      </c>
    </row>
    <row r="331" spans="1:6" x14ac:dyDescent="0.3">
      <c r="A331" s="35">
        <f>inflasi!$G335</f>
        <v>45601</v>
      </c>
      <c r="B331" s="33">
        <f>inflasi!$H335</f>
        <v>1.55</v>
      </c>
      <c r="C331" s="33">
        <f>'suku bunga'!$H335</f>
        <v>6</v>
      </c>
      <c r="D331" s="48">
        <f>'nilai tukar'!$H335</f>
        <v>15766</v>
      </c>
      <c r="E331" s="33">
        <f>'minyak mentah'!H335</f>
        <v>71.83</v>
      </c>
      <c r="F331" s="46">
        <f>emas!H335</f>
        <v>1412400</v>
      </c>
    </row>
    <row r="332" spans="1:6" x14ac:dyDescent="0.3">
      <c r="A332" s="35">
        <f>inflasi!$G336</f>
        <v>45600</v>
      </c>
      <c r="B332" s="33">
        <f>inflasi!$H336</f>
        <v>1.55</v>
      </c>
      <c r="C332" s="33">
        <f>'suku bunga'!$H336</f>
        <v>6</v>
      </c>
      <c r="D332" s="48">
        <f>'nilai tukar'!$H336</f>
        <v>15751</v>
      </c>
      <c r="E332" s="33">
        <f>'minyak mentah'!H336</f>
        <v>71.83</v>
      </c>
      <c r="F332" s="46">
        <f>emas!H336</f>
        <v>1410300</v>
      </c>
    </row>
    <row r="333" spans="1:6" x14ac:dyDescent="0.3">
      <c r="A333" s="35">
        <f>inflasi!$G337</f>
        <v>45599</v>
      </c>
      <c r="B333" s="33">
        <f>inflasi!$H337</f>
        <v>1.55</v>
      </c>
      <c r="C333" s="33">
        <f>'suku bunga'!$H337</f>
        <v>6</v>
      </c>
      <c r="D333" s="48">
        <f>'nilai tukar'!$H337</f>
        <v>15723</v>
      </c>
      <c r="E333" s="33">
        <f>'minyak mentah'!H337</f>
        <v>71.83</v>
      </c>
      <c r="F333" s="46">
        <f>emas!H337</f>
        <v>1405400</v>
      </c>
    </row>
    <row r="334" spans="1:6" x14ac:dyDescent="0.3">
      <c r="A334" s="35">
        <f>inflasi!$G338</f>
        <v>45598</v>
      </c>
      <c r="B334" s="33">
        <f>inflasi!$H338</f>
        <v>1.55</v>
      </c>
      <c r="C334" s="33">
        <f>'suku bunga'!$H338</f>
        <v>6</v>
      </c>
      <c r="D334" s="48">
        <f>'nilai tukar'!$H338</f>
        <v>15723</v>
      </c>
      <c r="E334" s="33">
        <f>'minyak mentah'!H338</f>
        <v>71.83</v>
      </c>
      <c r="F334" s="46">
        <f>emas!H338</f>
        <v>1403700</v>
      </c>
    </row>
    <row r="335" spans="1:6" x14ac:dyDescent="0.3">
      <c r="A335" s="35">
        <f>inflasi!$G339</f>
        <v>45597</v>
      </c>
      <c r="B335" s="33">
        <f>inflasi!$H339</f>
        <v>1.55</v>
      </c>
      <c r="C335" s="33">
        <f>'suku bunga'!$H339</f>
        <v>6</v>
      </c>
      <c r="D335" s="48">
        <f>'nilai tukar'!$H339</f>
        <v>15723</v>
      </c>
      <c r="E335" s="33">
        <f>'minyak mentah'!H339</f>
        <v>71.83</v>
      </c>
      <c r="F335" s="46">
        <f>emas!H339</f>
        <v>1408200</v>
      </c>
    </row>
    <row r="336" spans="1:6" x14ac:dyDescent="0.3">
      <c r="A336" s="35">
        <f>inflasi!$G340</f>
        <v>45596</v>
      </c>
      <c r="B336" s="33">
        <f>inflasi!$H340</f>
        <v>1.71</v>
      </c>
      <c r="C336" s="33">
        <f>'suku bunga'!$H340</f>
        <v>6</v>
      </c>
      <c r="D336" s="48">
        <f>'nilai tukar'!$H340</f>
        <v>15705</v>
      </c>
      <c r="E336" s="33">
        <f>'minyak mentah'!H340</f>
        <v>73.53</v>
      </c>
      <c r="F336" s="46">
        <f>emas!H340</f>
        <v>1401200</v>
      </c>
    </row>
    <row r="337" spans="1:6" x14ac:dyDescent="0.3">
      <c r="A337" s="35">
        <f>inflasi!$G341</f>
        <v>45595</v>
      </c>
      <c r="B337" s="33">
        <f>inflasi!$H341</f>
        <v>1.71</v>
      </c>
      <c r="C337" s="33">
        <f>'suku bunga'!$H341</f>
        <v>6</v>
      </c>
      <c r="D337" s="48">
        <f>'nilai tukar'!$H341</f>
        <v>15732</v>
      </c>
      <c r="E337" s="33">
        <f>'minyak mentah'!H341</f>
        <v>73.53</v>
      </c>
      <c r="F337" s="46">
        <f>emas!H341</f>
        <v>1431100</v>
      </c>
    </row>
    <row r="338" spans="1:6" x14ac:dyDescent="0.3">
      <c r="A338" s="35">
        <f>inflasi!$G342</f>
        <v>45594</v>
      </c>
      <c r="B338" s="33">
        <f>inflasi!$H342</f>
        <v>1.71</v>
      </c>
      <c r="C338" s="33">
        <f>'suku bunga'!$H342</f>
        <v>6</v>
      </c>
      <c r="D338" s="48">
        <f>'nilai tukar'!$H342</f>
        <v>15760</v>
      </c>
      <c r="E338" s="33">
        <f>'minyak mentah'!H342</f>
        <v>73.53</v>
      </c>
      <c r="F338" s="46">
        <f>emas!H342</f>
        <v>1421000</v>
      </c>
    </row>
    <row r="339" spans="1:6" x14ac:dyDescent="0.3">
      <c r="A339" s="35">
        <f>inflasi!$G343</f>
        <v>45593</v>
      </c>
      <c r="B339" s="33">
        <f>inflasi!$H343</f>
        <v>1.71</v>
      </c>
      <c r="C339" s="33">
        <f>'suku bunga'!$H343</f>
        <v>6</v>
      </c>
      <c r="D339" s="48">
        <f>'nilai tukar'!$H343</f>
        <v>15729</v>
      </c>
      <c r="E339" s="33">
        <f>'minyak mentah'!H343</f>
        <v>73.53</v>
      </c>
      <c r="F339" s="46">
        <f>emas!H343</f>
        <v>1402000</v>
      </c>
    </row>
    <row r="340" spans="1:6" x14ac:dyDescent="0.3">
      <c r="A340" s="35">
        <f>inflasi!$G344</f>
        <v>45592</v>
      </c>
      <c r="B340" s="33">
        <f>inflasi!$H344</f>
        <v>1.71</v>
      </c>
      <c r="C340" s="33">
        <f>'suku bunga'!$H344</f>
        <v>6</v>
      </c>
      <c r="D340" s="48">
        <f>'nilai tukar'!$H344</f>
        <v>15629</v>
      </c>
      <c r="E340" s="33">
        <f>'minyak mentah'!H344</f>
        <v>73.53</v>
      </c>
      <c r="F340" s="46">
        <f>emas!H344</f>
        <v>1403500</v>
      </c>
    </row>
    <row r="341" spans="1:6" x14ac:dyDescent="0.3">
      <c r="A341" s="35">
        <f>inflasi!$G345</f>
        <v>45591</v>
      </c>
      <c r="B341" s="33">
        <f>inflasi!$H345</f>
        <v>1.71</v>
      </c>
      <c r="C341" s="33">
        <f>'suku bunga'!$H345</f>
        <v>6</v>
      </c>
      <c r="D341" s="48">
        <f>'nilai tukar'!$H345</f>
        <v>15629</v>
      </c>
      <c r="E341" s="33">
        <f>'minyak mentah'!H345</f>
        <v>73.53</v>
      </c>
      <c r="F341" s="46">
        <f>emas!H345</f>
        <v>1403500</v>
      </c>
    </row>
    <row r="342" spans="1:6" x14ac:dyDescent="0.3">
      <c r="A342" s="35">
        <f>inflasi!$G346</f>
        <v>45590</v>
      </c>
      <c r="B342" s="33">
        <f>inflasi!$H346</f>
        <v>1.71</v>
      </c>
      <c r="C342" s="33">
        <f>'suku bunga'!$H346</f>
        <v>6</v>
      </c>
      <c r="D342" s="48">
        <f>'nilai tukar'!$H346</f>
        <v>15629</v>
      </c>
      <c r="E342" s="33">
        <f>'minyak mentah'!H346</f>
        <v>73.53</v>
      </c>
      <c r="F342" s="46">
        <f>emas!H346</f>
        <v>1389200</v>
      </c>
    </row>
    <row r="343" spans="1:6" x14ac:dyDescent="0.3">
      <c r="A343" s="35">
        <f>inflasi!$G347</f>
        <v>45589</v>
      </c>
      <c r="B343" s="33">
        <f>inflasi!$H347</f>
        <v>1.71</v>
      </c>
      <c r="C343" s="33">
        <f>'suku bunga'!$H347</f>
        <v>6</v>
      </c>
      <c r="D343" s="48">
        <f>'nilai tukar'!$H347</f>
        <v>15593</v>
      </c>
      <c r="E343" s="33">
        <f>'minyak mentah'!H347</f>
        <v>73.53</v>
      </c>
      <c r="F343" s="46">
        <f>emas!H347</f>
        <v>1393900</v>
      </c>
    </row>
    <row r="344" spans="1:6" x14ac:dyDescent="0.3">
      <c r="A344" s="35">
        <f>inflasi!$G348</f>
        <v>45588</v>
      </c>
      <c r="B344" s="33">
        <f>inflasi!$H348</f>
        <v>1.71</v>
      </c>
      <c r="C344" s="33">
        <f>'suku bunga'!$H348</f>
        <v>6</v>
      </c>
      <c r="D344" s="48">
        <f>'nilai tukar'!$H348</f>
        <v>15620</v>
      </c>
      <c r="E344" s="33">
        <f>'minyak mentah'!H348</f>
        <v>73.53</v>
      </c>
      <c r="F344" s="46">
        <f>emas!H348</f>
        <v>1378977</v>
      </c>
    </row>
    <row r="345" spans="1:6" x14ac:dyDescent="0.3">
      <c r="A345" s="35">
        <f>inflasi!$G349</f>
        <v>45587</v>
      </c>
      <c r="B345" s="33">
        <f>inflasi!$H349</f>
        <v>1.71</v>
      </c>
      <c r="C345" s="33">
        <f>'suku bunga'!$H349</f>
        <v>6</v>
      </c>
      <c r="D345" s="48">
        <f>'nilai tukar'!$H349</f>
        <v>15560</v>
      </c>
      <c r="E345" s="33">
        <f>'minyak mentah'!H349</f>
        <v>73.53</v>
      </c>
      <c r="F345" s="46">
        <f>emas!H349</f>
        <v>1383990</v>
      </c>
    </row>
    <row r="346" spans="1:6" x14ac:dyDescent="0.3">
      <c r="A346" s="35">
        <f>inflasi!$G350</f>
        <v>45586</v>
      </c>
      <c r="B346" s="33">
        <f>inflasi!$H350</f>
        <v>1.71</v>
      </c>
      <c r="C346" s="33">
        <f>'suku bunga'!$H350</f>
        <v>6</v>
      </c>
      <c r="D346" s="48">
        <f>'nilai tukar'!$H350</f>
        <v>15465</v>
      </c>
      <c r="E346" s="33">
        <f>'minyak mentah'!H350</f>
        <v>73.53</v>
      </c>
      <c r="F346" s="46">
        <f>emas!H350</f>
        <v>1357913</v>
      </c>
    </row>
    <row r="347" spans="1:6" x14ac:dyDescent="0.3">
      <c r="A347" s="35">
        <f>inflasi!$G351</f>
        <v>45585</v>
      </c>
      <c r="B347" s="33">
        <f>inflasi!$H351</f>
        <v>1.71</v>
      </c>
      <c r="C347" s="33">
        <f>'suku bunga'!$H351</f>
        <v>6</v>
      </c>
      <c r="D347" s="48">
        <f>'nilai tukar'!$H351</f>
        <v>15466</v>
      </c>
      <c r="E347" s="33">
        <f>'minyak mentah'!H351</f>
        <v>73.53</v>
      </c>
      <c r="F347" s="46">
        <f>emas!H351</f>
        <v>1355481</v>
      </c>
    </row>
    <row r="348" spans="1:6" x14ac:dyDescent="0.3">
      <c r="A348" s="35">
        <f>inflasi!$G352</f>
        <v>45584</v>
      </c>
      <c r="B348" s="33">
        <f>inflasi!$H352</f>
        <v>1.71</v>
      </c>
      <c r="C348" s="33">
        <f>'suku bunga'!$H352</f>
        <v>6</v>
      </c>
      <c r="D348" s="48">
        <f>'nilai tukar'!$H352</f>
        <v>15466</v>
      </c>
      <c r="E348" s="33">
        <f>'minyak mentah'!H352</f>
        <v>73.53</v>
      </c>
      <c r="F348" s="46">
        <f>emas!H352</f>
        <v>1355481</v>
      </c>
    </row>
    <row r="349" spans="1:6" x14ac:dyDescent="0.3">
      <c r="A349" s="35">
        <f>inflasi!$G353</f>
        <v>45583</v>
      </c>
      <c r="B349" s="33">
        <f>inflasi!$H353</f>
        <v>1.71</v>
      </c>
      <c r="C349" s="33">
        <f>'suku bunga'!$H353</f>
        <v>6</v>
      </c>
      <c r="D349" s="48">
        <f>'nilai tukar'!$H353</f>
        <v>15466</v>
      </c>
      <c r="E349" s="33">
        <f>'minyak mentah'!H353</f>
        <v>73.53</v>
      </c>
      <c r="F349" s="46">
        <f>emas!H353</f>
        <v>1354866</v>
      </c>
    </row>
    <row r="350" spans="1:6" x14ac:dyDescent="0.3">
      <c r="A350" s="35">
        <f>inflasi!$G354</f>
        <v>45582</v>
      </c>
      <c r="B350" s="33">
        <f>inflasi!$H354</f>
        <v>1.71</v>
      </c>
      <c r="C350" s="33">
        <f>'suku bunga'!$H354</f>
        <v>6</v>
      </c>
      <c r="D350" s="48">
        <f>'nilai tukar'!$H354</f>
        <v>15516</v>
      </c>
      <c r="E350" s="33">
        <f>'minyak mentah'!H354</f>
        <v>73.53</v>
      </c>
      <c r="F350" s="46">
        <f>emas!H354</f>
        <v>1345620</v>
      </c>
    </row>
    <row r="351" spans="1:6" x14ac:dyDescent="0.3">
      <c r="A351" s="35">
        <f>inflasi!$G355</f>
        <v>45581</v>
      </c>
      <c r="B351" s="33">
        <f>inflasi!$H355</f>
        <v>1.71</v>
      </c>
      <c r="C351" s="33">
        <f>'suku bunga'!$H355</f>
        <v>6</v>
      </c>
      <c r="D351" s="48">
        <f>'nilai tukar'!$H355</f>
        <v>15536</v>
      </c>
      <c r="E351" s="33">
        <f>'minyak mentah'!H355</f>
        <v>73.53</v>
      </c>
      <c r="F351" s="46">
        <f>emas!H355</f>
        <v>1333904</v>
      </c>
    </row>
    <row r="352" spans="1:6" x14ac:dyDescent="0.3">
      <c r="A352" s="35">
        <f>inflasi!$G356</f>
        <v>45580</v>
      </c>
      <c r="B352" s="33">
        <f>inflasi!$H356</f>
        <v>1.71</v>
      </c>
      <c r="C352" s="33">
        <f>'suku bunga'!$H356</f>
        <v>6</v>
      </c>
      <c r="D352" s="48">
        <f>'nilai tukar'!$H356</f>
        <v>15555</v>
      </c>
      <c r="E352" s="33">
        <f>'minyak mentah'!H356</f>
        <v>73.53</v>
      </c>
      <c r="F352" s="46">
        <f>emas!H356</f>
        <v>1335347</v>
      </c>
    </row>
    <row r="353" spans="1:6" x14ac:dyDescent="0.3">
      <c r="A353" s="35">
        <f>inflasi!$G357</f>
        <v>45579</v>
      </c>
      <c r="B353" s="33">
        <f>inflasi!$H357</f>
        <v>1.71</v>
      </c>
      <c r="C353" s="33">
        <f>'suku bunga'!$H357</f>
        <v>6</v>
      </c>
      <c r="D353" s="48">
        <f>'nilai tukar'!$H357</f>
        <v>15581</v>
      </c>
      <c r="E353" s="33">
        <f>'minyak mentah'!H357</f>
        <v>73.53</v>
      </c>
      <c r="F353" s="46">
        <f>emas!H357</f>
        <v>1325659</v>
      </c>
    </row>
    <row r="354" spans="1:6" x14ac:dyDescent="0.3">
      <c r="A354" s="35">
        <f>inflasi!$G358</f>
        <v>45578</v>
      </c>
      <c r="B354" s="33">
        <f>inflasi!$H358</f>
        <v>1.71</v>
      </c>
      <c r="C354" s="33">
        <f>'suku bunga'!$H358</f>
        <v>6</v>
      </c>
      <c r="D354" s="48">
        <f>'nilai tukar'!$H358</f>
        <v>15609</v>
      </c>
      <c r="E354" s="33">
        <f>'minyak mentah'!H358</f>
        <v>73.53</v>
      </c>
      <c r="F354" s="46">
        <f>emas!H358</f>
        <v>1330974</v>
      </c>
    </row>
    <row r="355" spans="1:6" x14ac:dyDescent="0.3">
      <c r="A355" s="35">
        <f>inflasi!$G359</f>
        <v>45577</v>
      </c>
      <c r="B355" s="33">
        <f>inflasi!$H359</f>
        <v>1.71</v>
      </c>
      <c r="C355" s="33">
        <f>'suku bunga'!$H359</f>
        <v>6</v>
      </c>
      <c r="D355" s="48">
        <f>'nilai tukar'!$H359</f>
        <v>15609</v>
      </c>
      <c r="E355" s="33">
        <f>'minyak mentah'!H359</f>
        <v>73.53</v>
      </c>
      <c r="F355" s="46">
        <f>emas!H359</f>
        <v>1330974</v>
      </c>
    </row>
    <row r="356" spans="1:6" x14ac:dyDescent="0.3">
      <c r="A356" s="35">
        <f>inflasi!$G360</f>
        <v>45576</v>
      </c>
      <c r="B356" s="33">
        <f>inflasi!$H360</f>
        <v>1.71</v>
      </c>
      <c r="C356" s="33">
        <f>'suku bunga'!$H360</f>
        <v>6</v>
      </c>
      <c r="D356" s="48">
        <f>'nilai tukar'!$H360</f>
        <v>15609</v>
      </c>
      <c r="E356" s="33">
        <f>'minyak mentah'!H360</f>
        <v>73.53</v>
      </c>
      <c r="F356" s="46">
        <f>emas!H360</f>
        <v>1339240</v>
      </c>
    </row>
    <row r="357" spans="1:6" x14ac:dyDescent="0.3">
      <c r="A357" s="35">
        <f>inflasi!$G361</f>
        <v>45575</v>
      </c>
      <c r="B357" s="33">
        <f>inflasi!$H361</f>
        <v>1.71</v>
      </c>
      <c r="C357" s="33">
        <f>'suku bunga'!$H361</f>
        <v>6</v>
      </c>
      <c r="D357" s="48">
        <f>'nilai tukar'!$H361</f>
        <v>15658</v>
      </c>
      <c r="E357" s="33">
        <f>'minyak mentah'!H361</f>
        <v>73.53</v>
      </c>
      <c r="F357" s="46">
        <f>emas!H361</f>
        <v>1319102</v>
      </c>
    </row>
    <row r="358" spans="1:6" x14ac:dyDescent="0.3">
      <c r="A358" s="35">
        <f>inflasi!$G362</f>
        <v>45574</v>
      </c>
      <c r="B358" s="33">
        <f>inflasi!$H362</f>
        <v>1.71</v>
      </c>
      <c r="C358" s="33">
        <f>'suku bunga'!$H362</f>
        <v>6</v>
      </c>
      <c r="D358" s="48">
        <f>'nilai tukar'!$H362</f>
        <v>15607</v>
      </c>
      <c r="E358" s="33">
        <f>'minyak mentah'!H362</f>
        <v>73.53</v>
      </c>
      <c r="F358" s="46">
        <f>emas!H362</f>
        <v>1313233</v>
      </c>
    </row>
    <row r="359" spans="1:6" x14ac:dyDescent="0.3">
      <c r="A359" s="35">
        <f>inflasi!$G363</f>
        <v>45573</v>
      </c>
      <c r="B359" s="33">
        <f>inflasi!$H363</f>
        <v>1.71</v>
      </c>
      <c r="C359" s="33">
        <f>'suku bunga'!$H363</f>
        <v>6</v>
      </c>
      <c r="D359" s="48">
        <f>'nilai tukar'!$H363</f>
        <v>15671</v>
      </c>
      <c r="E359" s="33">
        <f>'minyak mentah'!H363</f>
        <v>73.53</v>
      </c>
      <c r="F359" s="46">
        <f>emas!H363</f>
        <v>1325457</v>
      </c>
    </row>
    <row r="360" spans="1:6" x14ac:dyDescent="0.3">
      <c r="A360" s="35">
        <f>inflasi!$G364</f>
        <v>45572</v>
      </c>
      <c r="B360" s="33">
        <f>inflasi!$H364</f>
        <v>1.71</v>
      </c>
      <c r="C360" s="33">
        <f>'suku bunga'!$H364</f>
        <v>6</v>
      </c>
      <c r="D360" s="48">
        <f>'nilai tukar'!$H364</f>
        <v>15680</v>
      </c>
      <c r="E360" s="33">
        <f>'minyak mentah'!H364</f>
        <v>73.53</v>
      </c>
      <c r="F360" s="46">
        <f>emas!H364</f>
        <v>1346000</v>
      </c>
    </row>
    <row r="361" spans="1:6" x14ac:dyDescent="0.3">
      <c r="A361" s="35">
        <f>inflasi!$G365</f>
        <v>45571</v>
      </c>
      <c r="B361" s="33">
        <f>inflasi!$H365</f>
        <v>1.71</v>
      </c>
      <c r="C361" s="33">
        <f>'suku bunga'!$H365</f>
        <v>6</v>
      </c>
      <c r="D361" s="48">
        <f>'nilai tukar'!$H365</f>
        <v>15495</v>
      </c>
      <c r="E361" s="33">
        <f>'minyak mentah'!H365</f>
        <v>73.53</v>
      </c>
      <c r="F361" s="46">
        <f>emas!H365</f>
        <v>1337000</v>
      </c>
    </row>
    <row r="362" spans="1:6" x14ac:dyDescent="0.3">
      <c r="A362" s="35">
        <f>inflasi!$G366</f>
        <v>45570</v>
      </c>
      <c r="B362" s="33">
        <f>inflasi!$H366</f>
        <v>1.71</v>
      </c>
      <c r="C362" s="33">
        <f>'suku bunga'!$H366</f>
        <v>6</v>
      </c>
      <c r="D362" s="48">
        <f>'nilai tukar'!$H366</f>
        <v>15495</v>
      </c>
      <c r="E362" s="33">
        <f>'minyak mentah'!H366</f>
        <v>73.53</v>
      </c>
      <c r="F362" s="46">
        <f>emas!H366</f>
        <v>1337000</v>
      </c>
    </row>
    <row r="363" spans="1:6" x14ac:dyDescent="0.3">
      <c r="A363" s="35">
        <f>inflasi!$G367</f>
        <v>45569</v>
      </c>
      <c r="B363" s="33">
        <f>inflasi!$H367</f>
        <v>1.71</v>
      </c>
      <c r="C363" s="33">
        <f>'suku bunga'!$H367</f>
        <v>6</v>
      </c>
      <c r="D363" s="48">
        <f>'nilai tukar'!$H367</f>
        <v>15495</v>
      </c>
      <c r="E363" s="33">
        <f>'minyak mentah'!H367</f>
        <v>73.53</v>
      </c>
      <c r="F363" s="46">
        <f>emas!H367</f>
        <v>1351000</v>
      </c>
    </row>
    <row r="364" spans="1:6" x14ac:dyDescent="0.3">
      <c r="A364" s="35">
        <f>inflasi!$G368</f>
        <v>45568</v>
      </c>
      <c r="B364" s="33">
        <f>inflasi!$H368</f>
        <v>1.71</v>
      </c>
      <c r="C364" s="33">
        <f>'suku bunga'!$H368</f>
        <v>6</v>
      </c>
      <c r="D364" s="48">
        <f>'nilai tukar'!$H368</f>
        <v>15394</v>
      </c>
      <c r="E364" s="33">
        <f>'minyak mentah'!H368</f>
        <v>73.53</v>
      </c>
      <c r="F364" s="46">
        <f>emas!H368</f>
        <v>1351000</v>
      </c>
    </row>
    <row r="365" spans="1:6" x14ac:dyDescent="0.3">
      <c r="A365" s="35">
        <f>inflasi!$G369</f>
        <v>45567</v>
      </c>
      <c r="B365" s="33">
        <f>inflasi!$H369</f>
        <v>1.71</v>
      </c>
      <c r="C365" s="33">
        <f>'suku bunga'!$H369</f>
        <v>6</v>
      </c>
      <c r="D365" s="48">
        <f>'nilai tukar'!$H369</f>
        <v>15247</v>
      </c>
      <c r="E365" s="33">
        <f>'minyak mentah'!H369</f>
        <v>73.53</v>
      </c>
      <c r="F365" s="46">
        <f>emas!H369</f>
        <v>1365000</v>
      </c>
    </row>
    <row r="366" spans="1:6" x14ac:dyDescent="0.3">
      <c r="A366" s="35">
        <f>inflasi!$G370</f>
        <v>45566</v>
      </c>
      <c r="B366" s="33">
        <f>inflasi!$H370</f>
        <v>1.71</v>
      </c>
      <c r="C366" s="33">
        <f>'suku bunga'!$H370</f>
        <v>6</v>
      </c>
      <c r="D366" s="48">
        <f>'nilai tukar'!$H370</f>
        <v>15204</v>
      </c>
      <c r="E366" s="33">
        <f>'minyak mentah'!H370</f>
        <v>73.53</v>
      </c>
      <c r="F366" s="46">
        <f>emas!H370</f>
        <v>1354000</v>
      </c>
    </row>
    <row r="367" spans="1:6" x14ac:dyDescent="0.3">
      <c r="A367" s="35">
        <f>inflasi!$G371</f>
        <v>45565</v>
      </c>
      <c r="B367" s="33">
        <f>inflasi!$H371</f>
        <v>1.84</v>
      </c>
      <c r="C367" s="33">
        <f>'suku bunga'!$H371</f>
        <v>6</v>
      </c>
      <c r="D367" s="48">
        <f>'nilai tukar'!$H371</f>
        <v>15144</v>
      </c>
      <c r="E367" s="33">
        <f>'minyak mentah'!H371</f>
        <v>72.540000000000006</v>
      </c>
      <c r="F367" s="46">
        <f>emas!H371</f>
        <v>1366000</v>
      </c>
    </row>
    <row r="368" spans="1:6" x14ac:dyDescent="0.3">
      <c r="A368" s="35">
        <f>inflasi!$G372</f>
        <v>45564</v>
      </c>
      <c r="B368" s="33">
        <f>inflasi!$H372</f>
        <v>1.84</v>
      </c>
      <c r="C368" s="33">
        <f>'suku bunga'!$H372</f>
        <v>6</v>
      </c>
      <c r="D368" s="48">
        <f>'nilai tukar'!$H372</f>
        <v>15138</v>
      </c>
      <c r="E368" s="33">
        <f>'minyak mentah'!H372</f>
        <v>72.540000000000006</v>
      </c>
      <c r="F368" s="46">
        <f>emas!H372</f>
        <v>1363000</v>
      </c>
    </row>
    <row r="369" spans="1:6" x14ac:dyDescent="0.3">
      <c r="A369" s="35">
        <f>inflasi!$G373</f>
        <v>45563</v>
      </c>
      <c r="B369" s="33">
        <f>inflasi!$H373</f>
        <v>1.84</v>
      </c>
      <c r="C369" s="33">
        <f>'suku bunga'!$H373</f>
        <v>6</v>
      </c>
      <c r="D369" s="48">
        <f>'nilai tukar'!$H373</f>
        <v>15138</v>
      </c>
      <c r="E369" s="33">
        <f>'minyak mentah'!H373</f>
        <v>72.540000000000006</v>
      </c>
      <c r="F369" s="46">
        <f>emas!H373</f>
        <v>1363000</v>
      </c>
    </row>
    <row r="370" spans="1:6" x14ac:dyDescent="0.3">
      <c r="A370" s="35">
        <f>inflasi!$G374</f>
        <v>45562</v>
      </c>
      <c r="B370" s="33">
        <f>inflasi!$H374</f>
        <v>1.84</v>
      </c>
      <c r="C370" s="33">
        <f>'suku bunga'!$H374</f>
        <v>6</v>
      </c>
      <c r="D370" s="48">
        <f>'nilai tukar'!$H374</f>
        <v>15138</v>
      </c>
      <c r="E370" s="33">
        <f>'minyak mentah'!H374</f>
        <v>72.540000000000006</v>
      </c>
      <c r="F370" s="46">
        <f>emas!H374</f>
        <v>1363000</v>
      </c>
    </row>
    <row r="371" spans="1:6" x14ac:dyDescent="0.3">
      <c r="A371" s="35">
        <f>inflasi!$G375</f>
        <v>45561</v>
      </c>
      <c r="B371" s="33">
        <f>inflasi!$H375</f>
        <v>1.84</v>
      </c>
      <c r="C371" s="33">
        <f>'suku bunga'!$H375</f>
        <v>6</v>
      </c>
      <c r="D371" s="48">
        <f>'nilai tukar'!$H375</f>
        <v>15171</v>
      </c>
      <c r="E371" s="33">
        <f>'minyak mentah'!H375</f>
        <v>72.540000000000006</v>
      </c>
      <c r="F371" s="46">
        <f>emas!H375</f>
        <v>1363000</v>
      </c>
    </row>
    <row r="372" spans="1:6" x14ac:dyDescent="0.3">
      <c r="A372" s="35">
        <f>inflasi!$G376</f>
        <v>45560</v>
      </c>
      <c r="B372" s="33">
        <f>inflasi!$H376</f>
        <v>1.84</v>
      </c>
      <c r="C372" s="33">
        <f>'suku bunga'!$H376</f>
        <v>6</v>
      </c>
      <c r="D372" s="48">
        <f>'nilai tukar'!$H376</f>
        <v>15092</v>
      </c>
      <c r="E372" s="33">
        <f>'minyak mentah'!H376</f>
        <v>72.540000000000006</v>
      </c>
      <c r="F372" s="46">
        <f>emas!H376</f>
        <v>1365000</v>
      </c>
    </row>
    <row r="373" spans="1:6" x14ac:dyDescent="0.3">
      <c r="A373" s="35">
        <f>inflasi!$G377</f>
        <v>45559</v>
      </c>
      <c r="B373" s="33">
        <f>inflasi!$H377</f>
        <v>1.84</v>
      </c>
      <c r="C373" s="33">
        <f>'suku bunga'!$H377</f>
        <v>6</v>
      </c>
      <c r="D373" s="48">
        <f>'nilai tukar'!$H377</f>
        <v>15186</v>
      </c>
      <c r="E373" s="33">
        <f>'minyak mentah'!H377</f>
        <v>72.540000000000006</v>
      </c>
      <c r="F373" s="46">
        <f>emas!H377</f>
        <v>1345000</v>
      </c>
    </row>
    <row r="374" spans="1:6" x14ac:dyDescent="0.3">
      <c r="A374" s="35">
        <f>inflasi!$G378</f>
        <v>45558</v>
      </c>
      <c r="B374" s="33">
        <f>inflasi!$H378</f>
        <v>1.84</v>
      </c>
      <c r="C374" s="33">
        <f>'suku bunga'!$H378</f>
        <v>6</v>
      </c>
      <c r="D374" s="48">
        <f>'nilai tukar'!$H378</f>
        <v>15191</v>
      </c>
      <c r="E374" s="33">
        <f>'minyak mentah'!H378</f>
        <v>72.540000000000006</v>
      </c>
      <c r="F374" s="46">
        <f>emas!H378</f>
        <v>1357000</v>
      </c>
    </row>
    <row r="375" spans="1:6" x14ac:dyDescent="0.3">
      <c r="A375" s="35">
        <f>inflasi!$G379</f>
        <v>45557</v>
      </c>
      <c r="B375" s="33">
        <f>inflasi!$H379</f>
        <v>1.84</v>
      </c>
      <c r="C375" s="33">
        <f>'suku bunga'!$H379</f>
        <v>6</v>
      </c>
      <c r="D375" s="48">
        <f>'nilai tukar'!$H379</f>
        <v>15100</v>
      </c>
      <c r="E375" s="33">
        <f>'minyak mentah'!H379</f>
        <v>72.540000000000006</v>
      </c>
      <c r="F375" s="46">
        <f>emas!H379</f>
        <v>1357000</v>
      </c>
    </row>
    <row r="376" spans="1:6" x14ac:dyDescent="0.3">
      <c r="A376" s="35">
        <f>inflasi!$G380</f>
        <v>45556</v>
      </c>
      <c r="B376" s="33">
        <f>inflasi!$H380</f>
        <v>1.84</v>
      </c>
      <c r="C376" s="33">
        <f>'suku bunga'!$H380</f>
        <v>6</v>
      </c>
      <c r="D376" s="48">
        <f>'nilai tukar'!$H380</f>
        <v>15100</v>
      </c>
      <c r="E376" s="33">
        <f>'minyak mentah'!H380</f>
        <v>72.540000000000006</v>
      </c>
      <c r="F376" s="46">
        <f>emas!H380</f>
        <v>1357000</v>
      </c>
    </row>
    <row r="377" spans="1:6" x14ac:dyDescent="0.3">
      <c r="A377" s="35">
        <f>inflasi!$G381</f>
        <v>45555</v>
      </c>
      <c r="B377" s="33">
        <f>inflasi!$H381</f>
        <v>1.84</v>
      </c>
      <c r="C377" s="33">
        <f>'suku bunga'!$H381</f>
        <v>6</v>
      </c>
      <c r="D377" s="48">
        <f>'nilai tukar'!$H381</f>
        <v>15100</v>
      </c>
      <c r="E377" s="33">
        <f>'minyak mentah'!H381</f>
        <v>72.540000000000006</v>
      </c>
      <c r="F377" s="46">
        <f>emas!H381</f>
        <v>1345000</v>
      </c>
    </row>
    <row r="378" spans="1:6" x14ac:dyDescent="0.3">
      <c r="A378" s="35">
        <f>inflasi!$G382</f>
        <v>45554</v>
      </c>
      <c r="B378" s="33">
        <f>inflasi!$H382</f>
        <v>1.84</v>
      </c>
      <c r="C378" s="33">
        <f>'suku bunga'!$H382</f>
        <v>6</v>
      </c>
      <c r="D378" s="48">
        <f>'nilai tukar'!$H382</f>
        <v>15287</v>
      </c>
      <c r="E378" s="33">
        <f>'minyak mentah'!H382</f>
        <v>72.540000000000006</v>
      </c>
      <c r="F378" s="46">
        <f>emas!H382</f>
        <v>1332000</v>
      </c>
    </row>
    <row r="379" spans="1:6" x14ac:dyDescent="0.3">
      <c r="A379" s="35">
        <f>inflasi!$G383</f>
        <v>45553</v>
      </c>
      <c r="B379" s="33">
        <f>inflasi!$H383</f>
        <v>1.84</v>
      </c>
      <c r="C379" s="33">
        <f>'suku bunga'!$H383</f>
        <v>6</v>
      </c>
      <c r="D379" s="48">
        <f>'nilai tukar'!$H383</f>
        <v>15350</v>
      </c>
      <c r="E379" s="33">
        <f>'minyak mentah'!H383</f>
        <v>72.540000000000006</v>
      </c>
      <c r="F379" s="46">
        <f>emas!H383</f>
        <v>1342000</v>
      </c>
    </row>
    <row r="380" spans="1:6" x14ac:dyDescent="0.3">
      <c r="A380" s="35">
        <f>inflasi!$G384</f>
        <v>45552</v>
      </c>
      <c r="B380" s="33">
        <f>inflasi!$H384</f>
        <v>1.84</v>
      </c>
      <c r="C380" s="33">
        <f>'suku bunga'!$H384</f>
        <v>6.25</v>
      </c>
      <c r="D380" s="48">
        <f>'nilai tukar'!$H384</f>
        <v>15338</v>
      </c>
      <c r="E380" s="33">
        <f>'minyak mentah'!H384</f>
        <v>72.540000000000006</v>
      </c>
      <c r="F380" s="46">
        <f>emas!H384</f>
        <v>1346000</v>
      </c>
    </row>
    <row r="381" spans="1:6" x14ac:dyDescent="0.3">
      <c r="A381" s="35">
        <f>inflasi!$G385</f>
        <v>45551</v>
      </c>
      <c r="B381" s="33">
        <f>inflasi!$H385</f>
        <v>1.84</v>
      </c>
      <c r="C381" s="33">
        <f>'suku bunga'!$H385</f>
        <v>6.25</v>
      </c>
      <c r="D381" s="48">
        <f>'nilai tukar'!$H385</f>
        <v>15405</v>
      </c>
      <c r="E381" s="33">
        <f>'minyak mentah'!H385</f>
        <v>72.540000000000006</v>
      </c>
      <c r="F381" s="46">
        <f>emas!H385</f>
        <v>1345000</v>
      </c>
    </row>
    <row r="382" spans="1:6" x14ac:dyDescent="0.3">
      <c r="A382" s="35">
        <f>inflasi!$G386</f>
        <v>45550</v>
      </c>
      <c r="B382" s="33">
        <f>inflasi!$H386</f>
        <v>1.84</v>
      </c>
      <c r="C382" s="33">
        <f>'suku bunga'!$H386</f>
        <v>6.25</v>
      </c>
      <c r="D382" s="48">
        <f>'nilai tukar'!$H386</f>
        <v>15405</v>
      </c>
      <c r="E382" s="33">
        <f>'minyak mentah'!H386</f>
        <v>72.540000000000006</v>
      </c>
      <c r="F382" s="46">
        <f>emas!H386</f>
        <v>1341000</v>
      </c>
    </row>
    <row r="383" spans="1:6" x14ac:dyDescent="0.3">
      <c r="A383" s="35">
        <f>inflasi!$G387</f>
        <v>45549</v>
      </c>
      <c r="B383" s="33">
        <f>inflasi!$H387</f>
        <v>1.84</v>
      </c>
      <c r="C383" s="33">
        <f>'suku bunga'!$H387</f>
        <v>6.25</v>
      </c>
      <c r="D383" s="48">
        <f>'nilai tukar'!$H387</f>
        <v>15405</v>
      </c>
      <c r="E383" s="33">
        <f>'minyak mentah'!H387</f>
        <v>72.540000000000006</v>
      </c>
      <c r="F383" s="46">
        <f>emas!H387</f>
        <v>1341000</v>
      </c>
    </row>
    <row r="384" spans="1:6" x14ac:dyDescent="0.3">
      <c r="A384" s="35">
        <f>inflasi!$G388</f>
        <v>45548</v>
      </c>
      <c r="B384" s="33">
        <f>inflasi!$H388</f>
        <v>1.84</v>
      </c>
      <c r="C384" s="33">
        <f>'suku bunga'!$H388</f>
        <v>6.25</v>
      </c>
      <c r="D384" s="48">
        <f>'nilai tukar'!$H388</f>
        <v>15405</v>
      </c>
      <c r="E384" s="33">
        <f>'minyak mentah'!H388</f>
        <v>72.540000000000006</v>
      </c>
      <c r="F384" s="46">
        <f>emas!H388</f>
        <v>1331000</v>
      </c>
    </row>
    <row r="385" spans="1:6" x14ac:dyDescent="0.3">
      <c r="A385" s="35">
        <f>inflasi!$G389</f>
        <v>45547</v>
      </c>
      <c r="B385" s="33">
        <f>inflasi!$H389</f>
        <v>1.84</v>
      </c>
      <c r="C385" s="33">
        <f>'suku bunga'!$H389</f>
        <v>6.25</v>
      </c>
      <c r="D385" s="48">
        <f>'nilai tukar'!$H389</f>
        <v>15421</v>
      </c>
      <c r="E385" s="33">
        <f>'minyak mentah'!H389</f>
        <v>72.540000000000006</v>
      </c>
      <c r="F385" s="46">
        <f>emas!H389</f>
        <v>1311000</v>
      </c>
    </row>
    <row r="386" spans="1:6" x14ac:dyDescent="0.3">
      <c r="A386" s="35">
        <f>inflasi!$G390</f>
        <v>45546</v>
      </c>
      <c r="B386" s="33">
        <f>inflasi!$H390</f>
        <v>1.84</v>
      </c>
      <c r="C386" s="33">
        <f>'suku bunga'!$H390</f>
        <v>6.25</v>
      </c>
      <c r="D386" s="48">
        <f>'nilai tukar'!$H390</f>
        <v>15415</v>
      </c>
      <c r="E386" s="33">
        <f>'minyak mentah'!H390</f>
        <v>72.540000000000006</v>
      </c>
      <c r="F386" s="46">
        <f>emas!H390</f>
        <v>1313000</v>
      </c>
    </row>
    <row r="387" spans="1:6" x14ac:dyDescent="0.3">
      <c r="A387" s="35">
        <f>inflasi!$G391</f>
        <v>45545</v>
      </c>
      <c r="B387" s="33">
        <f>inflasi!$H391</f>
        <v>1.84</v>
      </c>
      <c r="C387" s="33">
        <f>'suku bunga'!$H391</f>
        <v>6.25</v>
      </c>
      <c r="D387" s="48">
        <f>'nilai tukar'!$H391</f>
        <v>15447</v>
      </c>
      <c r="E387" s="33">
        <f>'minyak mentah'!H391</f>
        <v>72.540000000000006</v>
      </c>
      <c r="F387" s="46">
        <f>emas!H391</f>
        <v>1301000</v>
      </c>
    </row>
    <row r="388" spans="1:6" x14ac:dyDescent="0.3">
      <c r="A388" s="35">
        <f>inflasi!$G392</f>
        <v>45544</v>
      </c>
      <c r="B388" s="33">
        <f>inflasi!$H392</f>
        <v>1.84</v>
      </c>
      <c r="C388" s="33">
        <f>'suku bunga'!$H392</f>
        <v>6.25</v>
      </c>
      <c r="D388" s="48">
        <f>'nilai tukar'!$H392</f>
        <v>15446</v>
      </c>
      <c r="E388" s="33">
        <f>'minyak mentah'!H392</f>
        <v>72.540000000000006</v>
      </c>
      <c r="F388" s="46">
        <f>emas!H392</f>
        <v>1300000</v>
      </c>
    </row>
    <row r="389" spans="1:6" x14ac:dyDescent="0.3">
      <c r="A389" s="35">
        <f>inflasi!$G393</f>
        <v>45543</v>
      </c>
      <c r="B389" s="33">
        <f>inflasi!$H393</f>
        <v>1.84</v>
      </c>
      <c r="C389" s="33">
        <f>'suku bunga'!$H393</f>
        <v>6.25</v>
      </c>
      <c r="D389" s="48">
        <f>'nilai tukar'!$H393</f>
        <v>15372</v>
      </c>
      <c r="E389" s="33">
        <f>'minyak mentah'!H393</f>
        <v>72.540000000000006</v>
      </c>
      <c r="F389" s="46">
        <f>emas!H393</f>
        <v>1307000</v>
      </c>
    </row>
    <row r="390" spans="1:6" x14ac:dyDescent="0.3">
      <c r="A390" s="35">
        <f>inflasi!$G394</f>
        <v>45542</v>
      </c>
      <c r="B390" s="33">
        <f>inflasi!$H394</f>
        <v>1.84</v>
      </c>
      <c r="C390" s="33">
        <f>'suku bunga'!$H394</f>
        <v>6.25</v>
      </c>
      <c r="D390" s="48">
        <f>'nilai tukar'!$H394</f>
        <v>15372</v>
      </c>
      <c r="E390" s="33">
        <f>'minyak mentah'!H394</f>
        <v>72.540000000000006</v>
      </c>
      <c r="F390" s="46">
        <f>emas!H394</f>
        <v>1307000</v>
      </c>
    </row>
    <row r="391" spans="1:6" x14ac:dyDescent="0.3">
      <c r="A391" s="35">
        <f>inflasi!$G395</f>
        <v>45541</v>
      </c>
      <c r="B391" s="33">
        <f>inflasi!$H395</f>
        <v>1.84</v>
      </c>
      <c r="C391" s="33">
        <f>'suku bunga'!$H395</f>
        <v>6.25</v>
      </c>
      <c r="D391" s="48">
        <f>'nilai tukar'!$H395</f>
        <v>15372</v>
      </c>
      <c r="E391" s="33">
        <f>'minyak mentah'!H395</f>
        <v>72.540000000000006</v>
      </c>
      <c r="F391" s="46">
        <f>emas!H395</f>
        <v>1316000</v>
      </c>
    </row>
    <row r="392" spans="1:6" x14ac:dyDescent="0.3">
      <c r="A392" s="35">
        <f>inflasi!$G396</f>
        <v>45540</v>
      </c>
      <c r="B392" s="33">
        <f>inflasi!$H396</f>
        <v>1.84</v>
      </c>
      <c r="C392" s="33">
        <f>'suku bunga'!$H396</f>
        <v>6.25</v>
      </c>
      <c r="D392" s="48">
        <f>'nilai tukar'!$H396</f>
        <v>15410</v>
      </c>
      <c r="E392" s="33">
        <f>'minyak mentah'!H396</f>
        <v>72.540000000000006</v>
      </c>
      <c r="F392" s="46">
        <f>emas!H396</f>
        <v>1311000</v>
      </c>
    </row>
    <row r="393" spans="1:6" x14ac:dyDescent="0.3">
      <c r="A393" s="35">
        <f>inflasi!$G397</f>
        <v>45539</v>
      </c>
      <c r="B393" s="33">
        <f>inflasi!$H397</f>
        <v>1.84</v>
      </c>
      <c r="C393" s="33">
        <f>'suku bunga'!$H397</f>
        <v>6.25</v>
      </c>
      <c r="D393" s="48">
        <f>'nilai tukar'!$H397</f>
        <v>15490</v>
      </c>
      <c r="E393" s="33">
        <f>'minyak mentah'!H397</f>
        <v>72.540000000000006</v>
      </c>
      <c r="F393" s="46">
        <f>emas!H397</f>
        <v>1308000</v>
      </c>
    </row>
    <row r="394" spans="1:6" x14ac:dyDescent="0.3">
      <c r="A394" s="35">
        <f>inflasi!$G398</f>
        <v>45538</v>
      </c>
      <c r="B394" s="33">
        <f>inflasi!$H398</f>
        <v>1.84</v>
      </c>
      <c r="C394" s="33">
        <f>'suku bunga'!$H398</f>
        <v>6.25</v>
      </c>
      <c r="D394" s="48">
        <f>'nilai tukar'!$H398</f>
        <v>15557</v>
      </c>
      <c r="E394" s="33">
        <f>'minyak mentah'!H398</f>
        <v>72.540000000000006</v>
      </c>
      <c r="F394" s="46">
        <f>emas!H398</f>
        <v>1306000</v>
      </c>
    </row>
    <row r="395" spans="1:6" x14ac:dyDescent="0.3">
      <c r="A395" s="35">
        <f>inflasi!$G399</f>
        <v>45537</v>
      </c>
      <c r="B395" s="33">
        <f>inflasi!$H399</f>
        <v>1.84</v>
      </c>
      <c r="C395" s="33">
        <f>'suku bunga'!$H399</f>
        <v>6.25</v>
      </c>
      <c r="D395" s="48">
        <f>'nilai tukar'!$H399</f>
        <v>15536</v>
      </c>
      <c r="E395" s="33">
        <f>'minyak mentah'!H399</f>
        <v>72.540000000000006</v>
      </c>
      <c r="F395" s="46">
        <f>emas!H399</f>
        <v>1303000</v>
      </c>
    </row>
    <row r="396" spans="1:6" x14ac:dyDescent="0.3">
      <c r="A396" s="35">
        <f>inflasi!$G400</f>
        <v>45536</v>
      </c>
      <c r="B396" s="33">
        <f>inflasi!$H400</f>
        <v>1.84</v>
      </c>
      <c r="C396" s="33">
        <f>'suku bunga'!$H400</f>
        <v>6.25</v>
      </c>
      <c r="D396" s="48">
        <f>'nilai tukar'!$H400</f>
        <v>15473</v>
      </c>
      <c r="E396" s="33">
        <f>'minyak mentah'!H400</f>
        <v>72.540000000000006</v>
      </c>
      <c r="F396" s="46">
        <f>emas!H400</f>
        <v>1303000</v>
      </c>
    </row>
    <row r="397" spans="1:6" x14ac:dyDescent="0.3">
      <c r="A397" s="35">
        <f>inflasi!$G401</f>
        <v>45535</v>
      </c>
      <c r="B397" s="33">
        <f>inflasi!$H401</f>
        <v>2.12</v>
      </c>
      <c r="C397" s="33">
        <f>'suku bunga'!$H401</f>
        <v>6.25</v>
      </c>
      <c r="D397" s="48">
        <f>'nilai tukar'!$H401</f>
        <v>15473</v>
      </c>
      <c r="E397" s="33">
        <f>'minyak mentah'!H401</f>
        <v>78.510000000000005</v>
      </c>
      <c r="F397" s="46">
        <f>emas!H401</f>
        <v>1303000</v>
      </c>
    </row>
    <row r="398" spans="1:6" x14ac:dyDescent="0.3">
      <c r="A398" s="35">
        <f>inflasi!$G402</f>
        <v>45534</v>
      </c>
      <c r="B398" s="33">
        <f>inflasi!$H402</f>
        <v>2.12</v>
      </c>
      <c r="C398" s="33">
        <f>'suku bunga'!$H402</f>
        <v>6.25</v>
      </c>
      <c r="D398" s="48">
        <f>'nilai tukar'!$H402</f>
        <v>15473</v>
      </c>
      <c r="E398" s="33">
        <f>'minyak mentah'!H402</f>
        <v>78.510000000000005</v>
      </c>
      <c r="F398" s="46">
        <f>emas!H402</f>
        <v>1315000</v>
      </c>
    </row>
    <row r="399" spans="1:6" x14ac:dyDescent="0.3">
      <c r="A399" s="35">
        <f>inflasi!$G403</f>
        <v>45533</v>
      </c>
      <c r="B399" s="33">
        <f>inflasi!$H403</f>
        <v>2.12</v>
      </c>
      <c r="C399" s="33">
        <f>'suku bunga'!$H403</f>
        <v>6.25</v>
      </c>
      <c r="D399" s="48">
        <f>'nilai tukar'!$H403</f>
        <v>15409</v>
      </c>
      <c r="E399" s="33">
        <f>'minyak mentah'!H403</f>
        <v>78.510000000000005</v>
      </c>
      <c r="F399" s="46">
        <f>emas!H403</f>
        <v>1314000</v>
      </c>
    </row>
    <row r="400" spans="1:6" x14ac:dyDescent="0.3">
      <c r="A400" s="35">
        <f>inflasi!$G404</f>
        <v>45532</v>
      </c>
      <c r="B400" s="33">
        <f>inflasi!$H404</f>
        <v>2.12</v>
      </c>
      <c r="C400" s="33">
        <f>'suku bunga'!$H404</f>
        <v>6.25</v>
      </c>
      <c r="D400" s="48">
        <f>'nilai tukar'!$H404</f>
        <v>15476</v>
      </c>
      <c r="E400" s="33">
        <f>'minyak mentah'!H404</f>
        <v>78.510000000000005</v>
      </c>
      <c r="F400" s="46">
        <f>emas!H404</f>
        <v>1312000</v>
      </c>
    </row>
    <row r="401" spans="1:6" x14ac:dyDescent="0.3">
      <c r="A401" s="35">
        <f>inflasi!$G405</f>
        <v>45531</v>
      </c>
      <c r="B401" s="33">
        <f>inflasi!$H405</f>
        <v>2.12</v>
      </c>
      <c r="C401" s="33">
        <f>'suku bunga'!$H405</f>
        <v>6.25</v>
      </c>
      <c r="D401" s="48">
        <f>'nilai tukar'!$H405</f>
        <v>15509</v>
      </c>
      <c r="E401" s="33">
        <f>'minyak mentah'!H405</f>
        <v>78.510000000000005</v>
      </c>
      <c r="F401" s="46">
        <f>emas!H405</f>
        <v>1322000</v>
      </c>
    </row>
    <row r="402" spans="1:6" x14ac:dyDescent="0.3">
      <c r="A402" s="35">
        <f>inflasi!$G406</f>
        <v>45530</v>
      </c>
      <c r="B402" s="33">
        <f>inflasi!$H406</f>
        <v>2.12</v>
      </c>
      <c r="C402" s="33">
        <f>'suku bunga'!$H406</f>
        <v>6.25</v>
      </c>
      <c r="D402" s="48">
        <f>'nilai tukar'!$H406</f>
        <v>15380</v>
      </c>
      <c r="E402" s="33">
        <f>'minyak mentah'!H406</f>
        <v>78.510000000000005</v>
      </c>
      <c r="F402" s="46">
        <f>emas!H406</f>
        <v>1322000</v>
      </c>
    </row>
    <row r="403" spans="1:6" x14ac:dyDescent="0.3">
      <c r="A403" s="35">
        <f>inflasi!$G407</f>
        <v>45529</v>
      </c>
      <c r="B403" s="33">
        <f>inflasi!$H407</f>
        <v>2.12</v>
      </c>
      <c r="C403" s="33">
        <f>'suku bunga'!$H407</f>
        <v>6.25</v>
      </c>
      <c r="D403" s="48">
        <f>'nilai tukar'!$H407</f>
        <v>15554</v>
      </c>
      <c r="E403" s="33">
        <f>'minyak mentah'!H407</f>
        <v>78.510000000000005</v>
      </c>
      <c r="F403" s="46">
        <f>emas!H407</f>
        <v>1322000</v>
      </c>
    </row>
    <row r="404" spans="1:6" x14ac:dyDescent="0.3">
      <c r="A404" s="35">
        <f>inflasi!$G408</f>
        <v>45528</v>
      </c>
      <c r="B404" s="33">
        <f>inflasi!$H408</f>
        <v>2.12</v>
      </c>
      <c r="C404" s="33">
        <f>'suku bunga'!$H408</f>
        <v>6.25</v>
      </c>
      <c r="D404" s="48">
        <f>'nilai tukar'!$H408</f>
        <v>15554</v>
      </c>
      <c r="E404" s="33">
        <f>'minyak mentah'!H408</f>
        <v>78.510000000000005</v>
      </c>
      <c r="F404" s="46">
        <f>emas!H408</f>
        <v>1322000</v>
      </c>
    </row>
    <row r="405" spans="1:6" x14ac:dyDescent="0.3">
      <c r="A405" s="35">
        <f>inflasi!$G409</f>
        <v>45527</v>
      </c>
      <c r="B405" s="33">
        <f>inflasi!$H409</f>
        <v>2.12</v>
      </c>
      <c r="C405" s="33">
        <f>'suku bunga'!$H409</f>
        <v>6.25</v>
      </c>
      <c r="D405" s="48">
        <f>'nilai tukar'!$H409</f>
        <v>15554</v>
      </c>
      <c r="E405" s="33">
        <f>'minyak mentah'!H409</f>
        <v>78.510000000000005</v>
      </c>
      <c r="F405" s="46">
        <f>emas!H409</f>
        <v>1313000</v>
      </c>
    </row>
    <row r="406" spans="1:6" x14ac:dyDescent="0.3">
      <c r="A406" s="35">
        <f>inflasi!$G410</f>
        <v>45526</v>
      </c>
      <c r="B406" s="33">
        <f>inflasi!$H410</f>
        <v>2.12</v>
      </c>
      <c r="C406" s="33">
        <f>'suku bunga'!$H410</f>
        <v>6.25</v>
      </c>
      <c r="D406" s="48">
        <f>'nilai tukar'!$H410</f>
        <v>15579</v>
      </c>
      <c r="E406" s="33">
        <f>'minyak mentah'!H410</f>
        <v>78.510000000000005</v>
      </c>
      <c r="F406" s="46">
        <f>emas!H410</f>
        <v>1312000</v>
      </c>
    </row>
    <row r="407" spans="1:6" x14ac:dyDescent="0.3">
      <c r="A407" s="35">
        <f>inflasi!$G411</f>
        <v>45525</v>
      </c>
      <c r="B407" s="33">
        <f>inflasi!$H411</f>
        <v>2.12</v>
      </c>
      <c r="C407" s="33">
        <f>'suku bunga'!$H411</f>
        <v>6.25</v>
      </c>
      <c r="D407" s="48">
        <f>'nilai tukar'!$H411</f>
        <v>15456</v>
      </c>
      <c r="E407" s="33">
        <f>'minyak mentah'!H411</f>
        <v>78.510000000000005</v>
      </c>
      <c r="F407" s="46">
        <f>emas!H411</f>
        <v>1317000</v>
      </c>
    </row>
    <row r="408" spans="1:6" x14ac:dyDescent="0.3">
      <c r="A408" s="35">
        <f>inflasi!$G412</f>
        <v>45524</v>
      </c>
      <c r="B408" s="33">
        <f>inflasi!$H412</f>
        <v>2.12</v>
      </c>
      <c r="C408" s="33">
        <f>'suku bunga'!$H412</f>
        <v>6.25</v>
      </c>
      <c r="D408" s="48">
        <f>'nilai tukar'!$H412</f>
        <v>15480</v>
      </c>
      <c r="E408" s="33">
        <f>'minyak mentah'!H412</f>
        <v>78.510000000000005</v>
      </c>
      <c r="F408" s="46">
        <f>emas!H412</f>
        <v>1321000</v>
      </c>
    </row>
    <row r="409" spans="1:6" x14ac:dyDescent="0.3">
      <c r="A409" s="35">
        <f>inflasi!$G413</f>
        <v>45523</v>
      </c>
      <c r="B409" s="33">
        <f>inflasi!$H413</f>
        <v>2.12</v>
      </c>
      <c r="C409" s="33">
        <f>'suku bunga'!$H413</f>
        <v>6.25</v>
      </c>
      <c r="D409" s="48">
        <f>'nilai tukar'!$H413</f>
        <v>15591</v>
      </c>
      <c r="E409" s="33">
        <f>'minyak mentah'!H413</f>
        <v>78.510000000000005</v>
      </c>
      <c r="F409" s="46">
        <f>emas!H413</f>
        <v>1320000</v>
      </c>
    </row>
    <row r="410" spans="1:6" x14ac:dyDescent="0.3">
      <c r="A410" s="35">
        <f>inflasi!$G414</f>
        <v>45522</v>
      </c>
      <c r="B410" s="33">
        <f>inflasi!$H414</f>
        <v>2.12</v>
      </c>
      <c r="C410" s="33">
        <f>'suku bunga'!$H414</f>
        <v>6.25</v>
      </c>
      <c r="D410" s="48">
        <f>'nilai tukar'!$H414</f>
        <v>15716</v>
      </c>
      <c r="E410" s="33">
        <f>'minyak mentah'!H414</f>
        <v>78.510000000000005</v>
      </c>
      <c r="F410" s="46">
        <f>emas!H414</f>
        <v>1320000</v>
      </c>
    </row>
    <row r="411" spans="1:6" x14ac:dyDescent="0.3">
      <c r="A411" s="35">
        <f>inflasi!$G415</f>
        <v>45521</v>
      </c>
      <c r="B411" s="33">
        <f>inflasi!$H415</f>
        <v>2.12</v>
      </c>
      <c r="C411" s="33">
        <f>'suku bunga'!$H415</f>
        <v>6.25</v>
      </c>
      <c r="D411" s="48">
        <f>'nilai tukar'!$H415</f>
        <v>15716</v>
      </c>
      <c r="E411" s="33">
        <f>'minyak mentah'!H415</f>
        <v>78.510000000000005</v>
      </c>
      <c r="F411" s="46">
        <f>emas!H415</f>
        <v>1320000</v>
      </c>
    </row>
    <row r="412" spans="1:6" x14ac:dyDescent="0.3">
      <c r="A412" s="35">
        <f>inflasi!$G416</f>
        <v>45520</v>
      </c>
      <c r="B412" s="33">
        <f>inflasi!$H416</f>
        <v>2.12</v>
      </c>
      <c r="C412" s="33">
        <f>'suku bunga'!$H416</f>
        <v>6.25</v>
      </c>
      <c r="D412" s="48">
        <f>'nilai tukar'!$H416</f>
        <v>15716</v>
      </c>
      <c r="E412" s="33">
        <f>'minyak mentah'!H416</f>
        <v>78.510000000000005</v>
      </c>
      <c r="F412" s="46">
        <f>emas!H416</f>
        <v>1306000</v>
      </c>
    </row>
    <row r="413" spans="1:6" x14ac:dyDescent="0.3">
      <c r="A413" s="35">
        <f>inflasi!$G417</f>
        <v>45519</v>
      </c>
      <c r="B413" s="33">
        <f>inflasi!$H417</f>
        <v>2.12</v>
      </c>
      <c r="C413" s="33">
        <f>'suku bunga'!$H417</f>
        <v>6.25</v>
      </c>
      <c r="D413" s="48">
        <f>'nilai tukar'!$H417</f>
        <v>15687</v>
      </c>
      <c r="E413" s="33">
        <f>'minyak mentah'!H417</f>
        <v>78.510000000000005</v>
      </c>
      <c r="F413" s="46">
        <f>emas!H417</f>
        <v>1316000</v>
      </c>
    </row>
    <row r="414" spans="1:6" x14ac:dyDescent="0.3">
      <c r="A414" s="35">
        <f>inflasi!$G418</f>
        <v>45518</v>
      </c>
      <c r="B414" s="33">
        <f>inflasi!$H418</f>
        <v>2.12</v>
      </c>
      <c r="C414" s="33">
        <f>'suku bunga'!$H418</f>
        <v>6.25</v>
      </c>
      <c r="D414" s="48">
        <f>'nilai tukar'!$H418</f>
        <v>15691</v>
      </c>
      <c r="E414" s="33">
        <f>'minyak mentah'!H418</f>
        <v>78.510000000000005</v>
      </c>
      <c r="F414" s="46">
        <f>emas!H418</f>
        <v>1321000</v>
      </c>
    </row>
    <row r="415" spans="1:6" x14ac:dyDescent="0.3">
      <c r="A415" s="35">
        <f>inflasi!$G419</f>
        <v>45517</v>
      </c>
      <c r="B415" s="33">
        <f>inflasi!$H419</f>
        <v>2.12</v>
      </c>
      <c r="C415" s="33">
        <f>'suku bunga'!$H419</f>
        <v>6.25</v>
      </c>
      <c r="D415" s="48">
        <f>'nilai tukar'!$H419</f>
        <v>15885</v>
      </c>
      <c r="E415" s="33">
        <f>'minyak mentah'!H419</f>
        <v>78.510000000000005</v>
      </c>
      <c r="F415" s="46">
        <f>emas!H419</f>
        <v>1321000</v>
      </c>
    </row>
    <row r="416" spans="1:6" x14ac:dyDescent="0.3">
      <c r="A416" s="35">
        <f>inflasi!$G420</f>
        <v>45516</v>
      </c>
      <c r="B416" s="33">
        <f>inflasi!$H420</f>
        <v>2.12</v>
      </c>
      <c r="C416" s="33">
        <f>'suku bunga'!$H420</f>
        <v>6.25</v>
      </c>
      <c r="D416" s="48">
        <f>'nilai tukar'!$H420</f>
        <v>15963</v>
      </c>
      <c r="E416" s="33">
        <f>'minyak mentah'!H420</f>
        <v>78.510000000000005</v>
      </c>
      <c r="F416" s="46">
        <f>emas!H420</f>
        <v>1303000</v>
      </c>
    </row>
    <row r="417" spans="1:6" x14ac:dyDescent="0.3">
      <c r="A417" s="35">
        <f>inflasi!$G421</f>
        <v>45515</v>
      </c>
      <c r="B417" s="33">
        <f>inflasi!$H421</f>
        <v>2.12</v>
      </c>
      <c r="C417" s="33">
        <f>'suku bunga'!$H421</f>
        <v>6.25</v>
      </c>
      <c r="D417" s="48">
        <f>'nilai tukar'!$H421</f>
        <v>15914</v>
      </c>
      <c r="E417" s="33">
        <f>'minyak mentah'!H421</f>
        <v>78.510000000000005</v>
      </c>
      <c r="F417" s="46">
        <f>emas!H421</f>
        <v>1303000</v>
      </c>
    </row>
    <row r="418" spans="1:6" x14ac:dyDescent="0.3">
      <c r="A418" s="35">
        <f>inflasi!$G422</f>
        <v>45514</v>
      </c>
      <c r="B418" s="33">
        <f>inflasi!$H422</f>
        <v>2.12</v>
      </c>
      <c r="C418" s="33">
        <f>'suku bunga'!$H422</f>
        <v>6.25</v>
      </c>
      <c r="D418" s="48">
        <f>'nilai tukar'!$H422</f>
        <v>15914</v>
      </c>
      <c r="E418" s="33">
        <f>'minyak mentah'!H422</f>
        <v>78.510000000000005</v>
      </c>
      <c r="F418" s="46">
        <f>emas!H422</f>
        <v>1303000</v>
      </c>
    </row>
    <row r="419" spans="1:6" x14ac:dyDescent="0.3">
      <c r="A419" s="35">
        <f>inflasi!$G423</f>
        <v>45513</v>
      </c>
      <c r="B419" s="33">
        <f>inflasi!$H423</f>
        <v>2.12</v>
      </c>
      <c r="C419" s="33">
        <f>'suku bunga'!$H423</f>
        <v>6.25</v>
      </c>
      <c r="D419" s="48">
        <f>'nilai tukar'!$H423</f>
        <v>15914</v>
      </c>
      <c r="E419" s="33">
        <f>'minyak mentah'!H423</f>
        <v>78.510000000000005</v>
      </c>
      <c r="F419" s="46">
        <f>emas!H423</f>
        <v>1311000</v>
      </c>
    </row>
    <row r="420" spans="1:6" x14ac:dyDescent="0.3">
      <c r="A420" s="35">
        <f>inflasi!$G424</f>
        <v>45512</v>
      </c>
      <c r="B420" s="33">
        <f>inflasi!$H424</f>
        <v>2.12</v>
      </c>
      <c r="C420" s="33">
        <f>'suku bunga'!$H424</f>
        <v>6.25</v>
      </c>
      <c r="D420" s="48">
        <f>'nilai tukar'!$H424</f>
        <v>15952</v>
      </c>
      <c r="E420" s="33">
        <f>'minyak mentah'!H424</f>
        <v>78.510000000000005</v>
      </c>
      <c r="F420" s="46">
        <f>emas!H424</f>
        <v>1301000</v>
      </c>
    </row>
    <row r="421" spans="1:6" x14ac:dyDescent="0.3">
      <c r="A421" s="35">
        <f>inflasi!$G425</f>
        <v>45511</v>
      </c>
      <c r="B421" s="33">
        <f>inflasi!$H425</f>
        <v>2.12</v>
      </c>
      <c r="C421" s="33">
        <f>'suku bunga'!$H425</f>
        <v>6.25</v>
      </c>
      <c r="D421" s="48">
        <f>'nilai tukar'!$H425</f>
        <v>16100</v>
      </c>
      <c r="E421" s="33">
        <f>'minyak mentah'!H425</f>
        <v>78.510000000000005</v>
      </c>
      <c r="F421" s="46">
        <f>emas!H425</f>
        <v>1301000</v>
      </c>
    </row>
    <row r="422" spans="1:6" x14ac:dyDescent="0.3">
      <c r="A422" s="35">
        <f>inflasi!$G426</f>
        <v>45510</v>
      </c>
      <c r="B422" s="33">
        <f>inflasi!$H426</f>
        <v>2.12</v>
      </c>
      <c r="C422" s="33">
        <f>'suku bunga'!$H426</f>
        <v>6.25</v>
      </c>
      <c r="D422" s="48">
        <f>'nilai tukar'!$H426</f>
        <v>16183</v>
      </c>
      <c r="E422" s="33">
        <f>'minyak mentah'!H426</f>
        <v>78.510000000000005</v>
      </c>
      <c r="F422" s="46">
        <f>emas!H426</f>
        <v>1315000</v>
      </c>
    </row>
    <row r="423" spans="1:6" x14ac:dyDescent="0.3">
      <c r="A423" s="35">
        <f>inflasi!$G427</f>
        <v>45509</v>
      </c>
      <c r="B423" s="33">
        <f>inflasi!$H427</f>
        <v>2.12</v>
      </c>
      <c r="C423" s="33">
        <f>'suku bunga'!$H427</f>
        <v>6.25</v>
      </c>
      <c r="D423" s="48">
        <f>'nilai tukar'!$H427</f>
        <v>16154</v>
      </c>
      <c r="E423" s="33">
        <f>'minyak mentah'!H427</f>
        <v>78.510000000000005</v>
      </c>
      <c r="F423" s="46">
        <f>emas!H427</f>
        <v>1322000</v>
      </c>
    </row>
    <row r="424" spans="1:6" x14ac:dyDescent="0.3">
      <c r="A424" s="35">
        <f>inflasi!$G428</f>
        <v>45508</v>
      </c>
      <c r="B424" s="33">
        <f>inflasi!$H428</f>
        <v>2.12</v>
      </c>
      <c r="C424" s="33">
        <f>'suku bunga'!$H428</f>
        <v>6.25</v>
      </c>
      <c r="D424" s="48">
        <f>'nilai tukar'!$H428</f>
        <v>16234</v>
      </c>
      <c r="E424" s="33">
        <f>'minyak mentah'!H428</f>
        <v>78.510000000000005</v>
      </c>
      <c r="F424" s="46">
        <f>emas!H428</f>
        <v>1330000</v>
      </c>
    </row>
    <row r="425" spans="1:6" x14ac:dyDescent="0.3">
      <c r="A425" s="35">
        <f>inflasi!$G429</f>
        <v>45507</v>
      </c>
      <c r="B425" s="33">
        <f>inflasi!$H429</f>
        <v>2.12</v>
      </c>
      <c r="C425" s="33">
        <f>'suku bunga'!$H429</f>
        <v>6.25</v>
      </c>
      <c r="D425" s="48">
        <f>'nilai tukar'!$H429</f>
        <v>16234</v>
      </c>
      <c r="E425" s="33">
        <f>'minyak mentah'!H429</f>
        <v>78.510000000000005</v>
      </c>
      <c r="F425" s="46">
        <f>emas!H429</f>
        <v>1330000</v>
      </c>
    </row>
    <row r="426" spans="1:6" x14ac:dyDescent="0.3">
      <c r="A426" s="35">
        <f>inflasi!$G430</f>
        <v>45506</v>
      </c>
      <c r="B426" s="33">
        <f>inflasi!$H430</f>
        <v>2.12</v>
      </c>
      <c r="C426" s="33">
        <f>'suku bunga'!$H430</f>
        <v>6.25</v>
      </c>
      <c r="D426" s="48">
        <f>'nilai tukar'!$H430</f>
        <v>16234</v>
      </c>
      <c r="E426" s="33">
        <f>'minyak mentah'!H430</f>
        <v>78.510000000000005</v>
      </c>
      <c r="F426" s="46">
        <f>emas!H430</f>
        <v>1333000</v>
      </c>
    </row>
    <row r="427" spans="1:6" x14ac:dyDescent="0.3">
      <c r="A427" s="35">
        <f>inflasi!$G431</f>
        <v>45505</v>
      </c>
      <c r="B427" s="33">
        <f>inflasi!$H431</f>
        <v>2.12</v>
      </c>
      <c r="C427" s="33">
        <f>'suku bunga'!$H431</f>
        <v>6.25</v>
      </c>
      <c r="D427" s="48">
        <f>'nilai tukar'!$H431</f>
        <v>16243</v>
      </c>
      <c r="E427" s="33">
        <f>'minyak mentah'!H431</f>
        <v>78.510000000000005</v>
      </c>
      <c r="F427" s="46">
        <f>emas!H431</f>
        <v>1335000</v>
      </c>
    </row>
    <row r="428" spans="1:6" x14ac:dyDescent="0.3">
      <c r="A428" s="35">
        <f>inflasi!$G432</f>
        <v>45504</v>
      </c>
      <c r="B428" s="33">
        <f>inflasi!$H432</f>
        <v>2.13</v>
      </c>
      <c r="C428" s="33">
        <f>'suku bunga'!$H432</f>
        <v>6.25</v>
      </c>
      <c r="D428" s="48">
        <f>'nilai tukar'!$H432</f>
        <v>16294</v>
      </c>
      <c r="E428" s="33">
        <f>'minyak mentah'!H432</f>
        <v>82</v>
      </c>
      <c r="F428" s="46">
        <f>emas!H432</f>
        <v>1314000</v>
      </c>
    </row>
    <row r="429" spans="1:6" x14ac:dyDescent="0.3">
      <c r="A429" s="35">
        <f>inflasi!$G433</f>
        <v>45503</v>
      </c>
      <c r="B429" s="33">
        <f>inflasi!$H433</f>
        <v>2.13</v>
      </c>
      <c r="C429" s="33">
        <f>'suku bunga'!$H433</f>
        <v>6.25</v>
      </c>
      <c r="D429" s="48">
        <f>'nilai tukar'!$H433</f>
        <v>16320</v>
      </c>
      <c r="E429" s="33">
        <f>'minyak mentah'!H433</f>
        <v>82</v>
      </c>
      <c r="F429" s="46">
        <f>emas!H433</f>
        <v>1302000</v>
      </c>
    </row>
    <row r="430" spans="1:6" x14ac:dyDescent="0.3">
      <c r="A430" s="35">
        <f>inflasi!$G434</f>
        <v>45502</v>
      </c>
      <c r="B430" s="33">
        <f>inflasi!$H434</f>
        <v>2.13</v>
      </c>
      <c r="C430" s="33">
        <f>'suku bunga'!$H434</f>
        <v>6.25</v>
      </c>
      <c r="D430" s="48">
        <f>'nilai tukar'!$H434</f>
        <v>16286</v>
      </c>
      <c r="E430" s="33">
        <f>'minyak mentah'!H434</f>
        <v>82</v>
      </c>
      <c r="F430" s="46">
        <f>emas!H434</f>
        <v>1304000</v>
      </c>
    </row>
    <row r="431" spans="1:6" x14ac:dyDescent="0.3">
      <c r="A431" s="35">
        <f>inflasi!$G435</f>
        <v>45501</v>
      </c>
      <c r="B431" s="33">
        <f>inflasi!$H435</f>
        <v>2.13</v>
      </c>
      <c r="C431" s="33">
        <f>'suku bunga'!$H435</f>
        <v>6.25</v>
      </c>
      <c r="D431" s="48">
        <f>'nilai tukar'!$H435</f>
        <v>16294</v>
      </c>
      <c r="E431" s="33">
        <f>'minyak mentah'!H435</f>
        <v>82</v>
      </c>
      <c r="F431" s="46">
        <f>emas!H435</f>
        <v>1298000</v>
      </c>
    </row>
    <row r="432" spans="1:6" x14ac:dyDescent="0.3">
      <c r="A432" s="35">
        <f>inflasi!$G436</f>
        <v>45500</v>
      </c>
      <c r="B432" s="33">
        <f>inflasi!$H436</f>
        <v>2.13</v>
      </c>
      <c r="C432" s="33">
        <f>'suku bunga'!$H436</f>
        <v>6.25</v>
      </c>
      <c r="D432" s="48">
        <f>'nilai tukar'!$H436</f>
        <v>16294</v>
      </c>
      <c r="E432" s="33">
        <f>'minyak mentah'!H436</f>
        <v>82</v>
      </c>
      <c r="F432" s="46">
        <f>emas!H436</f>
        <v>1298000</v>
      </c>
    </row>
    <row r="433" spans="1:6" x14ac:dyDescent="0.3">
      <c r="A433" s="35">
        <f>inflasi!$G437</f>
        <v>45499</v>
      </c>
      <c r="B433" s="33">
        <f>inflasi!$H437</f>
        <v>2.13</v>
      </c>
      <c r="C433" s="33">
        <f>'suku bunga'!$H437</f>
        <v>6.25</v>
      </c>
      <c r="D433" s="48">
        <f>'nilai tukar'!$H437</f>
        <v>16294</v>
      </c>
      <c r="E433" s="33">
        <f>'minyak mentah'!H437</f>
        <v>82</v>
      </c>
      <c r="F433" s="46">
        <f>emas!H437</f>
        <v>1288000</v>
      </c>
    </row>
    <row r="434" spans="1:6" x14ac:dyDescent="0.3">
      <c r="A434" s="35">
        <f>inflasi!$G438</f>
        <v>45498</v>
      </c>
      <c r="B434" s="33">
        <f>inflasi!$H438</f>
        <v>2.13</v>
      </c>
      <c r="C434" s="33">
        <f>'suku bunga'!$H438</f>
        <v>6.25</v>
      </c>
      <c r="D434" s="48">
        <f>'nilai tukar'!$H438</f>
        <v>16268</v>
      </c>
      <c r="E434" s="33">
        <f>'minyak mentah'!H438</f>
        <v>82</v>
      </c>
      <c r="F434" s="46">
        <f>emas!H438</f>
        <v>1302000</v>
      </c>
    </row>
    <row r="435" spans="1:6" x14ac:dyDescent="0.3">
      <c r="A435" s="35">
        <f>inflasi!$G439</f>
        <v>45497</v>
      </c>
      <c r="B435" s="33">
        <f>inflasi!$H439</f>
        <v>2.13</v>
      </c>
      <c r="C435" s="33">
        <f>'suku bunga'!$H439</f>
        <v>6.25</v>
      </c>
      <c r="D435" s="48">
        <f>'nilai tukar'!$H439</f>
        <v>16224</v>
      </c>
      <c r="E435" s="33">
        <f>'minyak mentah'!H439</f>
        <v>82</v>
      </c>
      <c r="F435" s="46">
        <f>emas!H439</f>
        <v>1308000</v>
      </c>
    </row>
    <row r="436" spans="1:6" x14ac:dyDescent="0.3">
      <c r="A436" s="35">
        <f>inflasi!$G440</f>
        <v>45496</v>
      </c>
      <c r="B436" s="33">
        <f>inflasi!$H440</f>
        <v>2.13</v>
      </c>
      <c r="C436" s="33">
        <f>'suku bunga'!$H440</f>
        <v>6.25</v>
      </c>
      <c r="D436" s="48">
        <f>'nilai tukar'!$H440</f>
        <v>16204</v>
      </c>
      <c r="E436" s="33">
        <f>'minyak mentah'!H440</f>
        <v>82</v>
      </c>
      <c r="F436" s="46">
        <f>emas!H440</f>
        <v>1306000</v>
      </c>
    </row>
    <row r="437" spans="1:6" x14ac:dyDescent="0.3">
      <c r="A437" s="35">
        <f>inflasi!$G441</f>
        <v>45495</v>
      </c>
      <c r="B437" s="33">
        <f>inflasi!$H441</f>
        <v>2.13</v>
      </c>
      <c r="C437" s="33">
        <f>'suku bunga'!$H441</f>
        <v>6.25</v>
      </c>
      <c r="D437" s="48">
        <f>'nilai tukar'!$H441</f>
        <v>16228</v>
      </c>
      <c r="E437" s="33">
        <f>'minyak mentah'!H441</f>
        <v>82</v>
      </c>
      <c r="F437" s="46">
        <f>emas!H441</f>
        <v>1306000</v>
      </c>
    </row>
    <row r="438" spans="1:6" x14ac:dyDescent="0.3">
      <c r="A438" s="35">
        <f>inflasi!$G442</f>
        <v>45494</v>
      </c>
      <c r="B438" s="33">
        <f>inflasi!$H442</f>
        <v>2.13</v>
      </c>
      <c r="C438" s="33">
        <f>'suku bunga'!$H442</f>
        <v>6.25</v>
      </c>
      <c r="D438" s="48">
        <f>'nilai tukar'!$H442</f>
        <v>16199</v>
      </c>
      <c r="E438" s="33">
        <f>'minyak mentah'!H442</f>
        <v>82</v>
      </c>
      <c r="F438" s="46">
        <f>emas!H442</f>
        <v>1306000</v>
      </c>
    </row>
    <row r="439" spans="1:6" x14ac:dyDescent="0.3">
      <c r="A439" s="35">
        <f>inflasi!$G443</f>
        <v>45493</v>
      </c>
      <c r="B439" s="33">
        <f>inflasi!$H443</f>
        <v>2.13</v>
      </c>
      <c r="C439" s="33">
        <f>'suku bunga'!$H443</f>
        <v>6.25</v>
      </c>
      <c r="D439" s="48">
        <f>'nilai tukar'!$H443</f>
        <v>16199</v>
      </c>
      <c r="E439" s="33">
        <f>'minyak mentah'!H443</f>
        <v>82</v>
      </c>
      <c r="F439" s="46">
        <f>emas!H443</f>
        <v>1306000</v>
      </c>
    </row>
    <row r="440" spans="1:6" x14ac:dyDescent="0.3">
      <c r="A440" s="35">
        <f>inflasi!$G444</f>
        <v>45492</v>
      </c>
      <c r="B440" s="33">
        <f>inflasi!$H444</f>
        <v>2.13</v>
      </c>
      <c r="C440" s="33">
        <f>'suku bunga'!$H444</f>
        <v>6.25</v>
      </c>
      <c r="D440" s="48">
        <f>'nilai tukar'!$H444</f>
        <v>16199</v>
      </c>
      <c r="E440" s="33">
        <f>'minyak mentah'!H444</f>
        <v>82</v>
      </c>
      <c r="F440" s="46">
        <f>emas!H444</f>
        <v>1321000</v>
      </c>
    </row>
    <row r="441" spans="1:6" x14ac:dyDescent="0.3">
      <c r="A441" s="35">
        <f>inflasi!$G445</f>
        <v>45491</v>
      </c>
      <c r="B441" s="33">
        <f>inflasi!$H445</f>
        <v>2.13</v>
      </c>
      <c r="C441" s="33">
        <f>'suku bunga'!$H445</f>
        <v>6.25</v>
      </c>
      <c r="D441" s="48">
        <f>'nilai tukar'!$H445</f>
        <v>16160</v>
      </c>
      <c r="E441" s="33">
        <f>'minyak mentah'!H445</f>
        <v>82</v>
      </c>
      <c r="F441" s="46">
        <f>emas!H445</f>
        <v>1329000</v>
      </c>
    </row>
    <row r="442" spans="1:6" x14ac:dyDescent="0.3">
      <c r="A442" s="35">
        <f>inflasi!$G446</f>
        <v>45490</v>
      </c>
      <c r="B442" s="33">
        <f>inflasi!$H446</f>
        <v>2.13</v>
      </c>
      <c r="C442" s="33">
        <f>'suku bunga'!$H446</f>
        <v>6.25</v>
      </c>
      <c r="D442" s="48">
        <f>'nilai tukar'!$H446</f>
        <v>16129</v>
      </c>
      <c r="E442" s="33">
        <f>'minyak mentah'!H446</f>
        <v>82</v>
      </c>
      <c r="F442" s="46">
        <f>emas!H446</f>
        <v>1322000</v>
      </c>
    </row>
    <row r="443" spans="1:6" x14ac:dyDescent="0.3">
      <c r="A443" s="35">
        <f>inflasi!$G447</f>
        <v>45489</v>
      </c>
      <c r="B443" s="33">
        <f>inflasi!$H447</f>
        <v>2.13</v>
      </c>
      <c r="C443" s="33">
        <f>'suku bunga'!$H447</f>
        <v>6.25</v>
      </c>
      <c r="D443" s="48">
        <f>'nilai tukar'!$H447</f>
        <v>16203</v>
      </c>
      <c r="E443" s="33">
        <f>'minyak mentah'!H447</f>
        <v>82</v>
      </c>
      <c r="F443" s="46">
        <f>emas!H447</f>
        <v>1305000</v>
      </c>
    </row>
    <row r="444" spans="1:6" x14ac:dyDescent="0.3">
      <c r="A444" s="35">
        <f>inflasi!$G448</f>
        <v>45488</v>
      </c>
      <c r="B444" s="33">
        <f>inflasi!$H448</f>
        <v>2.13</v>
      </c>
      <c r="C444" s="33">
        <f>'suku bunga'!$H448</f>
        <v>6.25</v>
      </c>
      <c r="D444" s="48">
        <f>'nilai tukar'!$H448</f>
        <v>16174</v>
      </c>
      <c r="E444" s="33">
        <f>'minyak mentah'!H448</f>
        <v>82</v>
      </c>
      <c r="F444" s="46">
        <f>emas!H448</f>
        <v>1301000</v>
      </c>
    </row>
    <row r="445" spans="1:6" x14ac:dyDescent="0.3">
      <c r="A445" s="35">
        <f>inflasi!$G449</f>
        <v>45487</v>
      </c>
      <c r="B445" s="33">
        <f>inflasi!$H449</f>
        <v>2.13</v>
      </c>
      <c r="C445" s="33">
        <f>'suku bunga'!$H449</f>
        <v>6.25</v>
      </c>
      <c r="D445" s="48">
        <f>'nilai tukar'!$H449</f>
        <v>16154</v>
      </c>
      <c r="E445" s="33">
        <f>'minyak mentah'!H449</f>
        <v>82</v>
      </c>
      <c r="F445" s="46">
        <f>emas!H449</f>
        <v>1302000</v>
      </c>
    </row>
    <row r="446" spans="1:6" x14ac:dyDescent="0.3">
      <c r="A446" s="35">
        <f>inflasi!$G450</f>
        <v>45486</v>
      </c>
      <c r="B446" s="33">
        <f>inflasi!$H450</f>
        <v>2.13</v>
      </c>
      <c r="C446" s="33">
        <f>'suku bunga'!$H450</f>
        <v>6.25</v>
      </c>
      <c r="D446" s="48">
        <f>'nilai tukar'!$H450</f>
        <v>16154</v>
      </c>
      <c r="E446" s="33">
        <f>'minyak mentah'!H450</f>
        <v>82</v>
      </c>
      <c r="F446" s="46">
        <f>emas!H450</f>
        <v>1302000</v>
      </c>
    </row>
    <row r="447" spans="1:6" x14ac:dyDescent="0.3">
      <c r="A447" s="35">
        <f>inflasi!$G451</f>
        <v>45485</v>
      </c>
      <c r="B447" s="33">
        <f>inflasi!$H451</f>
        <v>2.13</v>
      </c>
      <c r="C447" s="33">
        <f>'suku bunga'!$H451</f>
        <v>6.25</v>
      </c>
      <c r="D447" s="48">
        <f>'nilai tukar'!$H451</f>
        <v>16154</v>
      </c>
      <c r="E447" s="33">
        <f>'minyak mentah'!H451</f>
        <v>82</v>
      </c>
      <c r="F447" s="46">
        <f>emas!H451</f>
        <v>1301000</v>
      </c>
    </row>
    <row r="448" spans="1:6" x14ac:dyDescent="0.3">
      <c r="A448" s="35">
        <f>inflasi!$G452</f>
        <v>45484</v>
      </c>
      <c r="B448" s="33">
        <f>inflasi!$H452</f>
        <v>2.13</v>
      </c>
      <c r="C448" s="33">
        <f>'suku bunga'!$H452</f>
        <v>6.25</v>
      </c>
      <c r="D448" s="48">
        <f>'nilai tukar'!$H452</f>
        <v>16200</v>
      </c>
      <c r="E448" s="33">
        <f>'minyak mentah'!H452</f>
        <v>82</v>
      </c>
      <c r="F448" s="46">
        <f>emas!H452</f>
        <v>1288000</v>
      </c>
    </row>
    <row r="449" spans="1:6" x14ac:dyDescent="0.3">
      <c r="A449" s="35">
        <f>inflasi!$G453</f>
        <v>45483</v>
      </c>
      <c r="B449" s="33">
        <f>inflasi!$H453</f>
        <v>2.13</v>
      </c>
      <c r="C449" s="33">
        <f>'suku bunga'!$H453</f>
        <v>6.25</v>
      </c>
      <c r="D449" s="48">
        <f>'nilai tukar'!$H453</f>
        <v>16256</v>
      </c>
      <c r="E449" s="33">
        <f>'minyak mentah'!H453</f>
        <v>82</v>
      </c>
      <c r="F449" s="46">
        <f>emas!H453</f>
        <v>1282000</v>
      </c>
    </row>
    <row r="450" spans="1:6" x14ac:dyDescent="0.3">
      <c r="A450" s="35">
        <f>inflasi!$G454</f>
        <v>45482</v>
      </c>
      <c r="B450" s="33">
        <f>inflasi!$H454</f>
        <v>2.13</v>
      </c>
      <c r="C450" s="33">
        <f>'suku bunga'!$H454</f>
        <v>6.25</v>
      </c>
      <c r="D450" s="48">
        <f>'nilai tukar'!$H454</f>
        <v>16281</v>
      </c>
      <c r="E450" s="33">
        <f>'minyak mentah'!H454</f>
        <v>82</v>
      </c>
      <c r="F450" s="46">
        <f>emas!H454</f>
        <v>1291000</v>
      </c>
    </row>
    <row r="451" spans="1:6" x14ac:dyDescent="0.3">
      <c r="A451" s="35">
        <f>inflasi!$G455</f>
        <v>45481</v>
      </c>
      <c r="B451" s="33">
        <f>inflasi!$H455</f>
        <v>2.13</v>
      </c>
      <c r="C451" s="33">
        <f>'suku bunga'!$H455</f>
        <v>6.25</v>
      </c>
      <c r="D451" s="48">
        <f>'nilai tukar'!$H455</f>
        <v>16265</v>
      </c>
      <c r="E451" s="33">
        <f>'minyak mentah'!H455</f>
        <v>82</v>
      </c>
      <c r="F451" s="46">
        <f>emas!H455</f>
        <v>1298000</v>
      </c>
    </row>
    <row r="452" spans="1:6" x14ac:dyDescent="0.3">
      <c r="A452" s="35">
        <f>inflasi!$G456</f>
        <v>45480</v>
      </c>
      <c r="B452" s="33">
        <f>inflasi!$H456</f>
        <v>2.13</v>
      </c>
      <c r="C452" s="33">
        <f>'suku bunga'!$H456</f>
        <v>6.25</v>
      </c>
      <c r="D452" s="48">
        <f>'nilai tukar'!$H456</f>
        <v>16312</v>
      </c>
      <c r="E452" s="33">
        <f>'minyak mentah'!H456</f>
        <v>82</v>
      </c>
      <c r="F452" s="46">
        <f>emas!H456</f>
        <v>1297000</v>
      </c>
    </row>
    <row r="453" spans="1:6" x14ac:dyDescent="0.3">
      <c r="A453" s="35">
        <f>inflasi!$G457</f>
        <v>45479</v>
      </c>
      <c r="B453" s="33">
        <f>inflasi!$H457</f>
        <v>2.13</v>
      </c>
      <c r="C453" s="33">
        <f>'suku bunga'!$H457</f>
        <v>6.25</v>
      </c>
      <c r="D453" s="48">
        <f>'nilai tukar'!$H457</f>
        <v>16312</v>
      </c>
      <c r="E453" s="33">
        <f>'minyak mentah'!H457</f>
        <v>82</v>
      </c>
      <c r="F453" s="46">
        <f>emas!H457</f>
        <v>1297000</v>
      </c>
    </row>
    <row r="454" spans="1:6" x14ac:dyDescent="0.3">
      <c r="A454" s="35">
        <f>inflasi!$G458</f>
        <v>45478</v>
      </c>
      <c r="B454" s="33">
        <f>inflasi!$H458</f>
        <v>2.13</v>
      </c>
      <c r="C454" s="33">
        <f>'suku bunga'!$H458</f>
        <v>6.25</v>
      </c>
      <c r="D454" s="48">
        <f>'nilai tukar'!$H458</f>
        <v>16312</v>
      </c>
      <c r="E454" s="33">
        <f>'minyak mentah'!H458</f>
        <v>82</v>
      </c>
      <c r="F454" s="46">
        <f>emas!H458</f>
        <v>1285000</v>
      </c>
    </row>
    <row r="455" spans="1:6" x14ac:dyDescent="0.3">
      <c r="A455" s="35">
        <f>inflasi!$G459</f>
        <v>45477</v>
      </c>
      <c r="B455" s="33">
        <f>inflasi!$H459</f>
        <v>2.13</v>
      </c>
      <c r="C455" s="33">
        <f>'suku bunga'!$H459</f>
        <v>6.25</v>
      </c>
      <c r="D455" s="48">
        <f>'nilai tukar'!$H459</f>
        <v>16341</v>
      </c>
      <c r="E455" s="33">
        <f>'minyak mentah'!H459</f>
        <v>82</v>
      </c>
      <c r="F455" s="46">
        <f>emas!H459</f>
        <v>1280000</v>
      </c>
    </row>
    <row r="456" spans="1:6" x14ac:dyDescent="0.3">
      <c r="A456" s="35">
        <f>inflasi!$G460</f>
        <v>45476</v>
      </c>
      <c r="B456" s="33">
        <f>inflasi!$H460</f>
        <v>2.13</v>
      </c>
      <c r="C456" s="33">
        <f>'suku bunga'!$H460</f>
        <v>6.25</v>
      </c>
      <c r="D456" s="48">
        <f>'nilai tukar'!$H460</f>
        <v>16387</v>
      </c>
      <c r="E456" s="33">
        <f>'minyak mentah'!H460</f>
        <v>82</v>
      </c>
      <c r="F456" s="46">
        <f>emas!H460</f>
        <v>1267000</v>
      </c>
    </row>
    <row r="457" spans="1:6" x14ac:dyDescent="0.3">
      <c r="A457" s="35">
        <f>inflasi!$G461</f>
        <v>45475</v>
      </c>
      <c r="B457" s="33">
        <f>inflasi!$H461</f>
        <v>2.13</v>
      </c>
      <c r="C457" s="33">
        <f>'suku bunga'!$H461</f>
        <v>6.25</v>
      </c>
      <c r="D457" s="48">
        <f>'nilai tukar'!$H461</f>
        <v>16384</v>
      </c>
      <c r="E457" s="33">
        <f>'minyak mentah'!H461</f>
        <v>82</v>
      </c>
      <c r="F457" s="46">
        <f>emas!H461</f>
        <v>1270000</v>
      </c>
    </row>
    <row r="458" spans="1:6" x14ac:dyDescent="0.3">
      <c r="A458" s="35">
        <f>inflasi!$G462</f>
        <v>45474</v>
      </c>
      <c r="B458" s="33">
        <f>inflasi!$H462</f>
        <v>2.13</v>
      </c>
      <c r="C458" s="33">
        <f>'suku bunga'!$H462</f>
        <v>6.25</v>
      </c>
      <c r="D458" s="48">
        <f>'nilai tukar'!$H462</f>
        <v>16355</v>
      </c>
      <c r="E458" s="33">
        <f>'minyak mentah'!H462</f>
        <v>82</v>
      </c>
      <c r="F458" s="46">
        <f>emas!H462</f>
        <v>1265000</v>
      </c>
    </row>
    <row r="459" spans="1:6" x14ac:dyDescent="0.3">
      <c r="A459" s="35">
        <f>inflasi!$G463</f>
        <v>45473</v>
      </c>
      <c r="B459" s="33">
        <f>inflasi!$H463</f>
        <v>2.5099999999999998</v>
      </c>
      <c r="C459" s="33">
        <f>'suku bunga'!$H463</f>
        <v>6.25</v>
      </c>
      <c r="D459" s="48">
        <f>'nilai tukar'!$H463</f>
        <v>16394</v>
      </c>
      <c r="E459" s="33">
        <f>'minyak mentah'!H463</f>
        <v>79.31</v>
      </c>
      <c r="F459" s="46">
        <f>emas!H463</f>
        <v>1267000</v>
      </c>
    </row>
    <row r="460" spans="1:6" x14ac:dyDescent="0.3">
      <c r="A460" s="35">
        <f>inflasi!$G464</f>
        <v>45472</v>
      </c>
      <c r="B460" s="33">
        <f>inflasi!$H464</f>
        <v>2.5099999999999998</v>
      </c>
      <c r="C460" s="33">
        <f>'suku bunga'!$H464</f>
        <v>6.25</v>
      </c>
      <c r="D460" s="48">
        <f>'nilai tukar'!$H464</f>
        <v>16394</v>
      </c>
      <c r="E460" s="33">
        <f>'minyak mentah'!H464</f>
        <v>79.31</v>
      </c>
      <c r="F460" s="46">
        <f>emas!H464</f>
        <v>1267000</v>
      </c>
    </row>
    <row r="461" spans="1:6" x14ac:dyDescent="0.3">
      <c r="A461" s="35">
        <f>inflasi!$G465</f>
        <v>45471</v>
      </c>
      <c r="B461" s="33">
        <f>inflasi!$H465</f>
        <v>2.5099999999999998</v>
      </c>
      <c r="C461" s="33">
        <f>'suku bunga'!$H465</f>
        <v>6.25</v>
      </c>
      <c r="D461" s="48">
        <f>'nilai tukar'!$H465</f>
        <v>16394</v>
      </c>
      <c r="E461" s="33">
        <f>'minyak mentah'!H465</f>
        <v>79.31</v>
      </c>
      <c r="F461" s="46">
        <f>emas!H465</f>
        <v>1262000</v>
      </c>
    </row>
    <row r="462" spans="1:6" x14ac:dyDescent="0.3">
      <c r="A462" s="35">
        <f>inflasi!$G466</f>
        <v>45470</v>
      </c>
      <c r="B462" s="33">
        <f>inflasi!$H466</f>
        <v>2.5099999999999998</v>
      </c>
      <c r="C462" s="33">
        <f>'suku bunga'!$H466</f>
        <v>6.25</v>
      </c>
      <c r="D462" s="48">
        <f>'nilai tukar'!$H466</f>
        <v>16421</v>
      </c>
      <c r="E462" s="33">
        <f>'minyak mentah'!H466</f>
        <v>79.31</v>
      </c>
      <c r="F462" s="46">
        <f>emas!H466</f>
        <v>1252000</v>
      </c>
    </row>
    <row r="463" spans="1:6" x14ac:dyDescent="0.3">
      <c r="A463" s="35">
        <f>inflasi!$G467</f>
        <v>45469</v>
      </c>
      <c r="B463" s="33">
        <f>inflasi!$H467</f>
        <v>2.5099999999999998</v>
      </c>
      <c r="C463" s="33">
        <f>'suku bunga'!$H467</f>
        <v>6.25</v>
      </c>
      <c r="D463" s="48">
        <f>'nilai tukar'!$H467</f>
        <v>16435</v>
      </c>
      <c r="E463" s="33">
        <f>'minyak mentah'!H467</f>
        <v>79.31</v>
      </c>
      <c r="F463" s="46">
        <f>emas!H467</f>
        <v>1263000</v>
      </c>
    </row>
    <row r="464" spans="1:6" x14ac:dyDescent="0.3">
      <c r="A464" s="35">
        <f>inflasi!$G468</f>
        <v>45468</v>
      </c>
      <c r="B464" s="33">
        <f>inflasi!$H468</f>
        <v>2.5099999999999998</v>
      </c>
      <c r="C464" s="33">
        <f>'suku bunga'!$H468</f>
        <v>6.25</v>
      </c>
      <c r="D464" s="48">
        <f>'nilai tukar'!$H468</f>
        <v>16379</v>
      </c>
      <c r="E464" s="33">
        <f>'minyak mentah'!H468</f>
        <v>79.31</v>
      </c>
      <c r="F464" s="46">
        <f>emas!H468</f>
        <v>1270000</v>
      </c>
    </row>
    <row r="465" spans="1:6" x14ac:dyDescent="0.3">
      <c r="A465" s="35">
        <f>inflasi!$G469</f>
        <v>45467</v>
      </c>
      <c r="B465" s="33">
        <f>inflasi!$H469</f>
        <v>2.5099999999999998</v>
      </c>
      <c r="C465" s="33">
        <f>'suku bunga'!$H469</f>
        <v>6.25</v>
      </c>
      <c r="D465" s="48">
        <f>'nilai tukar'!$H469</f>
        <v>16431</v>
      </c>
      <c r="E465" s="33">
        <f>'minyak mentah'!H469</f>
        <v>79.31</v>
      </c>
      <c r="F465" s="46">
        <f>emas!H469</f>
        <v>1262000</v>
      </c>
    </row>
    <row r="466" spans="1:6" x14ac:dyDescent="0.3">
      <c r="A466" s="35">
        <f>inflasi!$G470</f>
        <v>45466</v>
      </c>
      <c r="B466" s="33">
        <f>inflasi!$H470</f>
        <v>2.5099999999999998</v>
      </c>
      <c r="C466" s="33">
        <f>'suku bunga'!$H470</f>
        <v>6.25</v>
      </c>
      <c r="D466" s="48">
        <f>'nilai tukar'!$H470</f>
        <v>16458</v>
      </c>
      <c r="E466" s="33">
        <f>'minyak mentah'!H470</f>
        <v>79.31</v>
      </c>
      <c r="F466" s="46">
        <f>emas!H470</f>
        <v>1259000</v>
      </c>
    </row>
    <row r="467" spans="1:6" x14ac:dyDescent="0.3">
      <c r="A467" s="35">
        <f>inflasi!$G471</f>
        <v>45465</v>
      </c>
      <c r="B467" s="33">
        <f>inflasi!$H471</f>
        <v>2.5099999999999998</v>
      </c>
      <c r="C467" s="33">
        <f>'suku bunga'!$H471</f>
        <v>6.25</v>
      </c>
      <c r="D467" s="48">
        <f>'nilai tukar'!$H471</f>
        <v>16458</v>
      </c>
      <c r="E467" s="33">
        <f>'minyak mentah'!H471</f>
        <v>79.31</v>
      </c>
      <c r="F467" s="46">
        <f>emas!H471</f>
        <v>1259000</v>
      </c>
    </row>
    <row r="468" spans="1:6" x14ac:dyDescent="0.3">
      <c r="A468" s="35">
        <f>inflasi!$G472</f>
        <v>45464</v>
      </c>
      <c r="B468" s="33">
        <f>inflasi!$H472</f>
        <v>2.5099999999999998</v>
      </c>
      <c r="C468" s="33">
        <f>'suku bunga'!$H472</f>
        <v>6.25</v>
      </c>
      <c r="D468" s="48">
        <f>'nilai tukar'!$H472</f>
        <v>16458</v>
      </c>
      <c r="E468" s="33">
        <f>'minyak mentah'!H472</f>
        <v>79.31</v>
      </c>
      <c r="F468" s="46">
        <f>emas!H472</f>
        <v>1273000</v>
      </c>
    </row>
    <row r="469" spans="1:6" x14ac:dyDescent="0.3">
      <c r="A469" s="35">
        <f>inflasi!$G473</f>
        <v>45463</v>
      </c>
      <c r="B469" s="33">
        <f>inflasi!$H473</f>
        <v>2.5099999999999998</v>
      </c>
      <c r="C469" s="33">
        <f>'suku bunga'!$H473</f>
        <v>6.25</v>
      </c>
      <c r="D469" s="48">
        <f>'nilai tukar'!$H473</f>
        <v>16420</v>
      </c>
      <c r="E469" s="33">
        <f>'minyak mentah'!H473</f>
        <v>79.31</v>
      </c>
      <c r="F469" s="46">
        <f>emas!H473</f>
        <v>1257000</v>
      </c>
    </row>
    <row r="470" spans="1:6" x14ac:dyDescent="0.3">
      <c r="A470" s="35">
        <f>inflasi!$G474</f>
        <v>45462</v>
      </c>
      <c r="B470" s="33">
        <f>inflasi!$H474</f>
        <v>2.5099999999999998</v>
      </c>
      <c r="C470" s="33">
        <f>'suku bunga'!$H474</f>
        <v>6.25</v>
      </c>
      <c r="D470" s="48">
        <f>'nilai tukar'!$H474</f>
        <v>16368</v>
      </c>
      <c r="E470" s="33">
        <f>'minyak mentah'!H474</f>
        <v>79.31</v>
      </c>
      <c r="F470" s="46">
        <f>emas!H474</f>
        <v>1251000</v>
      </c>
    </row>
    <row r="471" spans="1:6" x14ac:dyDescent="0.3">
      <c r="A471" s="35">
        <f>inflasi!$G475</f>
        <v>45461</v>
      </c>
      <c r="B471" s="33">
        <f>inflasi!$H475</f>
        <v>2.5099999999999998</v>
      </c>
      <c r="C471" s="33">
        <f>'suku bunga'!$H475</f>
        <v>6.25</v>
      </c>
      <c r="D471" s="48">
        <f>'nilai tukar'!$H475</f>
        <v>16374</v>
      </c>
      <c r="E471" s="33">
        <f>'minyak mentah'!H475</f>
        <v>79.31</v>
      </c>
      <c r="F471" s="46">
        <f>emas!H475</f>
        <v>1249000</v>
      </c>
    </row>
    <row r="472" spans="1:6" x14ac:dyDescent="0.3">
      <c r="A472" s="35">
        <f>inflasi!$G476</f>
        <v>45460</v>
      </c>
      <c r="B472" s="33">
        <f>inflasi!$H476</f>
        <v>2.5099999999999998</v>
      </c>
      <c r="C472" s="33">
        <f>'suku bunga'!$H476</f>
        <v>6.25</v>
      </c>
      <c r="D472" s="48">
        <f>'nilai tukar'!$H476</f>
        <v>16374</v>
      </c>
      <c r="E472" s="33">
        <f>'minyak mentah'!H476</f>
        <v>79.31</v>
      </c>
      <c r="F472" s="46">
        <f>emas!H476</f>
        <v>1249000</v>
      </c>
    </row>
    <row r="473" spans="1:6" x14ac:dyDescent="0.3">
      <c r="A473" s="35">
        <f>inflasi!$G477</f>
        <v>45459</v>
      </c>
      <c r="B473" s="33">
        <f>inflasi!$H477</f>
        <v>2.5099999999999998</v>
      </c>
      <c r="C473" s="33">
        <f>'suku bunga'!$H477</f>
        <v>6.25</v>
      </c>
      <c r="D473" s="48">
        <f>'nilai tukar'!$H477</f>
        <v>16374</v>
      </c>
      <c r="E473" s="33">
        <f>'minyak mentah'!H477</f>
        <v>79.31</v>
      </c>
      <c r="F473" s="46">
        <f>emas!H477</f>
        <v>1249000</v>
      </c>
    </row>
    <row r="474" spans="1:6" x14ac:dyDescent="0.3">
      <c r="A474" s="35">
        <f>inflasi!$G478</f>
        <v>45458</v>
      </c>
      <c r="B474" s="33">
        <f>inflasi!$H478</f>
        <v>2.5099999999999998</v>
      </c>
      <c r="C474" s="33">
        <f>'suku bunga'!$H478</f>
        <v>6.25</v>
      </c>
      <c r="D474" s="48">
        <f>'nilai tukar'!$H478</f>
        <v>16374</v>
      </c>
      <c r="E474" s="33">
        <f>'minyak mentah'!H478</f>
        <v>79.31</v>
      </c>
      <c r="F474" s="46">
        <f>emas!H478</f>
        <v>1249000</v>
      </c>
    </row>
    <row r="475" spans="1:6" x14ac:dyDescent="0.3">
      <c r="A475" s="35">
        <f>inflasi!$G479</f>
        <v>45457</v>
      </c>
      <c r="B475" s="33">
        <f>inflasi!$H479</f>
        <v>2.5099999999999998</v>
      </c>
      <c r="C475" s="33">
        <f>'suku bunga'!$H479</f>
        <v>6.25</v>
      </c>
      <c r="D475" s="48">
        <f>'nilai tukar'!$H479</f>
        <v>16374</v>
      </c>
      <c r="E475" s="33">
        <f>'minyak mentah'!H479</f>
        <v>79.31</v>
      </c>
      <c r="F475" s="46">
        <f>emas!H479</f>
        <v>1235000</v>
      </c>
    </row>
    <row r="476" spans="1:6" x14ac:dyDescent="0.3">
      <c r="A476" s="35">
        <f>inflasi!$G480</f>
        <v>45456</v>
      </c>
      <c r="B476" s="33">
        <f>inflasi!$H480</f>
        <v>2.5099999999999998</v>
      </c>
      <c r="C476" s="33">
        <f>'suku bunga'!$H480</f>
        <v>6.25</v>
      </c>
      <c r="D476" s="48">
        <f>'nilai tukar'!$H480</f>
        <v>16286</v>
      </c>
      <c r="E476" s="33">
        <f>'minyak mentah'!H480</f>
        <v>79.31</v>
      </c>
      <c r="F476" s="46">
        <f>emas!H480</f>
        <v>1243000</v>
      </c>
    </row>
    <row r="477" spans="1:6" x14ac:dyDescent="0.3">
      <c r="A477" s="35">
        <f>inflasi!$G481</f>
        <v>45455</v>
      </c>
      <c r="B477" s="33">
        <f>inflasi!$H481</f>
        <v>2.5099999999999998</v>
      </c>
      <c r="C477" s="33">
        <f>'suku bunga'!$H481</f>
        <v>6.25</v>
      </c>
      <c r="D477" s="48">
        <f>'nilai tukar'!$H481</f>
        <v>16297</v>
      </c>
      <c r="E477" s="33">
        <f>'minyak mentah'!H481</f>
        <v>79.31</v>
      </c>
      <c r="F477" s="46">
        <f>emas!H481</f>
        <v>1240000</v>
      </c>
    </row>
    <row r="478" spans="1:6" x14ac:dyDescent="0.3">
      <c r="A478" s="35">
        <f>inflasi!$G482</f>
        <v>45454</v>
      </c>
      <c r="B478" s="33">
        <f>inflasi!$H482</f>
        <v>2.5099999999999998</v>
      </c>
      <c r="C478" s="33">
        <f>'suku bunga'!$H482</f>
        <v>6.25</v>
      </c>
      <c r="D478" s="48">
        <f>'nilai tukar'!$H482</f>
        <v>16295</v>
      </c>
      <c r="E478" s="33">
        <f>'minyak mentah'!H482</f>
        <v>79.31</v>
      </c>
      <c r="F478" s="46">
        <f>emas!H482</f>
        <v>1232000</v>
      </c>
    </row>
    <row r="479" spans="1:6" x14ac:dyDescent="0.3">
      <c r="A479" s="35">
        <f>inflasi!$G483</f>
        <v>45453</v>
      </c>
      <c r="B479" s="33">
        <f>inflasi!$H483</f>
        <v>2.5099999999999998</v>
      </c>
      <c r="C479" s="33">
        <f>'suku bunga'!$H483</f>
        <v>6.25</v>
      </c>
      <c r="D479" s="48">
        <f>'nilai tukar'!$H483</f>
        <v>16290</v>
      </c>
      <c r="E479" s="33">
        <f>'minyak mentah'!H483</f>
        <v>79.31</v>
      </c>
      <c r="F479" s="46">
        <f>emas!H483</f>
        <v>1231000</v>
      </c>
    </row>
    <row r="480" spans="1:6" x14ac:dyDescent="0.3">
      <c r="A480" s="35">
        <f>inflasi!$G484</f>
        <v>45452</v>
      </c>
      <c r="B480" s="33">
        <f>inflasi!$H484</f>
        <v>2.5099999999999998</v>
      </c>
      <c r="C480" s="33">
        <f>'suku bunga'!$H484</f>
        <v>6.25</v>
      </c>
      <c r="D480" s="48">
        <f>'nilai tukar'!$H484</f>
        <v>16218</v>
      </c>
      <c r="E480" s="33">
        <f>'minyak mentah'!H484</f>
        <v>79.31</v>
      </c>
      <c r="F480" s="46">
        <f>emas!H484</f>
        <v>1230000</v>
      </c>
    </row>
    <row r="481" spans="1:6" x14ac:dyDescent="0.3">
      <c r="A481" s="35">
        <f>inflasi!$G485</f>
        <v>45451</v>
      </c>
      <c r="B481" s="33">
        <f>inflasi!$H485</f>
        <v>2.5099999999999998</v>
      </c>
      <c r="C481" s="33">
        <f>'suku bunga'!$H485</f>
        <v>6.25</v>
      </c>
      <c r="D481" s="48">
        <f>'nilai tukar'!$H485</f>
        <v>16218</v>
      </c>
      <c r="E481" s="33">
        <f>'minyak mentah'!H485</f>
        <v>79.31</v>
      </c>
      <c r="F481" s="46">
        <f>emas!H485</f>
        <v>1230000</v>
      </c>
    </row>
    <row r="482" spans="1:6" x14ac:dyDescent="0.3">
      <c r="A482" s="35">
        <f>inflasi!$G486</f>
        <v>45450</v>
      </c>
      <c r="B482" s="33">
        <f>inflasi!$H486</f>
        <v>2.5099999999999998</v>
      </c>
      <c r="C482" s="33">
        <f>'suku bunga'!$H486</f>
        <v>6.25</v>
      </c>
      <c r="D482" s="48">
        <f>'nilai tukar'!$H486</f>
        <v>16218</v>
      </c>
      <c r="E482" s="33">
        <f>'minyak mentah'!H486</f>
        <v>79.31</v>
      </c>
      <c r="F482" s="46">
        <f>emas!H486</f>
        <v>1268000</v>
      </c>
    </row>
    <row r="483" spans="1:6" x14ac:dyDescent="0.3">
      <c r="A483" s="35">
        <f>inflasi!$G487</f>
        <v>45449</v>
      </c>
      <c r="B483" s="33">
        <f>inflasi!$H487</f>
        <v>2.5099999999999998</v>
      </c>
      <c r="C483" s="33">
        <f>'suku bunga'!$H487</f>
        <v>6.25</v>
      </c>
      <c r="D483" s="48">
        <f>'nilai tukar'!$H487</f>
        <v>16279</v>
      </c>
      <c r="E483" s="33">
        <f>'minyak mentah'!H487</f>
        <v>79.31</v>
      </c>
      <c r="F483" s="46">
        <f>emas!H487</f>
        <v>1251000</v>
      </c>
    </row>
    <row r="484" spans="1:6" x14ac:dyDescent="0.3">
      <c r="A484" s="35">
        <f>inflasi!$G488</f>
        <v>45448</v>
      </c>
      <c r="B484" s="33">
        <f>inflasi!$H488</f>
        <v>2.5099999999999998</v>
      </c>
      <c r="C484" s="33">
        <f>'suku bunga'!$H488</f>
        <v>6.25</v>
      </c>
      <c r="D484" s="48">
        <f>'nilai tukar'!$H488</f>
        <v>16282</v>
      </c>
      <c r="E484" s="33">
        <f>'minyak mentah'!H488</f>
        <v>79.31</v>
      </c>
      <c r="F484" s="46">
        <f>emas!H488</f>
        <v>1238000</v>
      </c>
    </row>
    <row r="485" spans="1:6" x14ac:dyDescent="0.3">
      <c r="A485" s="35">
        <f>inflasi!$G489</f>
        <v>45447</v>
      </c>
      <c r="B485" s="33">
        <f>inflasi!$H489</f>
        <v>2.5099999999999998</v>
      </c>
      <c r="C485" s="33">
        <f>'suku bunga'!$H489</f>
        <v>6.25</v>
      </c>
      <c r="D485" s="48">
        <f>'nilai tukar'!$H489</f>
        <v>16220</v>
      </c>
      <c r="E485" s="33">
        <f>'minyak mentah'!H489</f>
        <v>79.31</v>
      </c>
      <c r="F485" s="46">
        <f>emas!H489</f>
        <v>1251000</v>
      </c>
    </row>
    <row r="486" spans="1:6" x14ac:dyDescent="0.3">
      <c r="A486" s="35">
        <f>inflasi!$G490</f>
        <v>45446</v>
      </c>
      <c r="B486" s="33">
        <f>inflasi!$H490</f>
        <v>2.5099999999999998</v>
      </c>
      <c r="C486" s="33">
        <f>'suku bunga'!$H490</f>
        <v>6.25</v>
      </c>
      <c r="D486" s="48">
        <f>'nilai tukar'!$H490</f>
        <v>16225</v>
      </c>
      <c r="E486" s="33">
        <f>'minyak mentah'!H490</f>
        <v>79.31</v>
      </c>
      <c r="F486" s="46">
        <f>emas!H490</f>
        <v>1237000</v>
      </c>
    </row>
    <row r="487" spans="1:6" x14ac:dyDescent="0.3">
      <c r="A487" s="35">
        <f>inflasi!$G491</f>
        <v>45445</v>
      </c>
      <c r="B487" s="33">
        <f>inflasi!$H491</f>
        <v>2.5099999999999998</v>
      </c>
      <c r="C487" s="33">
        <f>'suku bunga'!$H491</f>
        <v>6.25</v>
      </c>
      <c r="D487" s="48">
        <f>'nilai tukar'!$H491</f>
        <v>16251</v>
      </c>
      <c r="E487" s="33">
        <f>'minyak mentah'!H491</f>
        <v>79.31</v>
      </c>
      <c r="F487" s="46">
        <f>emas!H491</f>
        <v>1238000</v>
      </c>
    </row>
    <row r="488" spans="1:6" x14ac:dyDescent="0.3">
      <c r="A488" s="35">
        <f>inflasi!$G492</f>
        <v>45444</v>
      </c>
      <c r="B488" s="33">
        <f>inflasi!$H492</f>
        <v>2.5099999999999998</v>
      </c>
      <c r="C488" s="33">
        <f>'suku bunga'!$H492</f>
        <v>6.25</v>
      </c>
      <c r="D488" s="48">
        <f>'nilai tukar'!$H492</f>
        <v>16251</v>
      </c>
      <c r="E488" s="33">
        <f>'minyak mentah'!H492</f>
        <v>79.31</v>
      </c>
      <c r="F488" s="46">
        <f>emas!H492</f>
        <v>1238000</v>
      </c>
    </row>
    <row r="489" spans="1:6" x14ac:dyDescent="0.3">
      <c r="A489" s="35">
        <f>inflasi!$G493</f>
        <v>45443</v>
      </c>
      <c r="B489" s="33">
        <f>inflasi!$H493</f>
        <v>2.84</v>
      </c>
      <c r="C489" s="33">
        <f>'suku bunga'!$H493</f>
        <v>6.25</v>
      </c>
      <c r="D489" s="48">
        <f>'nilai tukar'!$H493</f>
        <v>16251</v>
      </c>
      <c r="E489" s="33">
        <f>'minyak mentah'!H493</f>
        <v>79.78</v>
      </c>
      <c r="F489" s="46">
        <f>emas!H493</f>
        <v>1239000</v>
      </c>
    </row>
    <row r="490" spans="1:6" x14ac:dyDescent="0.3">
      <c r="A490" s="35">
        <f>inflasi!$G494</f>
        <v>45442</v>
      </c>
      <c r="B490" s="33">
        <f>inflasi!$H494</f>
        <v>2.84</v>
      </c>
      <c r="C490" s="33">
        <f>'suku bunga'!$H494</f>
        <v>6.25</v>
      </c>
      <c r="D490" s="48">
        <f>'nilai tukar'!$H494</f>
        <v>16253</v>
      </c>
      <c r="E490" s="33">
        <f>'minyak mentah'!H494</f>
        <v>79.78</v>
      </c>
      <c r="F490" s="46">
        <f>emas!H494</f>
        <v>1231000</v>
      </c>
    </row>
    <row r="491" spans="1:6" x14ac:dyDescent="0.3">
      <c r="A491" s="35">
        <f>inflasi!$G495</f>
        <v>45441</v>
      </c>
      <c r="B491" s="33">
        <f>inflasi!$H495</f>
        <v>2.84</v>
      </c>
      <c r="C491" s="33">
        <f>'suku bunga'!$H495</f>
        <v>6.25</v>
      </c>
      <c r="D491" s="48">
        <f>'nilai tukar'!$H495</f>
        <v>16160</v>
      </c>
      <c r="E491" s="33">
        <f>'minyak mentah'!H495</f>
        <v>79.78</v>
      </c>
      <c r="F491" s="46">
        <f>emas!H495</f>
        <v>1240000</v>
      </c>
    </row>
    <row r="492" spans="1:6" x14ac:dyDescent="0.3">
      <c r="A492" s="35">
        <f>inflasi!$G496</f>
        <v>45440</v>
      </c>
      <c r="B492" s="33">
        <f>inflasi!$H496</f>
        <v>2.84</v>
      </c>
      <c r="C492" s="33">
        <f>'suku bunga'!$H496</f>
        <v>6.25</v>
      </c>
      <c r="D492" s="48">
        <f>'nilai tukar'!$H496</f>
        <v>16095</v>
      </c>
      <c r="E492" s="33">
        <f>'minyak mentah'!H496</f>
        <v>79.78</v>
      </c>
      <c r="F492" s="46">
        <f>emas!H496</f>
        <v>1235000</v>
      </c>
    </row>
    <row r="493" spans="1:6" x14ac:dyDescent="0.3">
      <c r="A493" s="35">
        <f>inflasi!$G497</f>
        <v>45439</v>
      </c>
      <c r="B493" s="33">
        <f>inflasi!$H497</f>
        <v>2.84</v>
      </c>
      <c r="C493" s="33">
        <f>'suku bunga'!$H497</f>
        <v>6.25</v>
      </c>
      <c r="D493" s="48">
        <f>'nilai tukar'!$H497</f>
        <v>16064</v>
      </c>
      <c r="E493" s="33">
        <f>'minyak mentah'!H497</f>
        <v>79.78</v>
      </c>
      <c r="F493" s="46">
        <f>emas!H497</f>
        <v>1229000</v>
      </c>
    </row>
    <row r="494" spans="1:6" x14ac:dyDescent="0.3">
      <c r="A494" s="35">
        <f>inflasi!$G498</f>
        <v>45438</v>
      </c>
      <c r="B494" s="33">
        <f>inflasi!$H498</f>
        <v>2.84</v>
      </c>
      <c r="C494" s="33">
        <f>'suku bunga'!$H498</f>
        <v>6.25</v>
      </c>
      <c r="D494" s="48">
        <f>'nilai tukar'!$H498</f>
        <v>15995</v>
      </c>
      <c r="E494" s="33">
        <f>'minyak mentah'!H498</f>
        <v>79.78</v>
      </c>
      <c r="F494" s="46">
        <f>emas!H498</f>
        <v>1227000</v>
      </c>
    </row>
    <row r="495" spans="1:6" x14ac:dyDescent="0.3">
      <c r="A495" s="35">
        <f>inflasi!$G499</f>
        <v>45437</v>
      </c>
      <c r="B495" s="33">
        <f>inflasi!$H499</f>
        <v>2.84</v>
      </c>
      <c r="C495" s="33">
        <f>'suku bunga'!$H499</f>
        <v>6.25</v>
      </c>
      <c r="D495" s="48">
        <f>'nilai tukar'!$H499</f>
        <v>15995</v>
      </c>
      <c r="E495" s="33">
        <f>'minyak mentah'!H499</f>
        <v>79.78</v>
      </c>
      <c r="F495" s="46">
        <f>emas!H499</f>
        <v>1227000</v>
      </c>
    </row>
    <row r="496" spans="1:6" x14ac:dyDescent="0.3">
      <c r="A496" s="35">
        <f>inflasi!$G500</f>
        <v>45436</v>
      </c>
      <c r="B496" s="33">
        <f>inflasi!$H500</f>
        <v>2.84</v>
      </c>
      <c r="C496" s="33">
        <f>'suku bunga'!$H500</f>
        <v>6.25</v>
      </c>
      <c r="D496" s="48">
        <f>'nilai tukar'!$H500</f>
        <v>15995</v>
      </c>
      <c r="E496" s="33">
        <f>'minyak mentah'!H500</f>
        <v>79.78</v>
      </c>
      <c r="F496" s="46">
        <f>emas!H500</f>
        <v>1259000</v>
      </c>
    </row>
    <row r="497" spans="1:6" x14ac:dyDescent="0.3">
      <c r="A497" s="35">
        <f>inflasi!$G501</f>
        <v>45435</v>
      </c>
      <c r="B497" s="33">
        <f>inflasi!$H501</f>
        <v>2.84</v>
      </c>
      <c r="C497" s="33">
        <f>'suku bunga'!$H501</f>
        <v>6.25</v>
      </c>
      <c r="D497" s="48">
        <f>'nilai tukar'!$H501</f>
        <v>15995</v>
      </c>
      <c r="E497" s="33">
        <f>'minyak mentah'!H501</f>
        <v>79.78</v>
      </c>
      <c r="F497" s="46">
        <f>emas!H501</f>
        <v>1259000</v>
      </c>
    </row>
    <row r="498" spans="1:6" x14ac:dyDescent="0.3">
      <c r="A498" s="35">
        <f>inflasi!$G502</f>
        <v>45434</v>
      </c>
      <c r="B498" s="33">
        <f>inflasi!$H502</f>
        <v>2.84</v>
      </c>
      <c r="C498" s="33">
        <f>'suku bunga'!$H502</f>
        <v>6.25</v>
      </c>
      <c r="D498" s="48">
        <f>'nilai tukar'!$H502</f>
        <v>15995</v>
      </c>
      <c r="E498" s="33">
        <f>'minyak mentah'!H502</f>
        <v>79.78</v>
      </c>
      <c r="F498" s="46">
        <f>emas!H502</f>
        <v>1259000</v>
      </c>
    </row>
    <row r="499" spans="1:6" x14ac:dyDescent="0.3">
      <c r="A499" s="35">
        <f>inflasi!$G503</f>
        <v>45433</v>
      </c>
      <c r="B499" s="33">
        <f>inflasi!$H503</f>
        <v>2.84</v>
      </c>
      <c r="C499" s="33">
        <f>'suku bunga'!$H503</f>
        <v>6.25</v>
      </c>
      <c r="D499" s="48">
        <f>'nilai tukar'!$H503</f>
        <v>16024</v>
      </c>
      <c r="E499" s="33">
        <f>'minyak mentah'!H503</f>
        <v>79.78</v>
      </c>
      <c r="F499" s="46">
        <f>emas!H503</f>
        <v>1260000</v>
      </c>
    </row>
    <row r="500" spans="1:6" x14ac:dyDescent="0.3">
      <c r="A500" s="35">
        <f>inflasi!$G504</f>
        <v>45432</v>
      </c>
      <c r="B500" s="33">
        <f>inflasi!$H504</f>
        <v>2.84</v>
      </c>
      <c r="C500" s="33">
        <f>'suku bunga'!$H504</f>
        <v>6.25</v>
      </c>
      <c r="D500" s="48">
        <f>'nilai tukar'!$H504</f>
        <v>15980</v>
      </c>
      <c r="E500" s="33">
        <f>'minyak mentah'!H504</f>
        <v>79.78</v>
      </c>
      <c r="F500" s="46">
        <f>emas!H504</f>
        <v>1265000</v>
      </c>
    </row>
    <row r="501" spans="1:6" x14ac:dyDescent="0.3">
      <c r="A501" s="35">
        <f>inflasi!$G505</f>
        <v>45431</v>
      </c>
      <c r="B501" s="33">
        <f>inflasi!$H505</f>
        <v>2.84</v>
      </c>
      <c r="C501" s="33">
        <f>'suku bunga'!$H505</f>
        <v>6.25</v>
      </c>
      <c r="D501" s="48">
        <f>'nilai tukar'!$H505</f>
        <v>15978</v>
      </c>
      <c r="E501" s="33">
        <f>'minyak mentah'!H505</f>
        <v>79.78</v>
      </c>
      <c r="F501" s="46">
        <f>emas!H505</f>
        <v>1252000</v>
      </c>
    </row>
    <row r="502" spans="1:6" x14ac:dyDescent="0.3">
      <c r="A502" s="35">
        <f>inflasi!$G506</f>
        <v>45430</v>
      </c>
      <c r="B502" s="33">
        <f>inflasi!$H506</f>
        <v>2.84</v>
      </c>
      <c r="C502" s="33">
        <f>'suku bunga'!$H506</f>
        <v>6.25</v>
      </c>
      <c r="D502" s="48">
        <f>'nilai tukar'!$H506</f>
        <v>15978</v>
      </c>
      <c r="E502" s="33">
        <f>'minyak mentah'!H506</f>
        <v>79.78</v>
      </c>
      <c r="F502" s="46">
        <f>emas!H506</f>
        <v>1252000</v>
      </c>
    </row>
    <row r="503" spans="1:6" x14ac:dyDescent="0.3">
      <c r="A503" s="35">
        <f>inflasi!$G507</f>
        <v>45429</v>
      </c>
      <c r="B503" s="33">
        <f>inflasi!$H507</f>
        <v>2.84</v>
      </c>
      <c r="C503" s="33">
        <f>'suku bunga'!$H507</f>
        <v>6.25</v>
      </c>
      <c r="D503" s="48">
        <f>'nilai tukar'!$H507</f>
        <v>15978</v>
      </c>
      <c r="E503" s="33">
        <f>'minyak mentah'!H507</f>
        <v>79.78</v>
      </c>
      <c r="F503" s="46">
        <f>emas!H507</f>
        <v>1245000</v>
      </c>
    </row>
    <row r="504" spans="1:6" x14ac:dyDescent="0.3">
      <c r="A504" s="35">
        <f>inflasi!$G508</f>
        <v>45428</v>
      </c>
      <c r="B504" s="33">
        <f>inflasi!$H508</f>
        <v>2.84</v>
      </c>
      <c r="C504" s="33">
        <f>'suku bunga'!$H508</f>
        <v>6.25</v>
      </c>
      <c r="D504" s="48">
        <f>'nilai tukar'!$H508</f>
        <v>15944</v>
      </c>
      <c r="E504" s="33">
        <f>'minyak mentah'!H508</f>
        <v>79.78</v>
      </c>
      <c r="F504" s="46">
        <f>emas!H508</f>
        <v>1256000</v>
      </c>
    </row>
    <row r="505" spans="1:6" x14ac:dyDescent="0.3">
      <c r="A505" s="35">
        <f>inflasi!$G509</f>
        <v>45427</v>
      </c>
      <c r="B505" s="33">
        <f>inflasi!$H509</f>
        <v>2.84</v>
      </c>
      <c r="C505" s="33">
        <f>'suku bunga'!$H509</f>
        <v>6.25</v>
      </c>
      <c r="D505" s="48">
        <f>'nilai tukar'!$H509</f>
        <v>16070</v>
      </c>
      <c r="E505" s="33">
        <f>'minyak mentah'!H509</f>
        <v>79.78</v>
      </c>
      <c r="F505" s="46">
        <f>emas!H509</f>
        <v>1237000</v>
      </c>
    </row>
    <row r="506" spans="1:6" x14ac:dyDescent="0.3">
      <c r="A506" s="35">
        <f>inflasi!$G510</f>
        <v>45426</v>
      </c>
      <c r="B506" s="33">
        <f>inflasi!$H510</f>
        <v>2.84</v>
      </c>
      <c r="C506" s="33">
        <f>'suku bunga'!$H510</f>
        <v>6.25</v>
      </c>
      <c r="D506" s="48">
        <f>'nilai tukar'!$H510</f>
        <v>16131</v>
      </c>
      <c r="E506" s="33">
        <f>'minyak mentah'!H510</f>
        <v>79.78</v>
      </c>
      <c r="F506" s="46">
        <f>emas!H510</f>
        <v>1226000</v>
      </c>
    </row>
    <row r="507" spans="1:6" x14ac:dyDescent="0.3">
      <c r="A507" s="35">
        <f>inflasi!$G511</f>
        <v>45425</v>
      </c>
      <c r="B507" s="33">
        <f>inflasi!$H511</f>
        <v>2.84</v>
      </c>
      <c r="C507" s="33">
        <f>'suku bunga'!$H511</f>
        <v>6.25</v>
      </c>
      <c r="D507" s="48">
        <f>'nilai tukar'!$H511</f>
        <v>16085</v>
      </c>
      <c r="E507" s="33">
        <f>'minyak mentah'!H511</f>
        <v>79.78</v>
      </c>
      <c r="F507" s="46">
        <f>emas!H511</f>
        <v>1235000</v>
      </c>
    </row>
    <row r="508" spans="1:6" x14ac:dyDescent="0.3">
      <c r="A508" s="35">
        <f>inflasi!$G512</f>
        <v>45424</v>
      </c>
      <c r="B508" s="33">
        <f>inflasi!$H512</f>
        <v>2.84</v>
      </c>
      <c r="C508" s="33">
        <f>'suku bunga'!$H512</f>
        <v>6.25</v>
      </c>
      <c r="D508" s="48">
        <f>'nilai tukar'!$H512</f>
        <v>16081</v>
      </c>
      <c r="E508" s="33">
        <f>'minyak mentah'!H512</f>
        <v>79.78</v>
      </c>
      <c r="F508" s="46">
        <f>emas!H512</f>
        <v>1235000</v>
      </c>
    </row>
    <row r="509" spans="1:6" x14ac:dyDescent="0.3">
      <c r="A509" s="35">
        <f>inflasi!$G513</f>
        <v>45423</v>
      </c>
      <c r="B509" s="33">
        <f>inflasi!$H513</f>
        <v>2.84</v>
      </c>
      <c r="C509" s="33">
        <f>'suku bunga'!$H513</f>
        <v>6.25</v>
      </c>
      <c r="D509" s="48">
        <f>'nilai tukar'!$H513</f>
        <v>16081</v>
      </c>
      <c r="E509" s="33">
        <f>'minyak mentah'!H513</f>
        <v>79.78</v>
      </c>
      <c r="F509" s="46">
        <f>emas!H513</f>
        <v>1235000</v>
      </c>
    </row>
    <row r="510" spans="1:6" x14ac:dyDescent="0.3">
      <c r="A510" s="35">
        <f>inflasi!$G514</f>
        <v>45422</v>
      </c>
      <c r="B510" s="33">
        <f>inflasi!$H514</f>
        <v>2.84</v>
      </c>
      <c r="C510" s="33">
        <f>'suku bunga'!$H514</f>
        <v>6.25</v>
      </c>
      <c r="D510" s="48">
        <f>'nilai tukar'!$H514</f>
        <v>16081</v>
      </c>
      <c r="E510" s="33">
        <f>'minyak mentah'!H514</f>
        <v>79.78</v>
      </c>
      <c r="F510" s="46">
        <f>emas!H514</f>
        <v>1228000</v>
      </c>
    </row>
    <row r="511" spans="1:6" x14ac:dyDescent="0.3">
      <c r="A511" s="35">
        <f>inflasi!$G515</f>
        <v>45421</v>
      </c>
      <c r="B511" s="33">
        <f>inflasi!$H515</f>
        <v>2.84</v>
      </c>
      <c r="C511" s="33">
        <f>'suku bunga'!$H515</f>
        <v>6.25</v>
      </c>
      <c r="D511" s="48">
        <f>'nilai tukar'!$H515</f>
        <v>16081</v>
      </c>
      <c r="E511" s="33">
        <f>'minyak mentah'!H515</f>
        <v>79.78</v>
      </c>
      <c r="F511" s="46">
        <f>emas!H515</f>
        <v>1210000</v>
      </c>
    </row>
    <row r="512" spans="1:6" x14ac:dyDescent="0.3">
      <c r="A512" s="35">
        <f>inflasi!$G516</f>
        <v>45420</v>
      </c>
      <c r="B512" s="33">
        <f>inflasi!$H516</f>
        <v>2.84</v>
      </c>
      <c r="C512" s="33">
        <f>'suku bunga'!$H516</f>
        <v>6.25</v>
      </c>
      <c r="D512" s="48">
        <f>'nilai tukar'!$H516</f>
        <v>16081</v>
      </c>
      <c r="E512" s="33">
        <f>'minyak mentah'!H516</f>
        <v>79.78</v>
      </c>
      <c r="F512" s="46">
        <f>emas!H516</f>
        <v>1210000</v>
      </c>
    </row>
    <row r="513" spans="1:6" x14ac:dyDescent="0.3">
      <c r="A513" s="35">
        <f>inflasi!$G517</f>
        <v>45419</v>
      </c>
      <c r="B513" s="33">
        <f>inflasi!$H517</f>
        <v>2.84</v>
      </c>
      <c r="C513" s="33">
        <f>'suku bunga'!$H517</f>
        <v>6.25</v>
      </c>
      <c r="D513" s="48">
        <f>'nilai tukar'!$H517</f>
        <v>16054</v>
      </c>
      <c r="E513" s="33">
        <f>'minyak mentah'!H517</f>
        <v>79.78</v>
      </c>
      <c r="F513" s="46">
        <f>emas!H517</f>
        <v>1220000</v>
      </c>
    </row>
    <row r="514" spans="1:6" x14ac:dyDescent="0.3">
      <c r="A514" s="35">
        <f>inflasi!$G518</f>
        <v>45418</v>
      </c>
      <c r="B514" s="33">
        <f>inflasi!$H518</f>
        <v>2.84</v>
      </c>
      <c r="C514" s="33">
        <f>'suku bunga'!$H518</f>
        <v>6.25</v>
      </c>
      <c r="D514" s="48">
        <f>'nilai tukar'!$H518</f>
        <v>16025</v>
      </c>
      <c r="E514" s="33">
        <f>'minyak mentah'!H518</f>
        <v>79.78</v>
      </c>
      <c r="F514" s="46">
        <f>emas!H518</f>
        <v>1212000</v>
      </c>
    </row>
    <row r="515" spans="1:6" x14ac:dyDescent="0.3">
      <c r="A515" s="35">
        <f>inflasi!$G519</f>
        <v>45417</v>
      </c>
      <c r="B515" s="33">
        <f>inflasi!$H519</f>
        <v>2.84</v>
      </c>
      <c r="C515" s="33">
        <f>'suku bunga'!$H519</f>
        <v>6.25</v>
      </c>
      <c r="D515" s="48">
        <f>'nilai tukar'!$H519</f>
        <v>16094</v>
      </c>
      <c r="E515" s="33">
        <f>'minyak mentah'!H519</f>
        <v>79.78</v>
      </c>
      <c r="F515" s="46">
        <f>emas!H519</f>
        <v>1215000</v>
      </c>
    </row>
    <row r="516" spans="1:6" x14ac:dyDescent="0.3">
      <c r="A516" s="35">
        <f>inflasi!$G520</f>
        <v>45416</v>
      </c>
      <c r="B516" s="33">
        <f>inflasi!$H520</f>
        <v>2.84</v>
      </c>
      <c r="C516" s="33">
        <f>'suku bunga'!$H520</f>
        <v>6.25</v>
      </c>
      <c r="D516" s="48">
        <f>'nilai tukar'!$H520</f>
        <v>16094</v>
      </c>
      <c r="E516" s="33">
        <f>'minyak mentah'!H520</f>
        <v>79.78</v>
      </c>
      <c r="F516" s="46">
        <f>emas!H520</f>
        <v>1215000</v>
      </c>
    </row>
    <row r="517" spans="1:6" x14ac:dyDescent="0.3">
      <c r="A517" s="35">
        <f>inflasi!$G521</f>
        <v>45415</v>
      </c>
      <c r="B517" s="33">
        <f>inflasi!$H521</f>
        <v>2.84</v>
      </c>
      <c r="C517" s="33">
        <f>'suku bunga'!$H521</f>
        <v>6.25</v>
      </c>
      <c r="D517" s="48">
        <f>'nilai tukar'!$H521</f>
        <v>16094</v>
      </c>
      <c r="E517" s="33">
        <f>'minyak mentah'!H521</f>
        <v>79.78</v>
      </c>
      <c r="F517" s="46">
        <f>emas!H521</f>
        <v>1220000</v>
      </c>
    </row>
    <row r="518" spans="1:6" x14ac:dyDescent="0.3">
      <c r="A518" s="35">
        <f>inflasi!$G522</f>
        <v>45414</v>
      </c>
      <c r="B518" s="33">
        <f>inflasi!$H522</f>
        <v>2.84</v>
      </c>
      <c r="C518" s="33">
        <f>'suku bunga'!$H522</f>
        <v>6.25</v>
      </c>
      <c r="D518" s="48">
        <f>'nilai tukar'!$H522</f>
        <v>16202</v>
      </c>
      <c r="E518" s="33">
        <f>'minyak mentah'!H522</f>
        <v>79.78</v>
      </c>
      <c r="F518" s="46">
        <f>emas!H522</f>
        <v>1229000</v>
      </c>
    </row>
    <row r="519" spans="1:6" x14ac:dyDescent="0.3">
      <c r="A519" s="35">
        <f>inflasi!$G523</f>
        <v>45413</v>
      </c>
      <c r="B519" s="33">
        <f>inflasi!$H523</f>
        <v>2.84</v>
      </c>
      <c r="C519" s="33">
        <f>'suku bunga'!$H523</f>
        <v>6.25</v>
      </c>
      <c r="D519" s="48">
        <f>'nilai tukar'!$H523</f>
        <v>16276</v>
      </c>
      <c r="E519" s="33">
        <f>'minyak mentah'!H523</f>
        <v>79.78</v>
      </c>
      <c r="F519" s="46">
        <f>emas!H523</f>
        <v>1212000</v>
      </c>
    </row>
    <row r="520" spans="1:6" x14ac:dyDescent="0.3">
      <c r="A520" s="35">
        <f>inflasi!$G524</f>
        <v>45412</v>
      </c>
      <c r="B520" s="33">
        <f>inflasi!$H524</f>
        <v>3</v>
      </c>
      <c r="C520" s="33">
        <f>'suku bunga'!$H524</f>
        <v>6.25</v>
      </c>
      <c r="D520" s="48">
        <f>'nilai tukar'!$H524</f>
        <v>16276</v>
      </c>
      <c r="E520" s="33">
        <f>'minyak mentah'!H524</f>
        <v>87.61</v>
      </c>
      <c r="F520" s="46">
        <f>emas!H524</f>
        <v>1227000</v>
      </c>
    </row>
    <row r="521" spans="1:6" x14ac:dyDescent="0.3">
      <c r="A521" s="35">
        <f>inflasi!$G525</f>
        <v>45411</v>
      </c>
      <c r="B521" s="33">
        <f>inflasi!$H525</f>
        <v>3</v>
      </c>
      <c r="C521" s="33">
        <f>'suku bunga'!$H525</f>
        <v>6.25</v>
      </c>
      <c r="D521" s="48">
        <f>'nilai tukar'!$H525</f>
        <v>16249</v>
      </c>
      <c r="E521" s="33">
        <f>'minyak mentah'!H525</f>
        <v>87.61</v>
      </c>
      <c r="F521" s="46">
        <f>emas!H525</f>
        <v>1227000</v>
      </c>
    </row>
    <row r="522" spans="1:6" x14ac:dyDescent="0.3">
      <c r="A522" s="35">
        <f>inflasi!$G526</f>
        <v>45410</v>
      </c>
      <c r="B522" s="33">
        <f>inflasi!$H526</f>
        <v>3</v>
      </c>
      <c r="C522" s="33">
        <f>'suku bunga'!$H526</f>
        <v>6.25</v>
      </c>
      <c r="D522" s="48">
        <f>'nilai tukar'!$H526</f>
        <v>16222</v>
      </c>
      <c r="E522" s="33">
        <f>'minyak mentah'!H526</f>
        <v>87.61</v>
      </c>
      <c r="F522" s="46">
        <f>emas!H526</f>
        <v>1228000</v>
      </c>
    </row>
    <row r="523" spans="1:6" x14ac:dyDescent="0.3">
      <c r="A523" s="35">
        <f>inflasi!$G527</f>
        <v>45409</v>
      </c>
      <c r="B523" s="33">
        <f>inflasi!$H527</f>
        <v>3</v>
      </c>
      <c r="C523" s="33">
        <f>'suku bunga'!$H527</f>
        <v>6.25</v>
      </c>
      <c r="D523" s="48">
        <f>'nilai tukar'!$H527</f>
        <v>16222</v>
      </c>
      <c r="E523" s="33">
        <f>'minyak mentah'!H527</f>
        <v>87.61</v>
      </c>
      <c r="F523" s="46">
        <f>emas!H527</f>
        <v>1228000</v>
      </c>
    </row>
    <row r="524" spans="1:6" x14ac:dyDescent="0.3">
      <c r="A524" s="35">
        <f>inflasi!$G528</f>
        <v>45408</v>
      </c>
      <c r="B524" s="33">
        <f>inflasi!$H528</f>
        <v>3</v>
      </c>
      <c r="C524" s="33">
        <f>'suku bunga'!$H528</f>
        <v>6.25</v>
      </c>
      <c r="D524" s="48">
        <f>'nilai tukar'!$H528</f>
        <v>16222</v>
      </c>
      <c r="E524" s="33">
        <f>'minyak mentah'!H528</f>
        <v>87.61</v>
      </c>
      <c r="F524" s="46">
        <f>emas!H528</f>
        <v>1221000</v>
      </c>
    </row>
    <row r="525" spans="1:6" x14ac:dyDescent="0.3">
      <c r="A525" s="35">
        <f>inflasi!$G529</f>
        <v>45407</v>
      </c>
      <c r="B525" s="33">
        <f>inflasi!$H529</f>
        <v>3</v>
      </c>
      <c r="C525" s="33">
        <f>'suku bunga'!$H529</f>
        <v>6.25</v>
      </c>
      <c r="D525" s="48">
        <f>'nilai tukar'!$H529</f>
        <v>16208</v>
      </c>
      <c r="E525" s="33">
        <f>'minyak mentah'!H529</f>
        <v>87.61</v>
      </c>
      <c r="F525" s="46">
        <f>emas!H529</f>
        <v>1221000</v>
      </c>
    </row>
    <row r="526" spans="1:6" x14ac:dyDescent="0.3">
      <c r="A526" s="35">
        <f>inflasi!$G530</f>
        <v>45406</v>
      </c>
      <c r="B526" s="33">
        <f>inflasi!$H530</f>
        <v>3</v>
      </c>
      <c r="C526" s="33">
        <f>'suku bunga'!$H530</f>
        <v>6.25</v>
      </c>
      <c r="D526" s="48">
        <f>'nilai tukar'!$H530</f>
        <v>16161</v>
      </c>
      <c r="E526" s="33">
        <f>'minyak mentah'!H530</f>
        <v>87.61</v>
      </c>
      <c r="F526" s="46">
        <f>emas!H530</f>
        <v>1222000</v>
      </c>
    </row>
    <row r="527" spans="1:6" x14ac:dyDescent="0.3">
      <c r="A527" s="35">
        <f>inflasi!$G531</f>
        <v>45405</v>
      </c>
      <c r="B527" s="33">
        <f>inflasi!$H531</f>
        <v>3</v>
      </c>
      <c r="C527" s="33">
        <f>'suku bunga'!$H531</f>
        <v>6</v>
      </c>
      <c r="D527" s="48">
        <f>'nilai tukar'!$H531</f>
        <v>16244</v>
      </c>
      <c r="E527" s="33">
        <f>'minyak mentah'!H531</f>
        <v>87.61</v>
      </c>
      <c r="F527" s="46">
        <f>emas!H531</f>
        <v>1227000</v>
      </c>
    </row>
    <row r="528" spans="1:6" x14ac:dyDescent="0.3">
      <c r="A528" s="35">
        <f>inflasi!$G532</f>
        <v>45404</v>
      </c>
      <c r="B528" s="33">
        <f>inflasi!$H532</f>
        <v>3</v>
      </c>
      <c r="C528" s="33">
        <f>'suku bunga'!$H532</f>
        <v>6</v>
      </c>
      <c r="D528" s="48">
        <f>'nilai tukar'!$H532</f>
        <v>16224</v>
      </c>
      <c r="E528" s="33">
        <f>'minyak mentah'!H532</f>
        <v>87.61</v>
      </c>
      <c r="F528" s="46">
        <f>emas!H532</f>
        <v>1245000</v>
      </c>
    </row>
    <row r="529" spans="1:6" x14ac:dyDescent="0.3">
      <c r="A529" s="35">
        <f>inflasi!$G533</f>
        <v>45403</v>
      </c>
      <c r="B529" s="33">
        <f>inflasi!$H533</f>
        <v>3</v>
      </c>
      <c r="C529" s="33">
        <f>'suku bunga'!$H533</f>
        <v>6</v>
      </c>
      <c r="D529" s="48">
        <f>'nilai tukar'!$H533</f>
        <v>16280</v>
      </c>
      <c r="E529" s="33">
        <f>'minyak mentah'!H533</f>
        <v>87.61</v>
      </c>
      <c r="F529" s="46">
        <f>emas!H533</f>
        <v>1249000</v>
      </c>
    </row>
    <row r="530" spans="1:6" x14ac:dyDescent="0.3">
      <c r="A530" s="35">
        <f>inflasi!$G534</f>
        <v>45402</v>
      </c>
      <c r="B530" s="33">
        <f>inflasi!$H534</f>
        <v>3</v>
      </c>
      <c r="C530" s="33">
        <f>'suku bunga'!$H534</f>
        <v>6</v>
      </c>
      <c r="D530" s="48">
        <f>'nilai tukar'!$H534</f>
        <v>16280</v>
      </c>
      <c r="E530" s="33">
        <f>'minyak mentah'!H534</f>
        <v>87.61</v>
      </c>
      <c r="F530" s="46">
        <f>emas!H534</f>
        <v>1249000</v>
      </c>
    </row>
    <row r="531" spans="1:6" x14ac:dyDescent="0.3">
      <c r="A531" s="35">
        <f>inflasi!$G535</f>
        <v>45401</v>
      </c>
      <c r="B531" s="33">
        <f>inflasi!$H535</f>
        <v>3</v>
      </c>
      <c r="C531" s="33">
        <f>'suku bunga'!$H535</f>
        <v>6</v>
      </c>
      <c r="D531" s="48">
        <f>'nilai tukar'!$H535</f>
        <v>16280</v>
      </c>
      <c r="E531" s="33">
        <f>'minyak mentah'!H535</f>
        <v>87.61</v>
      </c>
      <c r="F531" s="46">
        <f>emas!H535</f>
        <v>1247000</v>
      </c>
    </row>
    <row r="532" spans="1:6" x14ac:dyDescent="0.3">
      <c r="A532" s="35">
        <f>inflasi!$G536</f>
        <v>45400</v>
      </c>
      <c r="B532" s="33">
        <f>inflasi!$H536</f>
        <v>3</v>
      </c>
      <c r="C532" s="33">
        <f>'suku bunga'!$H536</f>
        <v>6</v>
      </c>
      <c r="D532" s="48">
        <f>'nilai tukar'!$H536</f>
        <v>16177</v>
      </c>
      <c r="E532" s="33">
        <f>'minyak mentah'!H536</f>
        <v>87.61</v>
      </c>
      <c r="F532" s="46">
        <f>emas!H536</f>
        <v>1237000</v>
      </c>
    </row>
    <row r="533" spans="1:6" x14ac:dyDescent="0.3">
      <c r="A533" s="35">
        <f>inflasi!$G537</f>
        <v>45399</v>
      </c>
      <c r="B533" s="33">
        <f>inflasi!$H537</f>
        <v>3</v>
      </c>
      <c r="C533" s="33">
        <f>'suku bunga'!$H537</f>
        <v>6</v>
      </c>
      <c r="D533" s="48">
        <f>'nilai tukar'!$H537</f>
        <v>16240</v>
      </c>
      <c r="E533" s="33">
        <f>'minyak mentah'!H537</f>
        <v>87.61</v>
      </c>
      <c r="F533" s="46">
        <f>emas!H537</f>
        <v>1223000</v>
      </c>
    </row>
    <row r="534" spans="1:6" x14ac:dyDescent="0.3">
      <c r="A534" s="35">
        <f>inflasi!$G538</f>
        <v>45398</v>
      </c>
      <c r="B534" s="33">
        <f>inflasi!$H538</f>
        <v>3</v>
      </c>
      <c r="C534" s="33">
        <f>'suku bunga'!$H538</f>
        <v>6</v>
      </c>
      <c r="D534" s="48">
        <f>'nilai tukar'!$H538</f>
        <v>16176</v>
      </c>
      <c r="E534" s="33">
        <f>'minyak mentah'!H538</f>
        <v>87.61</v>
      </c>
      <c r="F534" s="46">
        <f>emas!H538</f>
        <v>1223000</v>
      </c>
    </row>
    <row r="535" spans="1:6" x14ac:dyDescent="0.3">
      <c r="A535" s="35">
        <f>inflasi!$G539</f>
        <v>45397</v>
      </c>
      <c r="B535" s="33">
        <f>inflasi!$H539</f>
        <v>3</v>
      </c>
      <c r="C535" s="33">
        <f>'suku bunga'!$H539</f>
        <v>6</v>
      </c>
      <c r="D535" s="48">
        <f>'nilai tukar'!$H539</f>
        <v>15873</v>
      </c>
      <c r="E535" s="33">
        <f>'minyak mentah'!H539</f>
        <v>87.61</v>
      </c>
      <c r="F535" s="46">
        <f>emas!H539</f>
        <v>1217000</v>
      </c>
    </row>
    <row r="536" spans="1:6" x14ac:dyDescent="0.3">
      <c r="A536" s="35">
        <f>inflasi!$G540</f>
        <v>45396</v>
      </c>
      <c r="B536" s="33">
        <f>inflasi!$H540</f>
        <v>3</v>
      </c>
      <c r="C536" s="33">
        <f>'suku bunga'!$H540</f>
        <v>6</v>
      </c>
      <c r="D536" s="48">
        <f>'nilai tukar'!$H540</f>
        <v>15873</v>
      </c>
      <c r="E536" s="33">
        <f>'minyak mentah'!H540</f>
        <v>87.61</v>
      </c>
      <c r="F536" s="46">
        <f>emas!H540</f>
        <v>1212000</v>
      </c>
    </row>
    <row r="537" spans="1:6" x14ac:dyDescent="0.3">
      <c r="A537" s="35">
        <f>inflasi!$G541</f>
        <v>45395</v>
      </c>
      <c r="B537" s="33">
        <f>inflasi!$H541</f>
        <v>3</v>
      </c>
      <c r="C537" s="33">
        <f>'suku bunga'!$H541</f>
        <v>6</v>
      </c>
      <c r="D537" s="48">
        <f>'nilai tukar'!$H541</f>
        <v>15873</v>
      </c>
      <c r="E537" s="33">
        <f>'minyak mentah'!H541</f>
        <v>87.61</v>
      </c>
      <c r="F537" s="46">
        <f>emas!H541</f>
        <v>1212000</v>
      </c>
    </row>
    <row r="538" spans="1:6" x14ac:dyDescent="0.3">
      <c r="A538" s="35">
        <f>inflasi!$G542</f>
        <v>45394</v>
      </c>
      <c r="B538" s="33">
        <f>inflasi!$H542</f>
        <v>3</v>
      </c>
      <c r="C538" s="33">
        <f>'suku bunga'!$H542</f>
        <v>6</v>
      </c>
      <c r="D538" s="48">
        <f>'nilai tukar'!$H542</f>
        <v>15873</v>
      </c>
      <c r="E538" s="33">
        <f>'minyak mentah'!H542</f>
        <v>87.61</v>
      </c>
      <c r="F538" s="46">
        <f>emas!H542</f>
        <v>1226000</v>
      </c>
    </row>
    <row r="539" spans="1:6" x14ac:dyDescent="0.3">
      <c r="A539" s="35">
        <f>inflasi!$G543</f>
        <v>45393</v>
      </c>
      <c r="B539" s="33">
        <f>inflasi!$H543</f>
        <v>3</v>
      </c>
      <c r="C539" s="33">
        <f>'suku bunga'!$H543</f>
        <v>6</v>
      </c>
      <c r="D539" s="48">
        <f>'nilai tukar'!$H543</f>
        <v>15873</v>
      </c>
      <c r="E539" s="33">
        <f>'minyak mentah'!H543</f>
        <v>87.61</v>
      </c>
      <c r="F539" s="46">
        <f>emas!H543</f>
        <v>1208000</v>
      </c>
    </row>
    <row r="540" spans="1:6" x14ac:dyDescent="0.3">
      <c r="A540" s="35">
        <f>inflasi!$G544</f>
        <v>45392</v>
      </c>
      <c r="B540" s="33">
        <f>inflasi!$H544</f>
        <v>3</v>
      </c>
      <c r="C540" s="33">
        <f>'suku bunga'!$H544</f>
        <v>6</v>
      </c>
      <c r="D540" s="48">
        <f>'nilai tukar'!$H544</f>
        <v>15873</v>
      </c>
      <c r="E540" s="33">
        <f>'minyak mentah'!H544</f>
        <v>87.61</v>
      </c>
      <c r="F540" s="46">
        <f>emas!H544</f>
        <v>1179000</v>
      </c>
    </row>
    <row r="541" spans="1:6" x14ac:dyDescent="0.3">
      <c r="A541" s="35">
        <f>inflasi!$G545</f>
        <v>45391</v>
      </c>
      <c r="B541" s="33">
        <f>inflasi!$H545</f>
        <v>3</v>
      </c>
      <c r="C541" s="33">
        <f>'suku bunga'!$H545</f>
        <v>6</v>
      </c>
      <c r="D541" s="48">
        <f>'nilai tukar'!$H545</f>
        <v>15873</v>
      </c>
      <c r="E541" s="33">
        <f>'minyak mentah'!H545</f>
        <v>87.61</v>
      </c>
      <c r="F541" s="46">
        <f>emas!H545</f>
        <v>1208000</v>
      </c>
    </row>
    <row r="542" spans="1:6" x14ac:dyDescent="0.3">
      <c r="A542" s="35">
        <f>inflasi!$G546</f>
        <v>45390</v>
      </c>
      <c r="B542" s="33">
        <f>inflasi!$H546</f>
        <v>3</v>
      </c>
      <c r="C542" s="33">
        <f>'suku bunga'!$H546</f>
        <v>6</v>
      </c>
      <c r="D542" s="48">
        <f>'nilai tukar'!$H546</f>
        <v>15873</v>
      </c>
      <c r="E542" s="33">
        <f>'minyak mentah'!H546</f>
        <v>87.61</v>
      </c>
      <c r="F542" s="46">
        <f>emas!H546</f>
        <v>1191000</v>
      </c>
    </row>
    <row r="543" spans="1:6" x14ac:dyDescent="0.3">
      <c r="A543" s="35">
        <f>inflasi!$G547</f>
        <v>45389</v>
      </c>
      <c r="B543" s="33">
        <f>inflasi!$H547</f>
        <v>3</v>
      </c>
      <c r="C543" s="33">
        <f>'suku bunga'!$H547</f>
        <v>6</v>
      </c>
      <c r="D543" s="48">
        <f>'nilai tukar'!$H547</f>
        <v>15873</v>
      </c>
      <c r="E543" s="33">
        <f>'minyak mentah'!H547</f>
        <v>87.61</v>
      </c>
      <c r="F543" s="46">
        <f>emas!H547</f>
        <v>1201000</v>
      </c>
    </row>
    <row r="544" spans="1:6" x14ac:dyDescent="0.3">
      <c r="A544" s="35">
        <f>inflasi!$G548</f>
        <v>45388</v>
      </c>
      <c r="B544" s="33">
        <f>inflasi!$H548</f>
        <v>3</v>
      </c>
      <c r="C544" s="33">
        <f>'suku bunga'!$H548</f>
        <v>6</v>
      </c>
      <c r="D544" s="48">
        <f>'nilai tukar'!$H548</f>
        <v>15873</v>
      </c>
      <c r="E544" s="33">
        <f>'minyak mentah'!H548</f>
        <v>87.61</v>
      </c>
      <c r="F544" s="46">
        <f>emas!H548</f>
        <v>1201000</v>
      </c>
    </row>
    <row r="545" spans="1:6" x14ac:dyDescent="0.3">
      <c r="A545" s="35">
        <f>inflasi!$G549</f>
        <v>45387</v>
      </c>
      <c r="B545" s="33">
        <f>inflasi!$H549</f>
        <v>3</v>
      </c>
      <c r="C545" s="33">
        <f>'suku bunga'!$H549</f>
        <v>6</v>
      </c>
      <c r="D545" s="48">
        <f>'nilai tukar'!$H549</f>
        <v>15873</v>
      </c>
      <c r="E545" s="33">
        <f>'minyak mentah'!H549</f>
        <v>87.61</v>
      </c>
      <c r="F545" s="46">
        <f>emas!H549</f>
        <v>1181000</v>
      </c>
    </row>
    <row r="546" spans="1:6" x14ac:dyDescent="0.3">
      <c r="A546" s="35">
        <f>inflasi!$G550</f>
        <v>45386</v>
      </c>
      <c r="B546" s="33">
        <f>inflasi!$H550</f>
        <v>3</v>
      </c>
      <c r="C546" s="33">
        <f>'suku bunga'!$H550</f>
        <v>6</v>
      </c>
      <c r="D546" s="48">
        <f>'nilai tukar'!$H550</f>
        <v>15907</v>
      </c>
      <c r="E546" s="33">
        <f>'minyak mentah'!H550</f>
        <v>87.61</v>
      </c>
      <c r="F546" s="46">
        <f>emas!H550</f>
        <v>1185000</v>
      </c>
    </row>
    <row r="547" spans="1:6" x14ac:dyDescent="0.3">
      <c r="A547" s="35">
        <f>inflasi!$G551</f>
        <v>45385</v>
      </c>
      <c r="B547" s="33">
        <f>inflasi!$H551</f>
        <v>3</v>
      </c>
      <c r="C547" s="33">
        <f>'suku bunga'!$H551</f>
        <v>6</v>
      </c>
      <c r="D547" s="48">
        <f>'nilai tukar'!$H551</f>
        <v>15923</v>
      </c>
      <c r="E547" s="33">
        <f>'minyak mentah'!H551</f>
        <v>87.61</v>
      </c>
      <c r="F547" s="46">
        <f>emas!H551</f>
        <v>1178000</v>
      </c>
    </row>
    <row r="548" spans="1:6" x14ac:dyDescent="0.3">
      <c r="A548" s="35">
        <f>inflasi!$G552</f>
        <v>45384</v>
      </c>
      <c r="B548" s="33">
        <f>inflasi!$H552</f>
        <v>3</v>
      </c>
      <c r="C548" s="33">
        <f>'suku bunga'!$H552</f>
        <v>6</v>
      </c>
      <c r="D548" s="48">
        <f>'nilai tukar'!$H552</f>
        <v>15934</v>
      </c>
      <c r="E548" s="33">
        <f>'minyak mentah'!H552</f>
        <v>87.61</v>
      </c>
      <c r="F548" s="46">
        <f>emas!H552</f>
        <v>1158000</v>
      </c>
    </row>
    <row r="549" spans="1:6" x14ac:dyDescent="0.3">
      <c r="A549" s="35">
        <f>inflasi!$G553</f>
        <v>45383</v>
      </c>
      <c r="B549" s="33">
        <f>inflasi!$H553</f>
        <v>3</v>
      </c>
      <c r="C549" s="33">
        <f>'suku bunga'!$H553</f>
        <v>6</v>
      </c>
      <c r="D549" s="48">
        <f>'nilai tukar'!$H553</f>
        <v>15909</v>
      </c>
      <c r="E549" s="33">
        <f>'minyak mentah'!H553</f>
        <v>87.61</v>
      </c>
      <c r="F549" s="46">
        <f>emas!H553</f>
        <v>1156000</v>
      </c>
    </row>
    <row r="550" spans="1:6" x14ac:dyDescent="0.3">
      <c r="A550" s="35">
        <f>inflasi!$G554</f>
        <v>45382</v>
      </c>
      <c r="B550" s="33">
        <f>inflasi!$H554</f>
        <v>3.05</v>
      </c>
      <c r="C550" s="33">
        <f>'suku bunga'!$H554</f>
        <v>6</v>
      </c>
      <c r="D550" s="48">
        <f>'nilai tukar'!$H554</f>
        <v>15873</v>
      </c>
      <c r="E550" s="33">
        <f>'minyak mentah'!H554</f>
        <v>83.78</v>
      </c>
      <c r="F550" s="46">
        <f>emas!H554</f>
        <v>1151000</v>
      </c>
    </row>
    <row r="551" spans="1:6" x14ac:dyDescent="0.3">
      <c r="A551" s="35">
        <f>inflasi!$G555</f>
        <v>45381</v>
      </c>
      <c r="B551" s="33">
        <f>inflasi!$H555</f>
        <v>3.05</v>
      </c>
      <c r="C551" s="33">
        <f>'suku bunga'!$H555</f>
        <v>6</v>
      </c>
      <c r="D551" s="48">
        <f>'nilai tukar'!$H555</f>
        <v>15873</v>
      </c>
      <c r="E551" s="33">
        <f>'minyak mentah'!H555</f>
        <v>83.78</v>
      </c>
      <c r="F551" s="46">
        <f>emas!H555</f>
        <v>1151000</v>
      </c>
    </row>
    <row r="552" spans="1:6" x14ac:dyDescent="0.3">
      <c r="A552" s="35">
        <f>inflasi!$G556</f>
        <v>45380</v>
      </c>
      <c r="B552" s="33">
        <f>inflasi!$H556</f>
        <v>3.05</v>
      </c>
      <c r="C552" s="33">
        <f>'suku bunga'!$H556</f>
        <v>6</v>
      </c>
      <c r="D552" s="48">
        <f>'nilai tukar'!$H556</f>
        <v>15873</v>
      </c>
      <c r="E552" s="33">
        <f>'minyak mentah'!H556</f>
        <v>83.78</v>
      </c>
      <c r="F552" s="46">
        <f>emas!H556</f>
        <v>1151000</v>
      </c>
    </row>
    <row r="553" spans="1:6" x14ac:dyDescent="0.3">
      <c r="A553" s="35">
        <f>inflasi!$G557</f>
        <v>45379</v>
      </c>
      <c r="B553" s="33">
        <f>inflasi!$H557</f>
        <v>3.05</v>
      </c>
      <c r="C553" s="33">
        <f>'suku bunga'!$H557</f>
        <v>6</v>
      </c>
      <c r="D553" s="48">
        <f>'nilai tukar'!$H557</f>
        <v>15873</v>
      </c>
      <c r="E553" s="33">
        <f>'minyak mentah'!H557</f>
        <v>83.78</v>
      </c>
      <c r="F553" s="46">
        <f>emas!H557</f>
        <v>1124000</v>
      </c>
    </row>
    <row r="554" spans="1:6" x14ac:dyDescent="0.3">
      <c r="A554" s="35">
        <f>inflasi!$G558</f>
        <v>45378</v>
      </c>
      <c r="B554" s="33">
        <f>inflasi!$H558</f>
        <v>3.05</v>
      </c>
      <c r="C554" s="33">
        <f>'suku bunga'!$H558</f>
        <v>6</v>
      </c>
      <c r="D554" s="48">
        <f>'nilai tukar'!$H558</f>
        <v>15853</v>
      </c>
      <c r="E554" s="33">
        <f>'minyak mentah'!H558</f>
        <v>83.78</v>
      </c>
      <c r="F554" s="46">
        <f>emas!H558</f>
        <v>1119000</v>
      </c>
    </row>
    <row r="555" spans="1:6" x14ac:dyDescent="0.3">
      <c r="A555" s="35">
        <f>inflasi!$G559</f>
        <v>45377</v>
      </c>
      <c r="B555" s="33">
        <f>inflasi!$H559</f>
        <v>3.05</v>
      </c>
      <c r="C555" s="33">
        <f>'suku bunga'!$H559</f>
        <v>6</v>
      </c>
      <c r="D555" s="48">
        <f>'nilai tukar'!$H559</f>
        <v>15797</v>
      </c>
      <c r="E555" s="33">
        <f>'minyak mentah'!H559</f>
        <v>83.78</v>
      </c>
      <c r="F555" s="46">
        <f>emas!H559</f>
        <v>1115000</v>
      </c>
    </row>
    <row r="556" spans="1:6" x14ac:dyDescent="0.3">
      <c r="A556" s="35">
        <f>inflasi!$G560</f>
        <v>45376</v>
      </c>
      <c r="B556" s="33">
        <f>inflasi!$H560</f>
        <v>3.05</v>
      </c>
      <c r="C556" s="33">
        <f>'suku bunga'!$H560</f>
        <v>6</v>
      </c>
      <c r="D556" s="48">
        <f>'nilai tukar'!$H560</f>
        <v>15795</v>
      </c>
      <c r="E556" s="33">
        <f>'minyak mentah'!H560</f>
        <v>83.78</v>
      </c>
      <c r="F556" s="46">
        <f>emas!H560</f>
        <v>1105000</v>
      </c>
    </row>
    <row r="557" spans="1:6" x14ac:dyDescent="0.3">
      <c r="A557" s="35">
        <f>inflasi!$G561</f>
        <v>45375</v>
      </c>
      <c r="B557" s="33">
        <f>inflasi!$H561</f>
        <v>3.05</v>
      </c>
      <c r="C557" s="33">
        <f>'suku bunga'!$H561</f>
        <v>6</v>
      </c>
      <c r="D557" s="48">
        <f>'nilai tukar'!$H561</f>
        <v>15773</v>
      </c>
      <c r="E557" s="33">
        <f>'minyak mentah'!H561</f>
        <v>83.78</v>
      </c>
      <c r="F557" s="46">
        <f>emas!H561</f>
        <v>1105000</v>
      </c>
    </row>
    <row r="558" spans="1:6" x14ac:dyDescent="0.3">
      <c r="A558" s="35">
        <f>inflasi!$G562</f>
        <v>45374</v>
      </c>
      <c r="B558" s="33">
        <f>inflasi!$H562</f>
        <v>3.05</v>
      </c>
      <c r="C558" s="33">
        <f>'suku bunga'!$H562</f>
        <v>6</v>
      </c>
      <c r="D558" s="48">
        <f>'nilai tukar'!$H562</f>
        <v>15773</v>
      </c>
      <c r="E558" s="33">
        <f>'minyak mentah'!H562</f>
        <v>83.78</v>
      </c>
      <c r="F558" s="46">
        <f>emas!H562</f>
        <v>1105000</v>
      </c>
    </row>
    <row r="559" spans="1:6" x14ac:dyDescent="0.3">
      <c r="A559" s="35">
        <f>inflasi!$G563</f>
        <v>45373</v>
      </c>
      <c r="B559" s="33">
        <f>inflasi!$H563</f>
        <v>3.05</v>
      </c>
      <c r="C559" s="33">
        <f>'suku bunga'!$H563</f>
        <v>6</v>
      </c>
      <c r="D559" s="48">
        <f>'nilai tukar'!$H563</f>
        <v>15773</v>
      </c>
      <c r="E559" s="33">
        <f>'minyak mentah'!H563</f>
        <v>83.78</v>
      </c>
      <c r="F559" s="46">
        <f>emas!H563</f>
        <v>1113000</v>
      </c>
    </row>
    <row r="560" spans="1:6" x14ac:dyDescent="0.3">
      <c r="A560" s="35">
        <f>inflasi!$G564</f>
        <v>45372</v>
      </c>
      <c r="B560" s="33">
        <f>inflasi!$H564</f>
        <v>3.05</v>
      </c>
      <c r="C560" s="33">
        <f>'suku bunga'!$H564</f>
        <v>6</v>
      </c>
      <c r="D560" s="48">
        <f>'nilai tukar'!$H564</f>
        <v>15662</v>
      </c>
      <c r="E560" s="33">
        <f>'minyak mentah'!H564</f>
        <v>83.78</v>
      </c>
      <c r="F560" s="46">
        <f>emas!H564</f>
        <v>1121000</v>
      </c>
    </row>
    <row r="561" spans="1:6" x14ac:dyDescent="0.3">
      <c r="A561" s="35">
        <f>inflasi!$G565</f>
        <v>45371</v>
      </c>
      <c r="B561" s="33">
        <f>inflasi!$H565</f>
        <v>3.05</v>
      </c>
      <c r="C561" s="33">
        <f>'suku bunga'!$H565</f>
        <v>6</v>
      </c>
      <c r="D561" s="48">
        <f>'nilai tukar'!$H565</f>
        <v>15727</v>
      </c>
      <c r="E561" s="33">
        <f>'minyak mentah'!H565</f>
        <v>83.78</v>
      </c>
      <c r="F561" s="46">
        <f>emas!H565</f>
        <v>1101000</v>
      </c>
    </row>
    <row r="562" spans="1:6" x14ac:dyDescent="0.3">
      <c r="A562" s="35">
        <f>inflasi!$G566</f>
        <v>45370</v>
      </c>
      <c r="B562" s="33">
        <f>inflasi!$H566</f>
        <v>3.05</v>
      </c>
      <c r="C562" s="33">
        <f>'suku bunga'!$H566</f>
        <v>6</v>
      </c>
      <c r="D562" s="48">
        <f>'nilai tukar'!$H566</f>
        <v>15712</v>
      </c>
      <c r="E562" s="33">
        <f>'minyak mentah'!H566</f>
        <v>83.78</v>
      </c>
      <c r="F562" s="46">
        <f>emas!H566</f>
        <v>1101000</v>
      </c>
    </row>
    <row r="563" spans="1:6" x14ac:dyDescent="0.3">
      <c r="A563" s="35">
        <f>inflasi!$G567</f>
        <v>45369</v>
      </c>
      <c r="B563" s="33">
        <f>inflasi!$H567</f>
        <v>3.05</v>
      </c>
      <c r="C563" s="33">
        <f>'suku bunga'!$H567</f>
        <v>6</v>
      </c>
      <c r="D563" s="48">
        <f>'nilai tukar'!$H567</f>
        <v>15672</v>
      </c>
      <c r="E563" s="33">
        <f>'minyak mentah'!H567</f>
        <v>83.78</v>
      </c>
      <c r="F563" s="46">
        <f>emas!H567</f>
        <v>1095000</v>
      </c>
    </row>
    <row r="564" spans="1:6" x14ac:dyDescent="0.3">
      <c r="A564" s="35">
        <f>inflasi!$G568</f>
        <v>45368</v>
      </c>
      <c r="B564" s="33">
        <f>inflasi!$H568</f>
        <v>3.05</v>
      </c>
      <c r="C564" s="33">
        <f>'suku bunga'!$H568</f>
        <v>6</v>
      </c>
      <c r="D564" s="48">
        <f>'nilai tukar'!$H568</f>
        <v>15624</v>
      </c>
      <c r="E564" s="33">
        <f>'minyak mentah'!H568</f>
        <v>83.78</v>
      </c>
      <c r="F564" s="46">
        <f>emas!H568</f>
        <v>1095000</v>
      </c>
    </row>
    <row r="565" spans="1:6" x14ac:dyDescent="0.3">
      <c r="A565" s="35">
        <f>inflasi!$G569</f>
        <v>45367</v>
      </c>
      <c r="B565" s="33">
        <f>inflasi!$H569</f>
        <v>3.05</v>
      </c>
      <c r="C565" s="33">
        <f>'suku bunga'!$H569</f>
        <v>6</v>
      </c>
      <c r="D565" s="48">
        <f>'nilai tukar'!$H569</f>
        <v>15624</v>
      </c>
      <c r="E565" s="33">
        <f>'minyak mentah'!H569</f>
        <v>83.78</v>
      </c>
      <c r="F565" s="46">
        <f>emas!H569</f>
        <v>1095000</v>
      </c>
    </row>
    <row r="566" spans="1:6" x14ac:dyDescent="0.3">
      <c r="A566" s="35">
        <f>inflasi!$G570</f>
        <v>45366</v>
      </c>
      <c r="B566" s="33">
        <f>inflasi!$H570</f>
        <v>3.05</v>
      </c>
      <c r="C566" s="33">
        <f>'suku bunga'!$H570</f>
        <v>6</v>
      </c>
      <c r="D566" s="48">
        <f>'nilai tukar'!$H570</f>
        <v>15624</v>
      </c>
      <c r="E566" s="33">
        <f>'minyak mentah'!H570</f>
        <v>83.78</v>
      </c>
      <c r="F566" s="46">
        <f>emas!H570</f>
        <v>1096000</v>
      </c>
    </row>
    <row r="567" spans="1:6" x14ac:dyDescent="0.3">
      <c r="A567" s="35">
        <f>inflasi!$G571</f>
        <v>45365</v>
      </c>
      <c r="B567" s="33">
        <f>inflasi!$H571</f>
        <v>3.05</v>
      </c>
      <c r="C567" s="33">
        <f>'suku bunga'!$H571</f>
        <v>6</v>
      </c>
      <c r="D567" s="48">
        <f>'nilai tukar'!$H571</f>
        <v>15582</v>
      </c>
      <c r="E567" s="33">
        <f>'minyak mentah'!H571</f>
        <v>83.78</v>
      </c>
      <c r="F567" s="46">
        <f>emas!H571</f>
        <v>1105000</v>
      </c>
    </row>
    <row r="568" spans="1:6" x14ac:dyDescent="0.3">
      <c r="A568" s="35">
        <f>inflasi!$G572</f>
        <v>45364</v>
      </c>
      <c r="B568" s="33">
        <f>inflasi!$H572</f>
        <v>3.05</v>
      </c>
      <c r="C568" s="33">
        <f>'suku bunga'!$H572</f>
        <v>6</v>
      </c>
      <c r="D568" s="48">
        <f>'nilai tukar'!$H572</f>
        <v>15576</v>
      </c>
      <c r="E568" s="33">
        <f>'minyak mentah'!H572</f>
        <v>83.78</v>
      </c>
      <c r="F568" s="46">
        <f>emas!H572</f>
        <v>1102000</v>
      </c>
    </row>
    <row r="569" spans="1:6" x14ac:dyDescent="0.3">
      <c r="A569" s="35">
        <f>inflasi!$G573</f>
        <v>45363</v>
      </c>
      <c r="B569" s="33">
        <f>inflasi!$H573</f>
        <v>3.05</v>
      </c>
      <c r="C569" s="33">
        <f>'suku bunga'!$H573</f>
        <v>6</v>
      </c>
      <c r="D569" s="48">
        <f>'nilai tukar'!$H573</f>
        <v>15603</v>
      </c>
      <c r="E569" s="33">
        <f>'minyak mentah'!H573</f>
        <v>83.78</v>
      </c>
      <c r="F569" s="46">
        <f>emas!H573</f>
        <v>1112000</v>
      </c>
    </row>
    <row r="570" spans="1:6" x14ac:dyDescent="0.3">
      <c r="A570" s="35">
        <f>inflasi!$G574</f>
        <v>45362</v>
      </c>
      <c r="B570" s="33">
        <f>inflasi!$H574</f>
        <v>3.05</v>
      </c>
      <c r="C570" s="33">
        <f>'suku bunga'!$H574</f>
        <v>6</v>
      </c>
      <c r="D570" s="48">
        <f>'nilai tukar'!$H574</f>
        <v>15603</v>
      </c>
      <c r="E570" s="33">
        <f>'minyak mentah'!H574</f>
        <v>83.78</v>
      </c>
      <c r="F570" s="46">
        <f>emas!H574</f>
        <v>1110000</v>
      </c>
    </row>
    <row r="571" spans="1:6" x14ac:dyDescent="0.3">
      <c r="A571" s="35">
        <f>inflasi!$G575</f>
        <v>45361</v>
      </c>
      <c r="B571" s="33">
        <f>inflasi!$H575</f>
        <v>3.05</v>
      </c>
      <c r="C571" s="33">
        <f>'suku bunga'!$H575</f>
        <v>6</v>
      </c>
      <c r="D571" s="48">
        <f>'nilai tukar'!$H575</f>
        <v>15603</v>
      </c>
      <c r="E571" s="33">
        <f>'minyak mentah'!H575</f>
        <v>83.78</v>
      </c>
      <c r="F571" s="46">
        <f>emas!H575</f>
        <v>1110000</v>
      </c>
    </row>
    <row r="572" spans="1:6" x14ac:dyDescent="0.3">
      <c r="A572" s="35">
        <f>inflasi!$G576</f>
        <v>45360</v>
      </c>
      <c r="B572" s="33">
        <f>inflasi!$H576</f>
        <v>3.05</v>
      </c>
      <c r="C572" s="33">
        <f>'suku bunga'!$H576</f>
        <v>6</v>
      </c>
      <c r="D572" s="48">
        <f>'nilai tukar'!$H576</f>
        <v>15603</v>
      </c>
      <c r="E572" s="33">
        <f>'minyak mentah'!H576</f>
        <v>83.78</v>
      </c>
      <c r="F572" s="46">
        <f>emas!H576</f>
        <v>1110000</v>
      </c>
    </row>
    <row r="573" spans="1:6" x14ac:dyDescent="0.3">
      <c r="A573" s="35">
        <f>inflasi!$G577</f>
        <v>45359</v>
      </c>
      <c r="B573" s="33">
        <f>inflasi!$H577</f>
        <v>3.05</v>
      </c>
      <c r="C573" s="33">
        <f>'suku bunga'!$H577</f>
        <v>6</v>
      </c>
      <c r="D573" s="48">
        <f>'nilai tukar'!$H577</f>
        <v>15603</v>
      </c>
      <c r="E573" s="33">
        <f>'minyak mentah'!H577</f>
        <v>83.78</v>
      </c>
      <c r="F573" s="46">
        <f>emas!H577</f>
        <v>1108000</v>
      </c>
    </row>
    <row r="574" spans="1:6" x14ac:dyDescent="0.3">
      <c r="A574" s="35">
        <f>inflasi!$G578</f>
        <v>45358</v>
      </c>
      <c r="B574" s="33">
        <f>inflasi!$H578</f>
        <v>3.05</v>
      </c>
      <c r="C574" s="33">
        <f>'suku bunga'!$H578</f>
        <v>6</v>
      </c>
      <c r="D574" s="48">
        <f>'nilai tukar'!$H578</f>
        <v>15658</v>
      </c>
      <c r="E574" s="33">
        <f>'minyak mentah'!H578</f>
        <v>83.78</v>
      </c>
      <c r="F574" s="46">
        <f>emas!H578</f>
        <v>1103000</v>
      </c>
    </row>
    <row r="575" spans="1:6" x14ac:dyDescent="0.3">
      <c r="A575" s="35">
        <f>inflasi!$G579</f>
        <v>45357</v>
      </c>
      <c r="B575" s="33">
        <f>inflasi!$H579</f>
        <v>3.05</v>
      </c>
      <c r="C575" s="33">
        <f>'suku bunga'!$H579</f>
        <v>6</v>
      </c>
      <c r="D575" s="48">
        <f>'nilai tukar'!$H579</f>
        <v>15723</v>
      </c>
      <c r="E575" s="33">
        <f>'minyak mentah'!H579</f>
        <v>83.78</v>
      </c>
      <c r="F575" s="46">
        <f>emas!H579</f>
        <v>1090000</v>
      </c>
    </row>
    <row r="576" spans="1:6" x14ac:dyDescent="0.3">
      <c r="A576" s="35">
        <f>inflasi!$G580</f>
        <v>45356</v>
      </c>
      <c r="B576" s="33">
        <f>inflasi!$H580</f>
        <v>3.05</v>
      </c>
      <c r="C576" s="33">
        <f>'suku bunga'!$H580</f>
        <v>6</v>
      </c>
      <c r="D576" s="48">
        <f>'nilai tukar'!$H580</f>
        <v>15756</v>
      </c>
      <c r="E576" s="33">
        <f>'minyak mentah'!H580</f>
        <v>83.78</v>
      </c>
      <c r="F576" s="46">
        <f>emas!H580</f>
        <v>1081000</v>
      </c>
    </row>
    <row r="577" spans="1:6" x14ac:dyDescent="0.3">
      <c r="A577" s="35">
        <f>inflasi!$G581</f>
        <v>45355</v>
      </c>
      <c r="B577" s="33">
        <f>inflasi!$H581</f>
        <v>3.05</v>
      </c>
      <c r="C577" s="33">
        <f>'suku bunga'!$H581</f>
        <v>6</v>
      </c>
      <c r="D577" s="48">
        <f>'nilai tukar'!$H581</f>
        <v>15723</v>
      </c>
      <c r="E577" s="33">
        <f>'minyak mentah'!H581</f>
        <v>83.78</v>
      </c>
      <c r="F577" s="46">
        <f>emas!H581</f>
        <v>1066000</v>
      </c>
    </row>
    <row r="578" spans="1:6" x14ac:dyDescent="0.3">
      <c r="A578" s="35">
        <f>inflasi!$G582</f>
        <v>45354</v>
      </c>
      <c r="B578" s="33">
        <f>inflasi!$H582</f>
        <v>3.05</v>
      </c>
      <c r="C578" s="33">
        <f>'suku bunga'!$H582</f>
        <v>6</v>
      </c>
      <c r="D578" s="48">
        <f>'nilai tukar'!$H582</f>
        <v>15696</v>
      </c>
      <c r="E578" s="33">
        <f>'minyak mentah'!H582</f>
        <v>83.78</v>
      </c>
      <c r="F578" s="46">
        <f>emas!H582</f>
        <v>1066000</v>
      </c>
    </row>
    <row r="579" spans="1:6" x14ac:dyDescent="0.3">
      <c r="A579" s="35">
        <f>inflasi!$G583</f>
        <v>45353</v>
      </c>
      <c r="B579" s="33">
        <f>inflasi!$H583</f>
        <v>3.05</v>
      </c>
      <c r="C579" s="33">
        <f>'suku bunga'!$H583</f>
        <v>6</v>
      </c>
      <c r="D579" s="48">
        <f>'nilai tukar'!$H583</f>
        <v>15696</v>
      </c>
      <c r="E579" s="33">
        <f>'minyak mentah'!H583</f>
        <v>83.78</v>
      </c>
      <c r="F579" s="46">
        <f>emas!H583</f>
        <v>1066000</v>
      </c>
    </row>
    <row r="580" spans="1:6" x14ac:dyDescent="0.3">
      <c r="A580" s="35">
        <f>inflasi!$G584</f>
        <v>45352</v>
      </c>
      <c r="B580" s="33">
        <f>inflasi!$H584</f>
        <v>3.05</v>
      </c>
      <c r="C580" s="33">
        <f>'suku bunga'!$H584</f>
        <v>6</v>
      </c>
      <c r="D580" s="48">
        <f>'nilai tukar'!$H584</f>
        <v>15696</v>
      </c>
      <c r="E580" s="33">
        <f>'minyak mentah'!H584</f>
        <v>83.78</v>
      </c>
      <c r="F580" s="46">
        <f>emas!H584</f>
        <v>1046000</v>
      </c>
    </row>
    <row r="581" spans="1:6" x14ac:dyDescent="0.3">
      <c r="A581" s="35">
        <f>inflasi!$G585</f>
        <v>45351</v>
      </c>
      <c r="B581" s="33">
        <f>inflasi!$H585</f>
        <v>2.75</v>
      </c>
      <c r="C581" s="33">
        <f>'suku bunga'!$H585</f>
        <v>6</v>
      </c>
      <c r="D581" s="48">
        <f>'nilai tukar'!$H585</f>
        <v>15715</v>
      </c>
      <c r="E581" s="33">
        <f>'minyak mentah'!H585</f>
        <v>80.09</v>
      </c>
      <c r="F581" s="46">
        <f>emas!H585</f>
        <v>1040000</v>
      </c>
    </row>
    <row r="582" spans="1:6" x14ac:dyDescent="0.3">
      <c r="A582" s="35">
        <f>inflasi!$G586</f>
        <v>45350</v>
      </c>
      <c r="B582" s="33">
        <f>inflasi!$H586</f>
        <v>2.75</v>
      </c>
      <c r="C582" s="33">
        <f>'suku bunga'!$H586</f>
        <v>6</v>
      </c>
      <c r="D582" s="48">
        <f>'nilai tukar'!$H586</f>
        <v>15673</v>
      </c>
      <c r="E582" s="33">
        <f>'minyak mentah'!H586</f>
        <v>80.09</v>
      </c>
      <c r="F582" s="46">
        <f>emas!H586</f>
        <v>1036000</v>
      </c>
    </row>
    <row r="583" spans="1:6" x14ac:dyDescent="0.3">
      <c r="A583" s="35">
        <f>inflasi!$G587</f>
        <v>45349</v>
      </c>
      <c r="B583" s="33">
        <f>inflasi!$H587</f>
        <v>2.75</v>
      </c>
      <c r="C583" s="33">
        <f>'suku bunga'!$H587</f>
        <v>6</v>
      </c>
      <c r="D583" s="48">
        <f>'nilai tukar'!$H587</f>
        <v>15655</v>
      </c>
      <c r="E583" s="33">
        <f>'minyak mentah'!H587</f>
        <v>80.09</v>
      </c>
      <c r="F583" s="46">
        <f>emas!H587</f>
        <v>1034000</v>
      </c>
    </row>
    <row r="584" spans="1:6" x14ac:dyDescent="0.3">
      <c r="A584" s="35">
        <f>inflasi!$G588</f>
        <v>45348</v>
      </c>
      <c r="B584" s="33">
        <f>inflasi!$H588</f>
        <v>2.75</v>
      </c>
      <c r="C584" s="33">
        <f>'suku bunga'!$H588</f>
        <v>6</v>
      </c>
      <c r="D584" s="48">
        <f>'nilai tukar'!$H588</f>
        <v>15635</v>
      </c>
      <c r="E584" s="33">
        <f>'minyak mentah'!H588</f>
        <v>80.09</v>
      </c>
      <c r="F584" s="46">
        <f>emas!H588</f>
        <v>1037000</v>
      </c>
    </row>
    <row r="585" spans="1:6" x14ac:dyDescent="0.3">
      <c r="A585" s="35">
        <f>inflasi!$G589</f>
        <v>45347</v>
      </c>
      <c r="B585" s="33">
        <f>inflasi!$H589</f>
        <v>2.75</v>
      </c>
      <c r="C585" s="33">
        <f>'suku bunga'!$H589</f>
        <v>6</v>
      </c>
      <c r="D585" s="48">
        <f>'nilai tukar'!$H589</f>
        <v>15589</v>
      </c>
      <c r="E585" s="33">
        <f>'minyak mentah'!H589</f>
        <v>80.09</v>
      </c>
      <c r="F585" s="46">
        <f>emas!H589</f>
        <v>1038000</v>
      </c>
    </row>
    <row r="586" spans="1:6" x14ac:dyDescent="0.3">
      <c r="A586" s="35">
        <f>inflasi!$G590</f>
        <v>45346</v>
      </c>
      <c r="B586" s="33">
        <f>inflasi!$H590</f>
        <v>2.75</v>
      </c>
      <c r="C586" s="33">
        <f>'suku bunga'!$H590</f>
        <v>6</v>
      </c>
      <c r="D586" s="48">
        <f>'nilai tukar'!$H590</f>
        <v>15589</v>
      </c>
      <c r="E586" s="33">
        <f>'minyak mentah'!H590</f>
        <v>80.09</v>
      </c>
      <c r="F586" s="46">
        <f>emas!H590</f>
        <v>1038000</v>
      </c>
    </row>
    <row r="587" spans="1:6" x14ac:dyDescent="0.3">
      <c r="A587" s="35">
        <f>inflasi!$G591</f>
        <v>45345</v>
      </c>
      <c r="B587" s="33">
        <f>inflasi!$H591</f>
        <v>2.75</v>
      </c>
      <c r="C587" s="33">
        <f>'suku bunga'!$H591</f>
        <v>6</v>
      </c>
      <c r="D587" s="48">
        <f>'nilai tukar'!$H591</f>
        <v>15589</v>
      </c>
      <c r="E587" s="33">
        <f>'minyak mentah'!H591</f>
        <v>80.09</v>
      </c>
      <c r="F587" s="46">
        <f>emas!H591</f>
        <v>1035000</v>
      </c>
    </row>
    <row r="588" spans="1:6" x14ac:dyDescent="0.3">
      <c r="A588" s="35">
        <f>inflasi!$G592</f>
        <v>45344</v>
      </c>
      <c r="B588" s="33">
        <f>inflasi!$H592</f>
        <v>2.75</v>
      </c>
      <c r="C588" s="33">
        <f>'suku bunga'!$H592</f>
        <v>6</v>
      </c>
      <c r="D588" s="48">
        <f>'nilai tukar'!$H592</f>
        <v>15630</v>
      </c>
      <c r="E588" s="33">
        <f>'minyak mentah'!H592</f>
        <v>80.09</v>
      </c>
      <c r="F588" s="46">
        <f>emas!H592</f>
        <v>1035000</v>
      </c>
    </row>
    <row r="589" spans="1:6" x14ac:dyDescent="0.3">
      <c r="A589" s="35">
        <f>inflasi!$G593</f>
        <v>45343</v>
      </c>
      <c r="B589" s="33">
        <f>inflasi!$H593</f>
        <v>2.75</v>
      </c>
      <c r="C589" s="33">
        <f>'suku bunga'!$H593</f>
        <v>6</v>
      </c>
      <c r="D589" s="48">
        <f>'nilai tukar'!$H593</f>
        <v>15658</v>
      </c>
      <c r="E589" s="33">
        <f>'minyak mentah'!H593</f>
        <v>80.09</v>
      </c>
      <c r="F589" s="46">
        <f>emas!H593</f>
        <v>1033000</v>
      </c>
    </row>
    <row r="590" spans="1:6" x14ac:dyDescent="0.3">
      <c r="A590" s="35">
        <f>inflasi!$G594</f>
        <v>45342</v>
      </c>
      <c r="B590" s="33">
        <f>inflasi!$H594</f>
        <v>2.75</v>
      </c>
      <c r="C590" s="33">
        <f>'suku bunga'!$H594</f>
        <v>6</v>
      </c>
      <c r="D590" s="48">
        <f>'nilai tukar'!$H594</f>
        <v>15659</v>
      </c>
      <c r="E590" s="33">
        <f>'minyak mentah'!H594</f>
        <v>80.09</v>
      </c>
      <c r="F590" s="46">
        <f>emas!H594</f>
        <v>1030000</v>
      </c>
    </row>
    <row r="591" spans="1:6" x14ac:dyDescent="0.3">
      <c r="A591" s="35">
        <f>inflasi!$G595</f>
        <v>45341</v>
      </c>
      <c r="B591" s="33">
        <f>inflasi!$H595</f>
        <v>2.75</v>
      </c>
      <c r="C591" s="33">
        <f>'suku bunga'!$H595</f>
        <v>6</v>
      </c>
      <c r="D591" s="48">
        <f>'nilai tukar'!$H595</f>
        <v>15630</v>
      </c>
      <c r="E591" s="33">
        <f>'minyak mentah'!H595</f>
        <v>80.09</v>
      </c>
      <c r="F591" s="46">
        <f>emas!H595</f>
        <v>1027000</v>
      </c>
    </row>
    <row r="592" spans="1:6" x14ac:dyDescent="0.3">
      <c r="A592" s="35">
        <f>inflasi!$G596</f>
        <v>45340</v>
      </c>
      <c r="B592" s="33">
        <f>inflasi!$H596</f>
        <v>2.75</v>
      </c>
      <c r="C592" s="33">
        <f>'suku bunga'!$H596</f>
        <v>6</v>
      </c>
      <c r="D592" s="48">
        <f>'nilai tukar'!$H596</f>
        <v>15654</v>
      </c>
      <c r="E592" s="33">
        <f>'minyak mentah'!H596</f>
        <v>80.09</v>
      </c>
      <c r="F592" s="46">
        <f>emas!H596</f>
        <v>1026000</v>
      </c>
    </row>
    <row r="593" spans="1:6" x14ac:dyDescent="0.3">
      <c r="A593" s="35">
        <f>inflasi!$G597</f>
        <v>45339</v>
      </c>
      <c r="B593" s="33">
        <f>inflasi!$H597</f>
        <v>2.75</v>
      </c>
      <c r="C593" s="33">
        <f>'suku bunga'!$H597</f>
        <v>6</v>
      </c>
      <c r="D593" s="48">
        <f>'nilai tukar'!$H597</f>
        <v>15654</v>
      </c>
      <c r="E593" s="33">
        <f>'minyak mentah'!H597</f>
        <v>80.09</v>
      </c>
      <c r="F593" s="46">
        <f>emas!H597</f>
        <v>1026000</v>
      </c>
    </row>
    <row r="594" spans="1:6" x14ac:dyDescent="0.3">
      <c r="A594" s="35">
        <f>inflasi!$G598</f>
        <v>45338</v>
      </c>
      <c r="B594" s="33">
        <f>inflasi!$H598</f>
        <v>2.75</v>
      </c>
      <c r="C594" s="33">
        <f>'suku bunga'!$H598</f>
        <v>6</v>
      </c>
      <c r="D594" s="48">
        <f>'nilai tukar'!$H598</f>
        <v>15654</v>
      </c>
      <c r="E594" s="33">
        <f>'minyak mentah'!H598</f>
        <v>80.09</v>
      </c>
      <c r="F594" s="46">
        <f>emas!H598</f>
        <v>1022000</v>
      </c>
    </row>
    <row r="595" spans="1:6" x14ac:dyDescent="0.3">
      <c r="A595" s="35">
        <f>inflasi!$G599</f>
        <v>45337</v>
      </c>
      <c r="B595" s="33">
        <f>inflasi!$H599</f>
        <v>2.75</v>
      </c>
      <c r="C595" s="33">
        <f>'suku bunga'!$H599</f>
        <v>6</v>
      </c>
      <c r="D595" s="48">
        <f>'nilai tukar'!$H599</f>
        <v>15606</v>
      </c>
      <c r="E595" s="33">
        <f>'minyak mentah'!H599</f>
        <v>80.09</v>
      </c>
      <c r="F595" s="46">
        <f>emas!H599</f>
        <v>1017000</v>
      </c>
    </row>
    <row r="596" spans="1:6" x14ac:dyDescent="0.3">
      <c r="A596" s="35">
        <f>inflasi!$G600</f>
        <v>45336</v>
      </c>
      <c r="B596" s="33">
        <f>inflasi!$H600</f>
        <v>2.75</v>
      </c>
      <c r="C596" s="33">
        <f>'suku bunga'!$H600</f>
        <v>6</v>
      </c>
      <c r="D596" s="48">
        <f>'nilai tukar'!$H600</f>
        <v>15585</v>
      </c>
      <c r="E596" s="33">
        <f>'minyak mentah'!H600</f>
        <v>80.09</v>
      </c>
      <c r="F596" s="46">
        <f>emas!H600</f>
        <v>1037000</v>
      </c>
    </row>
    <row r="597" spans="1:6" x14ac:dyDescent="0.3">
      <c r="A597" s="35">
        <f>inflasi!$G601</f>
        <v>45335</v>
      </c>
      <c r="B597" s="33">
        <f>inflasi!$H601</f>
        <v>2.75</v>
      </c>
      <c r="C597" s="33">
        <f>'suku bunga'!$H601</f>
        <v>6</v>
      </c>
      <c r="D597" s="48">
        <f>'nilai tukar'!$H601</f>
        <v>15585</v>
      </c>
      <c r="E597" s="33">
        <f>'minyak mentah'!H601</f>
        <v>80.09</v>
      </c>
      <c r="F597" s="46">
        <f>emas!H601</f>
        <v>1037000</v>
      </c>
    </row>
    <row r="598" spans="1:6" x14ac:dyDescent="0.3">
      <c r="A598" s="35">
        <f>inflasi!$G602</f>
        <v>45334</v>
      </c>
      <c r="B598" s="33">
        <f>inflasi!$H602</f>
        <v>2.75</v>
      </c>
      <c r="C598" s="33">
        <f>'suku bunga'!$H602</f>
        <v>6</v>
      </c>
      <c r="D598" s="48">
        <f>'nilai tukar'!$H602</f>
        <v>15612</v>
      </c>
      <c r="E598" s="33">
        <f>'minyak mentah'!H602</f>
        <v>80.09</v>
      </c>
      <c r="F598" s="46">
        <f>emas!H602</f>
        <v>1043000</v>
      </c>
    </row>
    <row r="599" spans="1:6" x14ac:dyDescent="0.3">
      <c r="A599" s="35">
        <f>inflasi!$G603</f>
        <v>45333</v>
      </c>
      <c r="B599" s="33">
        <f>inflasi!$H603</f>
        <v>2.75</v>
      </c>
      <c r="C599" s="33">
        <f>'suku bunga'!$H603</f>
        <v>6</v>
      </c>
      <c r="D599" s="48">
        <f>'nilai tukar'!$H603</f>
        <v>15685</v>
      </c>
      <c r="E599" s="33">
        <f>'minyak mentah'!H603</f>
        <v>80.09</v>
      </c>
      <c r="F599" s="46">
        <f>emas!H603</f>
        <v>1043000</v>
      </c>
    </row>
    <row r="600" spans="1:6" x14ac:dyDescent="0.3">
      <c r="A600" s="35">
        <f>inflasi!$G604</f>
        <v>45332</v>
      </c>
      <c r="B600" s="33">
        <f>inflasi!$H604</f>
        <v>2.75</v>
      </c>
      <c r="C600" s="33">
        <f>'suku bunga'!$H604</f>
        <v>6</v>
      </c>
      <c r="D600" s="48">
        <f>'nilai tukar'!$H604</f>
        <v>15685</v>
      </c>
      <c r="E600" s="33">
        <f>'minyak mentah'!H604</f>
        <v>80.09</v>
      </c>
      <c r="F600" s="46">
        <f>emas!H604</f>
        <v>1043000</v>
      </c>
    </row>
    <row r="601" spans="1:6" x14ac:dyDescent="0.3">
      <c r="A601" s="35">
        <f>inflasi!$G605</f>
        <v>45331</v>
      </c>
      <c r="B601" s="33">
        <f>inflasi!$H605</f>
        <v>2.75</v>
      </c>
      <c r="C601" s="33">
        <f>'suku bunga'!$H605</f>
        <v>6</v>
      </c>
      <c r="D601" s="48">
        <f>'nilai tukar'!$H605</f>
        <v>15685</v>
      </c>
      <c r="E601" s="33">
        <f>'minyak mentah'!H605</f>
        <v>80.09</v>
      </c>
      <c r="F601" s="46">
        <f>emas!H605</f>
        <v>1043000</v>
      </c>
    </row>
    <row r="602" spans="1:6" x14ac:dyDescent="0.3">
      <c r="A602" s="35">
        <f>inflasi!$G606</f>
        <v>45330</v>
      </c>
      <c r="B602" s="33">
        <f>inflasi!$H606</f>
        <v>2.75</v>
      </c>
      <c r="C602" s="33">
        <f>'suku bunga'!$H606</f>
        <v>6</v>
      </c>
      <c r="D602" s="48">
        <f>'nilai tukar'!$H606</f>
        <v>15685</v>
      </c>
      <c r="E602" s="33">
        <f>'minyak mentah'!H606</f>
        <v>80.09</v>
      </c>
      <c r="F602" s="46">
        <f>emas!H606</f>
        <v>1046000</v>
      </c>
    </row>
    <row r="603" spans="1:6" x14ac:dyDescent="0.3">
      <c r="A603" s="35">
        <f>inflasi!$G607</f>
        <v>45329</v>
      </c>
      <c r="B603" s="33">
        <f>inflasi!$H607</f>
        <v>2.75</v>
      </c>
      <c r="C603" s="33">
        <f>'suku bunga'!$H607</f>
        <v>6</v>
      </c>
      <c r="D603" s="48">
        <f>'nilai tukar'!$H607</f>
        <v>15685</v>
      </c>
      <c r="E603" s="33">
        <f>'minyak mentah'!H607</f>
        <v>80.09</v>
      </c>
      <c r="F603" s="46">
        <f>emas!H607</f>
        <v>1046000</v>
      </c>
    </row>
    <row r="604" spans="1:6" x14ac:dyDescent="0.3">
      <c r="A604" s="35">
        <f>inflasi!$G608</f>
        <v>45328</v>
      </c>
      <c r="B604" s="33">
        <f>inflasi!$H608</f>
        <v>2.75</v>
      </c>
      <c r="C604" s="33">
        <f>'suku bunga'!$H608</f>
        <v>6</v>
      </c>
      <c r="D604" s="48">
        <f>'nilai tukar'!$H608</f>
        <v>15734</v>
      </c>
      <c r="E604" s="33">
        <f>'minyak mentah'!H608</f>
        <v>80.09</v>
      </c>
      <c r="F604" s="46">
        <f>emas!H608</f>
        <v>1040000</v>
      </c>
    </row>
    <row r="605" spans="1:6" x14ac:dyDescent="0.3">
      <c r="A605" s="35">
        <f>inflasi!$G609</f>
        <v>45327</v>
      </c>
      <c r="B605" s="33">
        <f>inflasi!$H609</f>
        <v>2.75</v>
      </c>
      <c r="C605" s="33">
        <f>'suku bunga'!$H609</f>
        <v>6</v>
      </c>
      <c r="D605" s="48">
        <f>'nilai tukar'!$H609</f>
        <v>15705</v>
      </c>
      <c r="E605" s="33">
        <f>'minyak mentah'!H609</f>
        <v>80.09</v>
      </c>
      <c r="F605" s="46">
        <f>emas!H609</f>
        <v>1050000</v>
      </c>
    </row>
    <row r="606" spans="1:6" x14ac:dyDescent="0.3">
      <c r="A606" s="35">
        <f>inflasi!$G610</f>
        <v>45326</v>
      </c>
      <c r="B606" s="33">
        <f>inflasi!$H610</f>
        <v>2.75</v>
      </c>
      <c r="C606" s="33">
        <f>'suku bunga'!$H610</f>
        <v>6</v>
      </c>
      <c r="D606" s="48">
        <f>'nilai tukar'!$H610</f>
        <v>15688</v>
      </c>
      <c r="E606" s="33">
        <f>'minyak mentah'!H610</f>
        <v>80.09</v>
      </c>
      <c r="F606" s="46">
        <f>emas!H610</f>
        <v>1050000</v>
      </c>
    </row>
    <row r="607" spans="1:6" x14ac:dyDescent="0.3">
      <c r="A607" s="35">
        <f>inflasi!$G611</f>
        <v>45325</v>
      </c>
      <c r="B607" s="33">
        <f>inflasi!$H611</f>
        <v>2.75</v>
      </c>
      <c r="C607" s="33">
        <f>'suku bunga'!$H611</f>
        <v>6</v>
      </c>
      <c r="D607" s="48">
        <f>'nilai tukar'!$H611</f>
        <v>15688</v>
      </c>
      <c r="E607" s="33">
        <f>'minyak mentah'!H611</f>
        <v>80.09</v>
      </c>
      <c r="F607" s="46">
        <f>emas!H611</f>
        <v>1050000</v>
      </c>
    </row>
    <row r="608" spans="1:6" x14ac:dyDescent="0.3">
      <c r="A608" s="35">
        <f>inflasi!$G612</f>
        <v>45324</v>
      </c>
      <c r="B608" s="33">
        <f>inflasi!$H612</f>
        <v>2.75</v>
      </c>
      <c r="C608" s="33">
        <f>'suku bunga'!$H612</f>
        <v>6</v>
      </c>
      <c r="D608" s="48">
        <f>'nilai tukar'!$H612</f>
        <v>15688</v>
      </c>
      <c r="E608" s="33">
        <f>'minyak mentah'!H612</f>
        <v>80.09</v>
      </c>
      <c r="F608" s="46">
        <f>emas!H612</f>
        <v>1062000</v>
      </c>
    </row>
    <row r="609" spans="1:6" x14ac:dyDescent="0.3">
      <c r="A609" s="35">
        <f>inflasi!$G613</f>
        <v>45323</v>
      </c>
      <c r="B609" s="33">
        <f>inflasi!$H613</f>
        <v>2.75</v>
      </c>
      <c r="C609" s="33">
        <f>'suku bunga'!$H613</f>
        <v>6</v>
      </c>
      <c r="D609" s="48">
        <f>'nilai tukar'!$H613</f>
        <v>15775</v>
      </c>
      <c r="E609" s="33">
        <f>'minyak mentah'!H613</f>
        <v>80.09</v>
      </c>
      <c r="F609" s="46">
        <f>emas!H613</f>
        <v>1052000</v>
      </c>
    </row>
    <row r="610" spans="1:6" x14ac:dyDescent="0.3">
      <c r="A610" s="35">
        <f>inflasi!$G614</f>
        <v>45322</v>
      </c>
      <c r="B610" s="33">
        <f>inflasi!$H614</f>
        <v>2.57</v>
      </c>
      <c r="C610" s="33">
        <f>'suku bunga'!$H614</f>
        <v>6</v>
      </c>
      <c r="D610" s="48">
        <f>'nilai tukar'!$H614</f>
        <v>15803</v>
      </c>
      <c r="E610" s="33">
        <f>'minyak mentah'!H614</f>
        <v>71.11</v>
      </c>
      <c r="F610" s="46">
        <f>emas!H614</f>
        <v>1053000</v>
      </c>
    </row>
    <row r="611" spans="1:6" x14ac:dyDescent="0.3">
      <c r="A611" s="35">
        <f>inflasi!$G615</f>
        <v>45321</v>
      </c>
      <c r="B611" s="33">
        <f>inflasi!$H615</f>
        <v>2.57</v>
      </c>
      <c r="C611" s="33">
        <f>'suku bunga'!$H615</f>
        <v>6</v>
      </c>
      <c r="D611" s="48">
        <f>'nilai tukar'!$H615</f>
        <v>15796</v>
      </c>
      <c r="E611" s="33">
        <f>'minyak mentah'!H615</f>
        <v>71.11</v>
      </c>
      <c r="F611" s="46">
        <f>emas!H615</f>
        <v>1053000</v>
      </c>
    </row>
    <row r="612" spans="1:6" x14ac:dyDescent="0.3">
      <c r="A612" s="35">
        <f>inflasi!$G616</f>
        <v>45320</v>
      </c>
      <c r="B612" s="33">
        <f>inflasi!$H616</f>
        <v>2.57</v>
      </c>
      <c r="C612" s="33">
        <f>'suku bunga'!$H616</f>
        <v>6</v>
      </c>
      <c r="D612" s="48">
        <f>'nilai tukar'!$H616</f>
        <v>15825</v>
      </c>
      <c r="E612" s="33">
        <f>'minyak mentah'!H616</f>
        <v>71.11</v>
      </c>
      <c r="F612" s="46">
        <f>emas!H616</f>
        <v>1045000</v>
      </c>
    </row>
    <row r="613" spans="1:6" x14ac:dyDescent="0.3">
      <c r="A613" s="35">
        <f>inflasi!$G617</f>
        <v>45319</v>
      </c>
      <c r="B613" s="33">
        <f>inflasi!$H617</f>
        <v>2.57</v>
      </c>
      <c r="C613" s="33">
        <f>'suku bunga'!$H617</f>
        <v>6</v>
      </c>
      <c r="D613" s="48">
        <f>'nilai tukar'!$H617</f>
        <v>15829</v>
      </c>
      <c r="E613" s="33">
        <f>'minyak mentah'!H617</f>
        <v>71.11</v>
      </c>
      <c r="F613" s="46">
        <f>emas!H617</f>
        <v>1042000</v>
      </c>
    </row>
    <row r="614" spans="1:6" x14ac:dyDescent="0.3">
      <c r="A614" s="35">
        <f>inflasi!$G618</f>
        <v>45318</v>
      </c>
      <c r="B614" s="33">
        <f>inflasi!$H618</f>
        <v>2.57</v>
      </c>
      <c r="C614" s="33">
        <f>'suku bunga'!$H618</f>
        <v>6</v>
      </c>
      <c r="D614" s="48">
        <f>'nilai tukar'!$H618</f>
        <v>15829</v>
      </c>
      <c r="E614" s="33">
        <f>'minyak mentah'!H618</f>
        <v>71.11</v>
      </c>
      <c r="F614" s="46">
        <f>emas!H618</f>
        <v>1042000</v>
      </c>
    </row>
    <row r="615" spans="1:6" x14ac:dyDescent="0.3">
      <c r="A615" s="35">
        <f>inflasi!$G619</f>
        <v>45317</v>
      </c>
      <c r="B615" s="33">
        <f>inflasi!$H619</f>
        <v>2.57</v>
      </c>
      <c r="C615" s="33">
        <f>'suku bunga'!$H619</f>
        <v>6</v>
      </c>
      <c r="D615" s="48">
        <f>'nilai tukar'!$H619</f>
        <v>15829</v>
      </c>
      <c r="E615" s="33">
        <f>'minyak mentah'!H619</f>
        <v>71.11</v>
      </c>
      <c r="F615" s="46">
        <f>emas!H619</f>
        <v>1042000</v>
      </c>
    </row>
    <row r="616" spans="1:6" x14ac:dyDescent="0.3">
      <c r="A616" s="35">
        <f>inflasi!$G620</f>
        <v>45316</v>
      </c>
      <c r="B616" s="33">
        <f>inflasi!$H620</f>
        <v>2.57</v>
      </c>
      <c r="C616" s="33">
        <f>'suku bunga'!$H620</f>
        <v>6</v>
      </c>
      <c r="D616" s="48">
        <f>'nilai tukar'!$H620</f>
        <v>15767</v>
      </c>
      <c r="E616" s="33">
        <f>'minyak mentah'!H620</f>
        <v>71.11</v>
      </c>
      <c r="F616" s="46">
        <f>emas!H620</f>
        <v>1037000</v>
      </c>
    </row>
    <row r="617" spans="1:6" x14ac:dyDescent="0.3">
      <c r="A617" s="35">
        <f>inflasi!$G621</f>
        <v>45315</v>
      </c>
      <c r="B617" s="33">
        <f>inflasi!$H621</f>
        <v>2.57</v>
      </c>
      <c r="C617" s="33">
        <f>'suku bunga'!$H621</f>
        <v>6</v>
      </c>
      <c r="D617" s="48">
        <f>'nilai tukar'!$H621</f>
        <v>15719</v>
      </c>
      <c r="E617" s="33">
        <f>'minyak mentah'!H621</f>
        <v>71.11</v>
      </c>
      <c r="F617" s="46">
        <f>emas!H621</f>
        <v>1043000</v>
      </c>
    </row>
    <row r="618" spans="1:6" x14ac:dyDescent="0.3">
      <c r="A618" s="35">
        <f>inflasi!$G622</f>
        <v>45314</v>
      </c>
      <c r="B618" s="33">
        <f>inflasi!$H622</f>
        <v>2.57</v>
      </c>
      <c r="C618" s="33">
        <f>'suku bunga'!$H622</f>
        <v>6</v>
      </c>
      <c r="D618" s="48">
        <f>'nilai tukar'!$H622</f>
        <v>15656</v>
      </c>
      <c r="E618" s="33">
        <f>'minyak mentah'!H622</f>
        <v>71.11</v>
      </c>
      <c r="F618" s="46">
        <f>emas!H622</f>
        <v>1040000</v>
      </c>
    </row>
    <row r="619" spans="1:6" x14ac:dyDescent="0.3">
      <c r="A619" s="35">
        <f>inflasi!$G623</f>
        <v>45313</v>
      </c>
      <c r="B619" s="33">
        <f>inflasi!$H623</f>
        <v>2.57</v>
      </c>
      <c r="C619" s="33">
        <f>'suku bunga'!$H623</f>
        <v>6</v>
      </c>
      <c r="D619" s="48">
        <f>'nilai tukar'!$H623</f>
        <v>15627</v>
      </c>
      <c r="E619" s="33">
        <f>'minyak mentah'!H623</f>
        <v>71.11</v>
      </c>
      <c r="F619" s="46">
        <f>emas!H623</f>
        <v>1043000</v>
      </c>
    </row>
    <row r="620" spans="1:6" x14ac:dyDescent="0.3">
      <c r="A620" s="35">
        <f>inflasi!$G624</f>
        <v>45312</v>
      </c>
      <c r="B620" s="33">
        <f>inflasi!$H624</f>
        <v>2.57</v>
      </c>
      <c r="C620" s="33">
        <f>'suku bunga'!$H624</f>
        <v>6</v>
      </c>
      <c r="D620" s="48">
        <f>'nilai tukar'!$H624</f>
        <v>15628</v>
      </c>
      <c r="E620" s="33">
        <f>'minyak mentah'!H624</f>
        <v>71.11</v>
      </c>
      <c r="F620" s="46">
        <f>emas!H624</f>
        <v>1042000</v>
      </c>
    </row>
    <row r="621" spans="1:6" x14ac:dyDescent="0.3">
      <c r="A621" s="35">
        <f>inflasi!$G625</f>
        <v>45311</v>
      </c>
      <c r="B621" s="33">
        <f>inflasi!$H625</f>
        <v>2.57</v>
      </c>
      <c r="C621" s="33">
        <f>'suku bunga'!$H625</f>
        <v>6</v>
      </c>
      <c r="D621" s="48">
        <f>'nilai tukar'!$H625</f>
        <v>15628</v>
      </c>
      <c r="E621" s="33">
        <f>'minyak mentah'!H625</f>
        <v>71.11</v>
      </c>
      <c r="F621" s="46">
        <f>emas!H625</f>
        <v>1042000</v>
      </c>
    </row>
    <row r="622" spans="1:6" x14ac:dyDescent="0.3">
      <c r="A622" s="35">
        <f>inflasi!$G626</f>
        <v>45310</v>
      </c>
      <c r="B622" s="33">
        <f>inflasi!$H626</f>
        <v>2.57</v>
      </c>
      <c r="C622" s="33">
        <f>'suku bunga'!$H626</f>
        <v>6</v>
      </c>
      <c r="D622" s="48">
        <f>'nilai tukar'!$H626</f>
        <v>15628</v>
      </c>
      <c r="E622" s="33">
        <f>'minyak mentah'!H626</f>
        <v>71.11</v>
      </c>
      <c r="F622" s="46">
        <f>emas!H626</f>
        <v>1041000</v>
      </c>
    </row>
    <row r="623" spans="1:6" x14ac:dyDescent="0.3">
      <c r="A623" s="35">
        <f>inflasi!$G627</f>
        <v>45309</v>
      </c>
      <c r="B623" s="33">
        <f>inflasi!$H627</f>
        <v>2.57</v>
      </c>
      <c r="C623" s="33">
        <f>'suku bunga'!$H627</f>
        <v>6</v>
      </c>
      <c r="D623" s="48">
        <f>'nilai tukar'!$H627</f>
        <v>15630</v>
      </c>
      <c r="E623" s="33">
        <f>'minyak mentah'!H627</f>
        <v>71.11</v>
      </c>
      <c r="F623" s="46">
        <f>emas!H627</f>
        <v>1031000</v>
      </c>
    </row>
    <row r="624" spans="1:6" x14ac:dyDescent="0.3">
      <c r="A624" s="35">
        <f>inflasi!$G628</f>
        <v>45308</v>
      </c>
      <c r="B624" s="33">
        <f>inflasi!$H628</f>
        <v>2.57</v>
      </c>
      <c r="C624" s="33">
        <f>'suku bunga'!$H628</f>
        <v>6</v>
      </c>
      <c r="D624" s="48">
        <f>'nilai tukar'!$H628</f>
        <v>15639</v>
      </c>
      <c r="E624" s="33">
        <f>'minyak mentah'!H628</f>
        <v>71.11</v>
      </c>
      <c r="F624" s="46">
        <f>emas!H628</f>
        <v>1037000</v>
      </c>
    </row>
    <row r="625" spans="1:6" x14ac:dyDescent="0.3">
      <c r="A625" s="35">
        <f>inflasi!$G629</f>
        <v>45307</v>
      </c>
      <c r="B625" s="33">
        <f>inflasi!$H629</f>
        <v>2.57</v>
      </c>
      <c r="C625" s="33">
        <f>'suku bunga'!$H629</f>
        <v>6</v>
      </c>
      <c r="D625" s="48">
        <f>'nilai tukar'!$H629</f>
        <v>15592</v>
      </c>
      <c r="E625" s="33">
        <f>'minyak mentah'!H629</f>
        <v>71.11</v>
      </c>
      <c r="F625" s="46">
        <f>emas!H629</f>
        <v>1047000</v>
      </c>
    </row>
    <row r="626" spans="1:6" x14ac:dyDescent="0.3">
      <c r="A626" s="35">
        <f>inflasi!$G630</f>
        <v>45306</v>
      </c>
      <c r="B626" s="33">
        <f>inflasi!$H630</f>
        <v>2.57</v>
      </c>
      <c r="C626" s="33">
        <f>'suku bunga'!$H630</f>
        <v>6</v>
      </c>
      <c r="D626" s="48">
        <f>'nilai tukar'!$H630</f>
        <v>15555</v>
      </c>
      <c r="E626" s="33">
        <f>'minyak mentah'!H630</f>
        <v>71.11</v>
      </c>
      <c r="F626" s="46">
        <f>emas!H630</f>
        <v>1043000</v>
      </c>
    </row>
    <row r="627" spans="1:6" x14ac:dyDescent="0.3">
      <c r="A627" s="35">
        <f>inflasi!$G631</f>
        <v>45305</v>
      </c>
      <c r="B627" s="33">
        <f>inflasi!$H631</f>
        <v>2.57</v>
      </c>
      <c r="C627" s="33">
        <f>'suku bunga'!$H631</f>
        <v>6</v>
      </c>
      <c r="D627" s="48">
        <f>'nilai tukar'!$H631</f>
        <v>15559</v>
      </c>
      <c r="E627" s="33">
        <f>'minyak mentah'!H631</f>
        <v>71.11</v>
      </c>
      <c r="F627" s="46">
        <f>emas!H631</f>
        <v>1042000</v>
      </c>
    </row>
    <row r="628" spans="1:6" x14ac:dyDescent="0.3">
      <c r="A628" s="35">
        <f>inflasi!$G632</f>
        <v>45304</v>
      </c>
      <c r="B628" s="33">
        <f>inflasi!$H632</f>
        <v>2.57</v>
      </c>
      <c r="C628" s="33">
        <f>'suku bunga'!$H632</f>
        <v>6</v>
      </c>
      <c r="D628" s="48">
        <f>'nilai tukar'!$H632</f>
        <v>15559</v>
      </c>
      <c r="E628" s="33">
        <f>'minyak mentah'!H632</f>
        <v>71.11</v>
      </c>
      <c r="F628" s="46">
        <f>emas!H632</f>
        <v>1042000</v>
      </c>
    </row>
    <row r="629" spans="1:6" x14ac:dyDescent="0.3">
      <c r="A629" s="35">
        <f>inflasi!$G633</f>
        <v>45303</v>
      </c>
      <c r="B629" s="33">
        <f>inflasi!$H633</f>
        <v>2.57</v>
      </c>
      <c r="C629" s="33">
        <f>'suku bunga'!$H633</f>
        <v>6</v>
      </c>
      <c r="D629" s="48">
        <f>'nilai tukar'!$H633</f>
        <v>15559</v>
      </c>
      <c r="E629" s="33">
        <f>'minyak mentah'!H633</f>
        <v>71.11</v>
      </c>
      <c r="F629" s="46">
        <f>emas!H633</f>
        <v>1039000</v>
      </c>
    </row>
    <row r="630" spans="1:6" x14ac:dyDescent="0.3">
      <c r="A630" s="35">
        <f>inflasi!$G634</f>
        <v>45302</v>
      </c>
      <c r="B630" s="33">
        <f>inflasi!$H634</f>
        <v>2.57</v>
      </c>
      <c r="C630" s="33">
        <f>'suku bunga'!$H634</f>
        <v>6</v>
      </c>
      <c r="D630" s="48">
        <f>'nilai tukar'!$H634</f>
        <v>15558</v>
      </c>
      <c r="E630" s="33">
        <f>'minyak mentah'!H634</f>
        <v>71.11</v>
      </c>
      <c r="F630" s="46">
        <f>emas!H634</f>
        <v>1032000</v>
      </c>
    </row>
    <row r="631" spans="1:6" x14ac:dyDescent="0.3">
      <c r="A631" s="35">
        <f>inflasi!$G635</f>
        <v>45301</v>
      </c>
      <c r="B631" s="33">
        <f>inflasi!$H635</f>
        <v>2.57</v>
      </c>
      <c r="C631" s="33">
        <f>'suku bunga'!$H635</f>
        <v>6</v>
      </c>
      <c r="D631" s="48">
        <f>'nilai tukar'!$H635</f>
        <v>15568</v>
      </c>
      <c r="E631" s="33">
        <f>'minyak mentah'!H635</f>
        <v>71.11</v>
      </c>
      <c r="F631" s="46">
        <f>emas!H635</f>
        <v>1030000</v>
      </c>
    </row>
    <row r="632" spans="1:6" x14ac:dyDescent="0.3">
      <c r="A632" s="35">
        <f>inflasi!$G636</f>
        <v>45300</v>
      </c>
      <c r="B632" s="33">
        <f>inflasi!$H636</f>
        <v>2.57</v>
      </c>
      <c r="C632" s="33">
        <f>'suku bunga'!$H636</f>
        <v>6</v>
      </c>
      <c r="D632" s="48">
        <f>'nilai tukar'!$H636</f>
        <v>15518</v>
      </c>
      <c r="E632" s="33">
        <f>'minyak mentah'!H636</f>
        <v>71.11</v>
      </c>
      <c r="F632" s="46">
        <f>emas!H636</f>
        <v>1030000</v>
      </c>
    </row>
    <row r="633" spans="1:6" x14ac:dyDescent="0.3">
      <c r="A633" s="35">
        <f>inflasi!$G637</f>
        <v>45299</v>
      </c>
      <c r="B633" s="33">
        <f>inflasi!$H637</f>
        <v>2.57</v>
      </c>
      <c r="C633" s="33">
        <f>'suku bunga'!$H637</f>
        <v>6</v>
      </c>
      <c r="D633" s="48">
        <f>'nilai tukar'!$H637</f>
        <v>15522</v>
      </c>
      <c r="E633" s="33">
        <f>'minyak mentah'!H637</f>
        <v>71.11</v>
      </c>
      <c r="F633" s="46">
        <f>emas!H637</f>
        <v>1037000</v>
      </c>
    </row>
    <row r="634" spans="1:6" x14ac:dyDescent="0.3">
      <c r="A634" s="35">
        <f>inflasi!$G638</f>
        <v>45298</v>
      </c>
      <c r="B634" s="33">
        <f>inflasi!$H638</f>
        <v>2.57</v>
      </c>
      <c r="C634" s="33">
        <f>'suku bunga'!$H638</f>
        <v>6</v>
      </c>
      <c r="D634" s="48">
        <f>'nilai tukar'!$H638</f>
        <v>15518</v>
      </c>
      <c r="E634" s="33">
        <f>'minyak mentah'!H638</f>
        <v>71.11</v>
      </c>
      <c r="F634" s="46">
        <f>emas!H638</f>
        <v>1035000</v>
      </c>
    </row>
    <row r="635" spans="1:6" x14ac:dyDescent="0.3">
      <c r="A635" s="35">
        <f>inflasi!$G639</f>
        <v>45297</v>
      </c>
      <c r="B635" s="33">
        <f>inflasi!$H639</f>
        <v>2.57</v>
      </c>
      <c r="C635" s="33">
        <f>'suku bunga'!$H639</f>
        <v>6</v>
      </c>
      <c r="D635" s="48">
        <f>'nilai tukar'!$H639</f>
        <v>15518</v>
      </c>
      <c r="E635" s="33">
        <f>'minyak mentah'!H639</f>
        <v>71.11</v>
      </c>
      <c r="F635" s="46">
        <f>emas!H639</f>
        <v>1035000</v>
      </c>
    </row>
    <row r="636" spans="1:6" x14ac:dyDescent="0.3">
      <c r="A636" s="35">
        <f>inflasi!$G640</f>
        <v>45296</v>
      </c>
      <c r="B636" s="33">
        <f>inflasi!$H640</f>
        <v>2.57</v>
      </c>
      <c r="C636" s="33">
        <f>'suku bunga'!$H640</f>
        <v>6</v>
      </c>
      <c r="D636" s="48">
        <f>'nilai tukar'!$H640</f>
        <v>15518</v>
      </c>
      <c r="E636" s="33">
        <f>'minyak mentah'!H640</f>
        <v>71.11</v>
      </c>
      <c r="F636" s="46">
        <f>emas!H640</f>
        <v>1034000</v>
      </c>
    </row>
    <row r="637" spans="1:6" x14ac:dyDescent="0.3">
      <c r="A637" s="35">
        <f>inflasi!$G641</f>
        <v>45295</v>
      </c>
      <c r="B637" s="33">
        <f>inflasi!$H641</f>
        <v>2.57</v>
      </c>
      <c r="C637" s="33">
        <f>'suku bunga'!$H641</f>
        <v>6</v>
      </c>
      <c r="D637" s="48">
        <f>'nilai tukar'!$H641</f>
        <v>15525</v>
      </c>
      <c r="E637" s="33">
        <f>'minyak mentah'!H641</f>
        <v>71.11</v>
      </c>
      <c r="F637" s="46">
        <f>emas!H641</f>
        <v>1032000</v>
      </c>
    </row>
    <row r="638" spans="1:6" x14ac:dyDescent="0.3">
      <c r="A638" s="35">
        <f>inflasi!$G642</f>
        <v>45294</v>
      </c>
      <c r="B638" s="33">
        <f>inflasi!$H642</f>
        <v>2.57</v>
      </c>
      <c r="C638" s="33">
        <f>'suku bunga'!$H642</f>
        <v>6</v>
      </c>
      <c r="D638" s="48">
        <f>'nilai tukar'!$H642</f>
        <v>15495</v>
      </c>
      <c r="E638" s="33">
        <f>'minyak mentah'!H642</f>
        <v>71.11</v>
      </c>
      <c r="F638" s="46">
        <f>emas!H642</f>
        <v>1038000</v>
      </c>
    </row>
    <row r="639" spans="1:6" x14ac:dyDescent="0.3">
      <c r="A639" s="35">
        <f>inflasi!$G643</f>
        <v>45293</v>
      </c>
      <c r="B639" s="33">
        <f>inflasi!$H643</f>
        <v>2.57</v>
      </c>
      <c r="C639" s="33">
        <f>'suku bunga'!$H643</f>
        <v>6</v>
      </c>
      <c r="D639" s="48">
        <f>'nilai tukar'!$H643</f>
        <v>15473</v>
      </c>
      <c r="E639" s="33">
        <f>'minyak mentah'!H643</f>
        <v>71.11</v>
      </c>
      <c r="F639" s="46">
        <f>emas!H643</f>
        <v>1038000</v>
      </c>
    </row>
    <row r="640" spans="1:6" x14ac:dyDescent="0.3">
      <c r="A640" s="35">
        <f>inflasi!$G644</f>
        <v>45292</v>
      </c>
      <c r="B640" s="33">
        <f>inflasi!$H644</f>
        <v>2.57</v>
      </c>
      <c r="C640" s="33">
        <f>'suku bunga'!$H644</f>
        <v>6</v>
      </c>
      <c r="D640" s="48">
        <f>'nilai tukar'!$H644</f>
        <v>15439</v>
      </c>
      <c r="E640" s="33">
        <f>'minyak mentah'!H644</f>
        <v>71.11</v>
      </c>
      <c r="F640" s="46">
        <f>emas!H644</f>
        <v>1042000</v>
      </c>
    </row>
    <row r="641" spans="1:6" x14ac:dyDescent="0.3">
      <c r="A641" s="35">
        <f>inflasi!$G645</f>
        <v>45291</v>
      </c>
      <c r="B641" s="33">
        <f>inflasi!$H645</f>
        <v>2.61</v>
      </c>
      <c r="C641" s="33">
        <f>'suku bunga'!$H645</f>
        <v>6</v>
      </c>
      <c r="D641" s="48">
        <f>'nilai tukar'!$H645</f>
        <v>15439</v>
      </c>
      <c r="E641" s="33">
        <f>'minyak mentah'!H645</f>
        <v>75.510000000000005</v>
      </c>
      <c r="F641" s="46">
        <f>emas!H645</f>
        <v>1042000</v>
      </c>
    </row>
    <row r="642" spans="1:6" x14ac:dyDescent="0.3">
      <c r="A642" s="35">
        <f>inflasi!$G646</f>
        <v>45290</v>
      </c>
      <c r="B642" s="33">
        <f>inflasi!$H646</f>
        <v>2.61</v>
      </c>
      <c r="C642" s="33">
        <f>'suku bunga'!$H646</f>
        <v>6</v>
      </c>
      <c r="D642" s="48">
        <f>'nilai tukar'!$H646</f>
        <v>15439</v>
      </c>
      <c r="E642" s="33">
        <f>'minyak mentah'!H646</f>
        <v>75.510000000000005</v>
      </c>
      <c r="F642" s="46">
        <f>emas!H646</f>
        <v>1042000</v>
      </c>
    </row>
    <row r="643" spans="1:6" x14ac:dyDescent="0.3">
      <c r="A643" s="35">
        <f>inflasi!$G647</f>
        <v>45289</v>
      </c>
      <c r="B643" s="33">
        <f>inflasi!$H647</f>
        <v>2.61</v>
      </c>
      <c r="C643" s="33">
        <f>'suku bunga'!$H647</f>
        <v>6</v>
      </c>
      <c r="D643" s="48">
        <f>'nilai tukar'!$H647</f>
        <v>15439</v>
      </c>
      <c r="E643" s="33">
        <f>'minyak mentah'!H647</f>
        <v>75.510000000000005</v>
      </c>
      <c r="F643" s="46">
        <f>emas!H647</f>
        <v>1037000</v>
      </c>
    </row>
    <row r="644" spans="1:6" x14ac:dyDescent="0.3">
      <c r="A644" s="35">
        <f>inflasi!$G648</f>
        <v>45288</v>
      </c>
      <c r="B644" s="33">
        <f>inflasi!$H648</f>
        <v>2.61</v>
      </c>
      <c r="C644" s="33">
        <f>'suku bunga'!$H648</f>
        <v>6</v>
      </c>
      <c r="D644" s="48">
        <f>'nilai tukar'!$H648</f>
        <v>15416</v>
      </c>
      <c r="E644" s="33">
        <f>'minyak mentah'!H648</f>
        <v>75.510000000000005</v>
      </c>
      <c r="F644" s="46">
        <f>emas!H648</f>
        <v>1048000</v>
      </c>
    </row>
    <row r="645" spans="1:6" x14ac:dyDescent="0.3">
      <c r="A645" s="35">
        <f>inflasi!$G649</f>
        <v>45287</v>
      </c>
      <c r="B645" s="33">
        <f>inflasi!$H649</f>
        <v>2.61</v>
      </c>
      <c r="C645" s="33">
        <f>'suku bunga'!$H649</f>
        <v>6</v>
      </c>
      <c r="D645" s="48">
        <f>'nilai tukar'!$H649</f>
        <v>15414</v>
      </c>
      <c r="E645" s="33">
        <f>'minyak mentah'!H649</f>
        <v>75.510000000000005</v>
      </c>
      <c r="F645" s="46">
        <f>emas!H649</f>
        <v>1044000</v>
      </c>
    </row>
    <row r="646" spans="1:6" x14ac:dyDescent="0.3">
      <c r="A646" s="35">
        <f>inflasi!$G650</f>
        <v>45286</v>
      </c>
      <c r="B646" s="33">
        <f>inflasi!$H650</f>
        <v>2.61</v>
      </c>
      <c r="C646" s="33">
        <f>'suku bunga'!$H650</f>
        <v>6</v>
      </c>
      <c r="D646" s="48">
        <f>'nilai tukar'!$H650</f>
        <v>15489</v>
      </c>
      <c r="E646" s="33">
        <f>'minyak mentah'!H650</f>
        <v>75.510000000000005</v>
      </c>
      <c r="F646" s="46">
        <f>emas!H650</f>
        <v>1044000</v>
      </c>
    </row>
    <row r="647" spans="1:6" x14ac:dyDescent="0.3">
      <c r="A647" s="35">
        <f>inflasi!$G651</f>
        <v>45285</v>
      </c>
      <c r="B647" s="33">
        <f>inflasi!$H651</f>
        <v>2.61</v>
      </c>
      <c r="C647" s="33">
        <f>'suku bunga'!$H651</f>
        <v>6</v>
      </c>
      <c r="D647" s="48">
        <f>'nilai tukar'!$H651</f>
        <v>15489</v>
      </c>
      <c r="E647" s="33">
        <f>'minyak mentah'!H651</f>
        <v>75.510000000000005</v>
      </c>
      <c r="F647" s="46">
        <f>emas!H651</f>
        <v>1044000</v>
      </c>
    </row>
    <row r="648" spans="1:6" x14ac:dyDescent="0.3">
      <c r="A648" s="35">
        <f>inflasi!$G652</f>
        <v>45284</v>
      </c>
      <c r="B648" s="33">
        <f>inflasi!$H652</f>
        <v>2.61</v>
      </c>
      <c r="C648" s="33">
        <f>'suku bunga'!$H652</f>
        <v>6</v>
      </c>
      <c r="D648" s="48">
        <f>'nilai tukar'!$H652</f>
        <v>15489</v>
      </c>
      <c r="E648" s="33">
        <f>'minyak mentah'!H652</f>
        <v>75.510000000000005</v>
      </c>
      <c r="F648" s="46">
        <f>emas!H652</f>
        <v>1044000</v>
      </c>
    </row>
    <row r="649" spans="1:6" x14ac:dyDescent="0.3">
      <c r="A649" s="35">
        <f>inflasi!$G653</f>
        <v>45283</v>
      </c>
      <c r="B649" s="33">
        <f>inflasi!$H653</f>
        <v>2.61</v>
      </c>
      <c r="C649" s="33">
        <f>'suku bunga'!$H653</f>
        <v>6</v>
      </c>
      <c r="D649" s="48">
        <f>'nilai tukar'!$H653</f>
        <v>15489</v>
      </c>
      <c r="E649" s="33">
        <f>'minyak mentah'!H653</f>
        <v>75.510000000000005</v>
      </c>
      <c r="F649" s="46">
        <f>emas!H653</f>
        <v>1044000</v>
      </c>
    </row>
    <row r="650" spans="1:6" x14ac:dyDescent="0.3">
      <c r="A650" s="35">
        <f>inflasi!$G654</f>
        <v>45282</v>
      </c>
      <c r="B650" s="33">
        <f>inflasi!$H654</f>
        <v>2.61</v>
      </c>
      <c r="C650" s="33">
        <f>'suku bunga'!$H654</f>
        <v>6</v>
      </c>
      <c r="D650" s="48">
        <f>'nilai tukar'!$H654</f>
        <v>15489</v>
      </c>
      <c r="E650" s="33">
        <f>'minyak mentah'!H654</f>
        <v>75.510000000000005</v>
      </c>
      <c r="F650" s="46">
        <f>emas!H654</f>
        <v>1042000</v>
      </c>
    </row>
    <row r="651" spans="1:6" x14ac:dyDescent="0.3">
      <c r="A651" s="35">
        <f>inflasi!$G655</f>
        <v>45281</v>
      </c>
      <c r="B651" s="33">
        <f>inflasi!$H655</f>
        <v>2.61</v>
      </c>
      <c r="C651" s="33">
        <f>'suku bunga'!$H655</f>
        <v>6</v>
      </c>
      <c r="D651" s="48">
        <f>'nilai tukar'!$H655</f>
        <v>15533</v>
      </c>
      <c r="E651" s="33">
        <f>'minyak mentah'!H655</f>
        <v>75.510000000000005</v>
      </c>
      <c r="F651" s="46">
        <f>emas!H655</f>
        <v>1035000</v>
      </c>
    </row>
    <row r="652" spans="1:6" x14ac:dyDescent="0.3">
      <c r="A652" s="35">
        <f>inflasi!$G656</f>
        <v>45280</v>
      </c>
      <c r="B652" s="33">
        <f>inflasi!$H656</f>
        <v>2.61</v>
      </c>
      <c r="C652" s="33">
        <f>'suku bunga'!$H656</f>
        <v>6</v>
      </c>
      <c r="D652" s="48">
        <f>'nilai tukar'!$H656</f>
        <v>15512</v>
      </c>
      <c r="E652" s="33">
        <f>'minyak mentah'!H656</f>
        <v>75.510000000000005</v>
      </c>
      <c r="F652" s="46">
        <f>emas!H656</f>
        <v>1039000</v>
      </c>
    </row>
    <row r="653" spans="1:6" x14ac:dyDescent="0.3">
      <c r="A653" s="35">
        <f>inflasi!$G657</f>
        <v>45279</v>
      </c>
      <c r="B653" s="33">
        <f>inflasi!$H657</f>
        <v>2.61</v>
      </c>
      <c r="C653" s="33">
        <f>'suku bunga'!$H657</f>
        <v>6</v>
      </c>
      <c r="D653" s="48">
        <f>'nilai tukar'!$H657</f>
        <v>15506</v>
      </c>
      <c r="E653" s="33">
        <f>'minyak mentah'!H657</f>
        <v>75.510000000000005</v>
      </c>
      <c r="F653" s="46">
        <f>emas!H657</f>
        <v>1032000</v>
      </c>
    </row>
    <row r="654" spans="1:6" x14ac:dyDescent="0.3">
      <c r="A654" s="35">
        <f>inflasi!$G658</f>
        <v>45278</v>
      </c>
      <c r="B654" s="33">
        <f>inflasi!$H658</f>
        <v>2.61</v>
      </c>
      <c r="C654" s="33">
        <f>'suku bunga'!$H658</f>
        <v>6</v>
      </c>
      <c r="D654" s="48">
        <f>'nilai tukar'!$H658</f>
        <v>15516</v>
      </c>
      <c r="E654" s="33">
        <f>'minyak mentah'!H658</f>
        <v>75.510000000000005</v>
      </c>
      <c r="F654" s="46">
        <f>emas!H658</f>
        <v>1028000</v>
      </c>
    </row>
    <row r="655" spans="1:6" x14ac:dyDescent="0.3">
      <c r="A655" s="35">
        <f>inflasi!$G659</f>
        <v>45277</v>
      </c>
      <c r="B655" s="33">
        <f>inflasi!$H659</f>
        <v>2.61</v>
      </c>
      <c r="C655" s="33">
        <f>'suku bunga'!$H659</f>
        <v>6</v>
      </c>
      <c r="D655" s="48">
        <f>'nilai tukar'!$H659</f>
        <v>15503</v>
      </c>
      <c r="E655" s="33">
        <f>'minyak mentah'!H659</f>
        <v>75.510000000000005</v>
      </c>
      <c r="F655" s="46">
        <f>emas!H659</f>
        <v>1027000</v>
      </c>
    </row>
    <row r="656" spans="1:6" x14ac:dyDescent="0.3">
      <c r="A656" s="35">
        <f>inflasi!$G660</f>
        <v>45276</v>
      </c>
      <c r="B656" s="33">
        <f>inflasi!$H660</f>
        <v>2.61</v>
      </c>
      <c r="C656" s="33">
        <f>'suku bunga'!$H660</f>
        <v>6</v>
      </c>
      <c r="D656" s="48">
        <f>'nilai tukar'!$H660</f>
        <v>15503</v>
      </c>
      <c r="E656" s="33">
        <f>'minyak mentah'!H660</f>
        <v>75.510000000000005</v>
      </c>
      <c r="F656" s="46">
        <f>emas!H660</f>
        <v>1027000</v>
      </c>
    </row>
    <row r="657" spans="1:6" x14ac:dyDescent="0.3">
      <c r="A657" s="35">
        <f>inflasi!$G661</f>
        <v>45275</v>
      </c>
      <c r="B657" s="33">
        <f>inflasi!$H661</f>
        <v>2.61</v>
      </c>
      <c r="C657" s="33">
        <f>'suku bunga'!$H661</f>
        <v>6</v>
      </c>
      <c r="D657" s="48">
        <f>'nilai tukar'!$H661</f>
        <v>15503</v>
      </c>
      <c r="E657" s="33">
        <f>'minyak mentah'!H661</f>
        <v>75.510000000000005</v>
      </c>
      <c r="F657" s="46">
        <f>emas!H661</f>
        <v>1041000</v>
      </c>
    </row>
    <row r="658" spans="1:6" x14ac:dyDescent="0.3">
      <c r="A658" s="35">
        <f>inflasi!$G662</f>
        <v>45274</v>
      </c>
      <c r="B658" s="33">
        <f>inflasi!$H662</f>
        <v>2.61</v>
      </c>
      <c r="C658" s="33">
        <f>'suku bunga'!$H662</f>
        <v>6</v>
      </c>
      <c r="D658" s="48">
        <f>'nilai tukar'!$H662</f>
        <v>15493</v>
      </c>
      <c r="E658" s="33">
        <f>'minyak mentah'!H662</f>
        <v>75.510000000000005</v>
      </c>
      <c r="F658" s="46">
        <f>emas!H662</f>
        <v>1038000</v>
      </c>
    </row>
    <row r="659" spans="1:6" x14ac:dyDescent="0.3">
      <c r="A659" s="35">
        <f>inflasi!$G663</f>
        <v>45273</v>
      </c>
      <c r="B659" s="33">
        <f>inflasi!$H663</f>
        <v>2.61</v>
      </c>
      <c r="C659" s="33">
        <f>'suku bunga'!$H663</f>
        <v>6</v>
      </c>
      <c r="D659" s="48">
        <f>'nilai tukar'!$H663</f>
        <v>15629</v>
      </c>
      <c r="E659" s="33">
        <f>'minyak mentah'!H663</f>
        <v>75.510000000000005</v>
      </c>
      <c r="F659" s="46">
        <f>emas!H663</f>
        <v>1013000</v>
      </c>
    </row>
    <row r="660" spans="1:6" x14ac:dyDescent="0.3">
      <c r="A660" s="35">
        <f>inflasi!$G664</f>
        <v>45272</v>
      </c>
      <c r="B660" s="33">
        <f>inflasi!$H664</f>
        <v>2.61</v>
      </c>
      <c r="C660" s="33">
        <f>'suku bunga'!$H664</f>
        <v>6</v>
      </c>
      <c r="D660" s="48">
        <f>'nilai tukar'!$H664</f>
        <v>15631</v>
      </c>
      <c r="E660" s="33">
        <f>'minyak mentah'!H664</f>
        <v>75.510000000000005</v>
      </c>
      <c r="F660" s="46">
        <f>emas!H664</f>
        <v>1006000</v>
      </c>
    </row>
    <row r="661" spans="1:6" x14ac:dyDescent="0.3">
      <c r="A661" s="35">
        <f>inflasi!$G665</f>
        <v>45271</v>
      </c>
      <c r="B661" s="33">
        <f>inflasi!$H665</f>
        <v>2.61</v>
      </c>
      <c r="C661" s="33">
        <f>'suku bunga'!$H665</f>
        <v>6</v>
      </c>
      <c r="D661" s="48">
        <f>'nilai tukar'!$H665</f>
        <v>15614</v>
      </c>
      <c r="E661" s="33">
        <f>'minyak mentah'!H665</f>
        <v>75.510000000000005</v>
      </c>
      <c r="F661" s="46">
        <f>emas!H665</f>
        <v>1020000</v>
      </c>
    </row>
    <row r="662" spans="1:6" x14ac:dyDescent="0.3">
      <c r="A662" s="35">
        <f>inflasi!$G666</f>
        <v>45270</v>
      </c>
      <c r="B662" s="33">
        <f>inflasi!$H666</f>
        <v>2.61</v>
      </c>
      <c r="C662" s="33">
        <f>'suku bunga'!$H666</f>
        <v>6</v>
      </c>
      <c r="D662" s="48">
        <f>'nilai tukar'!$H666</f>
        <v>15500</v>
      </c>
      <c r="E662" s="33">
        <f>'minyak mentah'!H666</f>
        <v>75.510000000000005</v>
      </c>
      <c r="F662" s="46">
        <f>emas!H666</f>
        <v>1020000</v>
      </c>
    </row>
    <row r="663" spans="1:6" x14ac:dyDescent="0.3">
      <c r="A663" s="35">
        <f>inflasi!$G667</f>
        <v>45269</v>
      </c>
      <c r="B663" s="33">
        <f>inflasi!$H667</f>
        <v>2.61</v>
      </c>
      <c r="C663" s="33">
        <f>'suku bunga'!$H667</f>
        <v>6</v>
      </c>
      <c r="D663" s="48">
        <f>'nilai tukar'!$H667</f>
        <v>15500</v>
      </c>
      <c r="E663" s="33">
        <f>'minyak mentah'!H667</f>
        <v>75.510000000000005</v>
      </c>
      <c r="F663" s="46">
        <f>emas!H667</f>
        <v>1020000</v>
      </c>
    </row>
    <row r="664" spans="1:6" x14ac:dyDescent="0.3">
      <c r="A664" s="35">
        <f>inflasi!$G668</f>
        <v>45268</v>
      </c>
      <c r="B664" s="33">
        <f>inflasi!$H668</f>
        <v>2.61</v>
      </c>
      <c r="C664" s="33">
        <f>'suku bunga'!$H668</f>
        <v>6</v>
      </c>
      <c r="D664" s="48">
        <f>'nilai tukar'!$H668</f>
        <v>15500</v>
      </c>
      <c r="E664" s="33">
        <f>'minyak mentah'!H668</f>
        <v>75.510000000000005</v>
      </c>
      <c r="F664" s="46">
        <f>emas!H668</f>
        <v>1026000</v>
      </c>
    </row>
    <row r="665" spans="1:6" x14ac:dyDescent="0.3">
      <c r="A665" s="35">
        <f>inflasi!$G669</f>
        <v>45267</v>
      </c>
      <c r="B665" s="33">
        <f>inflasi!$H669</f>
        <v>2.61</v>
      </c>
      <c r="C665" s="33">
        <f>'suku bunga'!$H669</f>
        <v>6</v>
      </c>
      <c r="D665" s="48">
        <f>'nilai tukar'!$H669</f>
        <v>15536</v>
      </c>
      <c r="E665" s="33">
        <f>'minyak mentah'!H669</f>
        <v>75.510000000000005</v>
      </c>
      <c r="F665" s="46">
        <f>emas!H669</f>
        <v>1026000</v>
      </c>
    </row>
    <row r="666" spans="1:6" x14ac:dyDescent="0.3">
      <c r="A666" s="35">
        <f>inflasi!$G670</f>
        <v>45266</v>
      </c>
      <c r="B666" s="33">
        <f>inflasi!$H670</f>
        <v>2.61</v>
      </c>
      <c r="C666" s="33">
        <f>'suku bunga'!$H670</f>
        <v>6</v>
      </c>
      <c r="D666" s="48">
        <f>'nilai tukar'!$H670</f>
        <v>15504</v>
      </c>
      <c r="E666" s="33">
        <f>'minyak mentah'!H670</f>
        <v>75.510000000000005</v>
      </c>
      <c r="F666" s="46">
        <f>emas!H670</f>
        <v>1019000</v>
      </c>
    </row>
    <row r="667" spans="1:6" x14ac:dyDescent="0.3">
      <c r="A667" s="35">
        <f>inflasi!$G671</f>
        <v>45265</v>
      </c>
      <c r="B667" s="33">
        <f>inflasi!$H671</f>
        <v>2.61</v>
      </c>
      <c r="C667" s="33">
        <f>'suku bunga'!$H671</f>
        <v>6</v>
      </c>
      <c r="D667" s="48">
        <f>'nilai tukar'!$H671</f>
        <v>15504</v>
      </c>
      <c r="E667" s="33">
        <f>'minyak mentah'!H671</f>
        <v>75.510000000000005</v>
      </c>
      <c r="F667" s="46">
        <f>emas!H671</f>
        <v>1030000</v>
      </c>
    </row>
    <row r="668" spans="1:6" x14ac:dyDescent="0.3">
      <c r="A668" s="35">
        <f>inflasi!$G672</f>
        <v>45264</v>
      </c>
      <c r="B668" s="33">
        <f>inflasi!$H672</f>
        <v>2.61</v>
      </c>
      <c r="C668" s="33">
        <f>'suku bunga'!$H672</f>
        <v>6</v>
      </c>
      <c r="D668" s="48">
        <f>'nilai tukar'!$H672</f>
        <v>15446</v>
      </c>
      <c r="E668" s="33">
        <f>'minyak mentah'!H672</f>
        <v>75.510000000000005</v>
      </c>
      <c r="F668" s="46">
        <f>emas!H672</f>
        <v>1055000</v>
      </c>
    </row>
    <row r="669" spans="1:6" x14ac:dyDescent="0.3">
      <c r="A669" s="35">
        <f>inflasi!$G673</f>
        <v>45263</v>
      </c>
      <c r="B669" s="33">
        <f>inflasi!$H673</f>
        <v>2.61</v>
      </c>
      <c r="C669" s="33">
        <f>'suku bunga'!$H673</f>
        <v>6</v>
      </c>
      <c r="D669" s="48">
        <f>'nilai tukar'!$H673</f>
        <v>15524</v>
      </c>
      <c r="E669" s="33">
        <f>'minyak mentah'!H673</f>
        <v>75.510000000000005</v>
      </c>
      <c r="F669" s="46">
        <f>emas!H673</f>
        <v>1041000</v>
      </c>
    </row>
    <row r="670" spans="1:6" x14ac:dyDescent="0.3">
      <c r="A670" s="35">
        <f>inflasi!$G674</f>
        <v>45262</v>
      </c>
      <c r="B670" s="33">
        <f>inflasi!$H674</f>
        <v>2.61</v>
      </c>
      <c r="C670" s="33">
        <f>'suku bunga'!$H674</f>
        <v>6</v>
      </c>
      <c r="D670" s="48">
        <f>'nilai tukar'!$H674</f>
        <v>15524</v>
      </c>
      <c r="E670" s="33">
        <f>'minyak mentah'!H674</f>
        <v>75.510000000000005</v>
      </c>
      <c r="F670" s="46">
        <f>emas!H674</f>
        <v>1041000</v>
      </c>
    </row>
    <row r="671" spans="1:6" x14ac:dyDescent="0.3">
      <c r="A671" s="35">
        <f>inflasi!$G675</f>
        <v>45261</v>
      </c>
      <c r="B671" s="33">
        <f>inflasi!$H675</f>
        <v>2.61</v>
      </c>
      <c r="C671" s="33">
        <f>'suku bunga'!$H675</f>
        <v>6</v>
      </c>
      <c r="D671" s="48">
        <f>'nilai tukar'!$H675</f>
        <v>15524</v>
      </c>
      <c r="E671" s="33">
        <f>'minyak mentah'!H675</f>
        <v>75.510000000000005</v>
      </c>
      <c r="F671" s="46">
        <f>emas!H675</f>
        <v>1020000</v>
      </c>
    </row>
    <row r="672" spans="1:6" x14ac:dyDescent="0.3">
      <c r="A672" s="35">
        <f>inflasi!$G676</f>
        <v>45260</v>
      </c>
      <c r="B672" s="33">
        <f>inflasi!$H676</f>
        <v>2.86</v>
      </c>
      <c r="C672" s="33">
        <f>'suku bunga'!$H676</f>
        <v>6</v>
      </c>
      <c r="D672" s="48">
        <f>'nilai tukar'!$H676</f>
        <v>15484</v>
      </c>
      <c r="E672" s="33">
        <f>'minyak mentah'!H676</f>
        <v>79.63</v>
      </c>
      <c r="F672" s="46">
        <f>emas!H676</f>
        <v>1025000</v>
      </c>
    </row>
    <row r="673" spans="1:6" x14ac:dyDescent="0.3">
      <c r="A673" s="35">
        <f>inflasi!$G677</f>
        <v>45259</v>
      </c>
      <c r="B673" s="33">
        <f>inflasi!$H677</f>
        <v>2.86</v>
      </c>
      <c r="C673" s="33">
        <f>'suku bunga'!$H677</f>
        <v>6</v>
      </c>
      <c r="D673" s="48">
        <f>'nilai tukar'!$H677</f>
        <v>15384</v>
      </c>
      <c r="E673" s="33">
        <f>'minyak mentah'!H677</f>
        <v>79.63</v>
      </c>
      <c r="F673" s="46">
        <f>emas!H677</f>
        <v>1030000</v>
      </c>
    </row>
    <row r="674" spans="1:6" x14ac:dyDescent="0.3">
      <c r="A674" s="35">
        <f>inflasi!$G678</f>
        <v>45258</v>
      </c>
      <c r="B674" s="33">
        <f>inflasi!$H678</f>
        <v>2.86</v>
      </c>
      <c r="C674" s="33">
        <f>'suku bunga'!$H678</f>
        <v>6</v>
      </c>
      <c r="D674" s="48">
        <f>'nilai tukar'!$H678</f>
        <v>15450</v>
      </c>
      <c r="E674" s="33">
        <f>'minyak mentah'!H678</f>
        <v>79.63</v>
      </c>
      <c r="F674" s="46">
        <f>emas!H678</f>
        <v>1020000</v>
      </c>
    </row>
    <row r="675" spans="1:6" x14ac:dyDescent="0.3">
      <c r="A675" s="35">
        <f>inflasi!$G679</f>
        <v>45257</v>
      </c>
      <c r="B675" s="33">
        <f>inflasi!$H679</f>
        <v>2.86</v>
      </c>
      <c r="C675" s="33">
        <f>'suku bunga'!$H679</f>
        <v>6</v>
      </c>
      <c r="D675" s="48">
        <f>'nilai tukar'!$H679</f>
        <v>15527</v>
      </c>
      <c r="E675" s="33">
        <f>'minyak mentah'!H679</f>
        <v>79.63</v>
      </c>
      <c r="F675" s="46">
        <f>emas!H679</f>
        <v>1015400</v>
      </c>
    </row>
    <row r="676" spans="1:6" x14ac:dyDescent="0.3">
      <c r="A676" s="35">
        <f>inflasi!$G680</f>
        <v>45256</v>
      </c>
      <c r="B676" s="33">
        <f>inflasi!$H680</f>
        <v>2.86</v>
      </c>
      <c r="C676" s="33">
        <f>'suku bunga'!$H680</f>
        <v>6</v>
      </c>
      <c r="D676" s="48">
        <f>'nilai tukar'!$H680</f>
        <v>15587</v>
      </c>
      <c r="E676" s="33">
        <f>'minyak mentah'!H680</f>
        <v>79.63</v>
      </c>
      <c r="F676" s="46">
        <f>emas!H680</f>
        <v>1015400</v>
      </c>
    </row>
    <row r="677" spans="1:6" x14ac:dyDescent="0.3">
      <c r="A677" s="35">
        <f>inflasi!$G681</f>
        <v>45255</v>
      </c>
      <c r="B677" s="33">
        <f>inflasi!$H681</f>
        <v>2.86</v>
      </c>
      <c r="C677" s="33">
        <f>'suku bunga'!$H681</f>
        <v>6</v>
      </c>
      <c r="D677" s="48">
        <f>'nilai tukar'!$H681</f>
        <v>15587</v>
      </c>
      <c r="E677" s="33">
        <f>'minyak mentah'!H681</f>
        <v>79.63</v>
      </c>
      <c r="F677" s="46">
        <f>emas!H681</f>
        <v>1015400</v>
      </c>
    </row>
    <row r="678" spans="1:6" x14ac:dyDescent="0.3">
      <c r="A678" s="35">
        <f>inflasi!$G682</f>
        <v>45254</v>
      </c>
      <c r="B678" s="33">
        <f>inflasi!$H682</f>
        <v>2.86</v>
      </c>
      <c r="C678" s="33">
        <f>'suku bunga'!$H682</f>
        <v>6</v>
      </c>
      <c r="D678" s="48">
        <f>'nilai tukar'!$H682</f>
        <v>15587</v>
      </c>
      <c r="E678" s="33">
        <f>'minyak mentah'!H682</f>
        <v>79.63</v>
      </c>
      <c r="F678" s="46">
        <f>emas!H682</f>
        <v>1010900</v>
      </c>
    </row>
    <row r="679" spans="1:6" x14ac:dyDescent="0.3">
      <c r="A679" s="35">
        <f>inflasi!$G683</f>
        <v>45253</v>
      </c>
      <c r="B679" s="33">
        <f>inflasi!$H683</f>
        <v>2.86</v>
      </c>
      <c r="C679" s="33">
        <f>'suku bunga'!$H683</f>
        <v>6</v>
      </c>
      <c r="D679" s="48">
        <f>'nilai tukar'!$H683</f>
        <v>15593</v>
      </c>
      <c r="E679" s="33">
        <f>'minyak mentah'!H683</f>
        <v>79.63</v>
      </c>
      <c r="F679" s="46">
        <f>emas!H683</f>
        <v>999400</v>
      </c>
    </row>
    <row r="680" spans="1:6" x14ac:dyDescent="0.3">
      <c r="A680" s="35">
        <f>inflasi!$G684</f>
        <v>45252</v>
      </c>
      <c r="B680" s="33">
        <f>inflasi!$H684</f>
        <v>2.86</v>
      </c>
      <c r="C680" s="33">
        <f>'suku bunga'!$H684</f>
        <v>6</v>
      </c>
      <c r="D680" s="48">
        <f>'nilai tukar'!$H684</f>
        <v>15584</v>
      </c>
      <c r="E680" s="33">
        <f>'minyak mentah'!H684</f>
        <v>79.63</v>
      </c>
      <c r="F680" s="46">
        <f>emas!H684</f>
        <v>1000900</v>
      </c>
    </row>
    <row r="681" spans="1:6" x14ac:dyDescent="0.3">
      <c r="A681" s="35">
        <f>inflasi!$G685</f>
        <v>45251</v>
      </c>
      <c r="B681" s="33">
        <f>inflasi!$H685</f>
        <v>2.86</v>
      </c>
      <c r="C681" s="33">
        <f>'suku bunga'!$H685</f>
        <v>6</v>
      </c>
      <c r="D681" s="48">
        <f>'nilai tukar'!$H685</f>
        <v>15436</v>
      </c>
      <c r="E681" s="33">
        <f>'minyak mentah'!H685</f>
        <v>79.63</v>
      </c>
      <c r="F681" s="46">
        <f>emas!H685</f>
        <v>998000</v>
      </c>
    </row>
    <row r="682" spans="1:6" x14ac:dyDescent="0.3">
      <c r="A682" s="35">
        <f>inflasi!$G686</f>
        <v>45250</v>
      </c>
      <c r="B682" s="33">
        <f>inflasi!$H686</f>
        <v>2.86</v>
      </c>
      <c r="C682" s="33">
        <f>'suku bunga'!$H686</f>
        <v>6</v>
      </c>
      <c r="D682" s="48">
        <f>'nilai tukar'!$H686</f>
        <v>15419</v>
      </c>
      <c r="E682" s="33">
        <f>'minyak mentah'!H686</f>
        <v>79.63</v>
      </c>
      <c r="F682" s="46">
        <f>emas!H686</f>
        <v>1000100</v>
      </c>
    </row>
    <row r="683" spans="1:6" x14ac:dyDescent="0.3">
      <c r="A683" s="35">
        <f>inflasi!$G687</f>
        <v>45249</v>
      </c>
      <c r="B683" s="33">
        <f>inflasi!$H687</f>
        <v>2.86</v>
      </c>
      <c r="C683" s="33">
        <f>'suku bunga'!$H687</f>
        <v>6</v>
      </c>
      <c r="D683" s="48">
        <f>'nilai tukar'!$H687</f>
        <v>15504</v>
      </c>
      <c r="E683" s="33">
        <f>'minyak mentah'!H687</f>
        <v>79.63</v>
      </c>
      <c r="F683" s="46">
        <f>emas!H687</f>
        <v>1007500</v>
      </c>
    </row>
    <row r="684" spans="1:6" x14ac:dyDescent="0.3">
      <c r="A684" s="35">
        <f>inflasi!$G688</f>
        <v>45248</v>
      </c>
      <c r="B684" s="33">
        <f>inflasi!$H688</f>
        <v>2.86</v>
      </c>
      <c r="C684" s="33">
        <f>'suku bunga'!$H688</f>
        <v>6</v>
      </c>
      <c r="D684" s="48">
        <f>'nilai tukar'!$H688</f>
        <v>15504</v>
      </c>
      <c r="E684" s="33">
        <f>'minyak mentah'!H688</f>
        <v>79.63</v>
      </c>
      <c r="F684" s="46">
        <f>emas!H688</f>
        <v>1007500</v>
      </c>
    </row>
    <row r="685" spans="1:6" x14ac:dyDescent="0.3">
      <c r="A685" s="35">
        <f>inflasi!$G689</f>
        <v>45247</v>
      </c>
      <c r="B685" s="33">
        <f>inflasi!$H689</f>
        <v>2.86</v>
      </c>
      <c r="C685" s="33">
        <f>'suku bunga'!$H689</f>
        <v>6</v>
      </c>
      <c r="D685" s="48">
        <f>'nilai tukar'!$H689</f>
        <v>15504</v>
      </c>
      <c r="E685" s="33">
        <f>'minyak mentah'!H689</f>
        <v>79.63</v>
      </c>
      <c r="F685" s="46">
        <f>emas!H689</f>
        <v>1002450</v>
      </c>
    </row>
    <row r="686" spans="1:6" x14ac:dyDescent="0.3">
      <c r="A686" s="35">
        <f>inflasi!$G690</f>
        <v>45246</v>
      </c>
      <c r="B686" s="33">
        <f>inflasi!$H690</f>
        <v>2.86</v>
      </c>
      <c r="C686" s="33">
        <f>'suku bunga'!$H690</f>
        <v>6</v>
      </c>
      <c r="D686" s="48">
        <f>'nilai tukar'!$H690</f>
        <v>15595</v>
      </c>
      <c r="E686" s="33">
        <f>'minyak mentah'!H690</f>
        <v>79.63</v>
      </c>
      <c r="F686" s="46">
        <f>emas!H690</f>
        <v>1003500</v>
      </c>
    </row>
    <row r="687" spans="1:6" x14ac:dyDescent="0.3">
      <c r="A687" s="35">
        <f>inflasi!$G691</f>
        <v>45245</v>
      </c>
      <c r="B687" s="33">
        <f>inflasi!$H691</f>
        <v>2.86</v>
      </c>
      <c r="C687" s="33">
        <f>'suku bunga'!$H691</f>
        <v>6</v>
      </c>
      <c r="D687" s="48">
        <f>'nilai tukar'!$H691</f>
        <v>15503</v>
      </c>
      <c r="E687" s="33">
        <f>'minyak mentah'!H691</f>
        <v>79.63</v>
      </c>
      <c r="F687" s="46">
        <f>emas!H691</f>
        <v>1006500</v>
      </c>
    </row>
    <row r="688" spans="1:6" x14ac:dyDescent="0.3">
      <c r="A688" s="35">
        <f>inflasi!$G692</f>
        <v>45244</v>
      </c>
      <c r="B688" s="33">
        <f>inflasi!$H692</f>
        <v>2.86</v>
      </c>
      <c r="C688" s="33">
        <f>'suku bunga'!$H692</f>
        <v>6</v>
      </c>
      <c r="D688" s="48">
        <f>'nilai tukar'!$H692</f>
        <v>15699</v>
      </c>
      <c r="E688" s="33">
        <f>'minyak mentah'!H692</f>
        <v>79.63</v>
      </c>
      <c r="F688" s="46">
        <f>emas!H692</f>
        <v>998500</v>
      </c>
    </row>
    <row r="689" spans="1:6" x14ac:dyDescent="0.3">
      <c r="A689" s="35">
        <f>inflasi!$G693</f>
        <v>45243</v>
      </c>
      <c r="B689" s="33">
        <f>inflasi!$H693</f>
        <v>2.86</v>
      </c>
      <c r="C689" s="33">
        <f>'suku bunga'!$H693</f>
        <v>6</v>
      </c>
      <c r="D689" s="48">
        <f>'nilai tukar'!$H693</f>
        <v>15713</v>
      </c>
      <c r="E689" s="33">
        <f>'minyak mentah'!H693</f>
        <v>79.63</v>
      </c>
      <c r="F689" s="46">
        <f>emas!H693</f>
        <v>992050</v>
      </c>
    </row>
    <row r="690" spans="1:6" x14ac:dyDescent="0.3">
      <c r="A690" s="35">
        <f>inflasi!$G694</f>
        <v>45242</v>
      </c>
      <c r="B690" s="33">
        <f>inflasi!$H694</f>
        <v>2.86</v>
      </c>
      <c r="C690" s="33">
        <f>'suku bunga'!$H694</f>
        <v>6</v>
      </c>
      <c r="D690" s="48">
        <f>'nilai tukar'!$H694</f>
        <v>15693</v>
      </c>
      <c r="E690" s="33">
        <f>'minyak mentah'!H694</f>
        <v>79.63</v>
      </c>
      <c r="F690" s="46">
        <f>emas!H694</f>
        <v>992050</v>
      </c>
    </row>
    <row r="691" spans="1:6" x14ac:dyDescent="0.3">
      <c r="A691" s="35">
        <f>inflasi!$G695</f>
        <v>45241</v>
      </c>
      <c r="B691" s="33">
        <f>inflasi!$H695</f>
        <v>2.86</v>
      </c>
      <c r="C691" s="33">
        <f>'suku bunga'!$H695</f>
        <v>6</v>
      </c>
      <c r="D691" s="48">
        <f>'nilai tukar'!$H695</f>
        <v>15693</v>
      </c>
      <c r="E691" s="33">
        <f>'minyak mentah'!H695</f>
        <v>79.63</v>
      </c>
      <c r="F691" s="46">
        <f>emas!H695</f>
        <v>992050</v>
      </c>
    </row>
    <row r="692" spans="1:6" x14ac:dyDescent="0.3">
      <c r="A692" s="35">
        <f>inflasi!$G696</f>
        <v>45240</v>
      </c>
      <c r="B692" s="33">
        <f>inflasi!$H696</f>
        <v>2.86</v>
      </c>
      <c r="C692" s="33">
        <f>'suku bunga'!$H696</f>
        <v>6</v>
      </c>
      <c r="D692" s="48">
        <f>'nilai tukar'!$H696</f>
        <v>15693</v>
      </c>
      <c r="E692" s="33">
        <f>'minyak mentah'!H696</f>
        <v>79.63</v>
      </c>
      <c r="F692" s="46">
        <f>emas!H696</f>
        <v>999000</v>
      </c>
    </row>
    <row r="693" spans="1:6" x14ac:dyDescent="0.3">
      <c r="A693" s="35">
        <f>inflasi!$G697</f>
        <v>45239</v>
      </c>
      <c r="B693" s="33">
        <f>inflasi!$H697</f>
        <v>2.86</v>
      </c>
      <c r="C693" s="33">
        <f>'suku bunga'!$H697</f>
        <v>6</v>
      </c>
      <c r="D693" s="48">
        <f>'nilai tukar'!$H697</f>
        <v>15649</v>
      </c>
      <c r="E693" s="33">
        <f>'minyak mentah'!H697</f>
        <v>79.63</v>
      </c>
      <c r="F693" s="46">
        <f>emas!H697</f>
        <v>991550</v>
      </c>
    </row>
    <row r="694" spans="1:6" x14ac:dyDescent="0.3">
      <c r="A694" s="35">
        <f>inflasi!$G698</f>
        <v>45238</v>
      </c>
      <c r="B694" s="33">
        <f>inflasi!$H698</f>
        <v>2.86</v>
      </c>
      <c r="C694" s="33">
        <f>'suku bunga'!$H698</f>
        <v>6</v>
      </c>
      <c r="D694" s="48">
        <f>'nilai tukar'!$H698</f>
        <v>15629</v>
      </c>
      <c r="E694" s="33">
        <f>'minyak mentah'!H698</f>
        <v>79.63</v>
      </c>
      <c r="F694" s="46">
        <f>emas!H698</f>
        <v>995500</v>
      </c>
    </row>
    <row r="695" spans="1:6" x14ac:dyDescent="0.3">
      <c r="A695" s="35">
        <f>inflasi!$G699</f>
        <v>45237</v>
      </c>
      <c r="B695" s="33">
        <f>inflasi!$H699</f>
        <v>2.86</v>
      </c>
      <c r="C695" s="33">
        <f>'suku bunga'!$H699</f>
        <v>6</v>
      </c>
      <c r="D695" s="48">
        <f>'nilai tukar'!$H699</f>
        <v>15593</v>
      </c>
      <c r="E695" s="33">
        <f>'minyak mentah'!H699</f>
        <v>79.63</v>
      </c>
      <c r="F695" s="46">
        <f>emas!H699</f>
        <v>1001500</v>
      </c>
    </row>
    <row r="696" spans="1:6" x14ac:dyDescent="0.3">
      <c r="A696" s="35">
        <f>inflasi!$G700</f>
        <v>45236</v>
      </c>
      <c r="B696" s="33">
        <f>inflasi!$H700</f>
        <v>2.86</v>
      </c>
      <c r="C696" s="33">
        <f>'suku bunga'!$H700</f>
        <v>6</v>
      </c>
      <c r="D696" s="48">
        <f>'nilai tukar'!$H700</f>
        <v>15550</v>
      </c>
      <c r="E696" s="33">
        <f>'minyak mentah'!H700</f>
        <v>79.63</v>
      </c>
      <c r="F696" s="46">
        <f>emas!H700</f>
        <v>1008450</v>
      </c>
    </row>
    <row r="697" spans="1:6" x14ac:dyDescent="0.3">
      <c r="A697" s="35">
        <f>inflasi!$G701</f>
        <v>45235</v>
      </c>
      <c r="B697" s="33">
        <f>inflasi!$H701</f>
        <v>2.86</v>
      </c>
      <c r="C697" s="33">
        <f>'suku bunga'!$H701</f>
        <v>6</v>
      </c>
      <c r="D697" s="48">
        <f>'nilai tukar'!$H701</f>
        <v>15771</v>
      </c>
      <c r="E697" s="33">
        <f>'minyak mentah'!H701</f>
        <v>79.63</v>
      </c>
      <c r="F697" s="46">
        <f>emas!H701</f>
        <v>1010000</v>
      </c>
    </row>
    <row r="698" spans="1:6" x14ac:dyDescent="0.3">
      <c r="A698" s="35">
        <f>inflasi!$G702</f>
        <v>45234</v>
      </c>
      <c r="B698" s="33">
        <f>inflasi!$H702</f>
        <v>2.86</v>
      </c>
      <c r="C698" s="33">
        <f>'suku bunga'!$H702</f>
        <v>6</v>
      </c>
      <c r="D698" s="48">
        <f>'nilai tukar'!$H702</f>
        <v>15771</v>
      </c>
      <c r="E698" s="33">
        <f>'minyak mentah'!H702</f>
        <v>79.63</v>
      </c>
      <c r="F698" s="46">
        <f>emas!H702</f>
        <v>1010000</v>
      </c>
    </row>
    <row r="699" spans="1:6" x14ac:dyDescent="0.3">
      <c r="A699" s="35">
        <f>inflasi!$G703</f>
        <v>45233</v>
      </c>
      <c r="B699" s="33">
        <f>inflasi!$H703</f>
        <v>2.86</v>
      </c>
      <c r="C699" s="33">
        <f>'suku bunga'!$H703</f>
        <v>6</v>
      </c>
      <c r="D699" s="48">
        <f>'nilai tukar'!$H703</f>
        <v>15771</v>
      </c>
      <c r="E699" s="33">
        <f>'minyak mentah'!H703</f>
        <v>79.63</v>
      </c>
      <c r="F699" s="46">
        <f>emas!H703</f>
        <v>1013400</v>
      </c>
    </row>
    <row r="700" spans="1:6" x14ac:dyDescent="0.3">
      <c r="A700" s="35">
        <f>inflasi!$G704</f>
        <v>45232</v>
      </c>
      <c r="B700" s="33">
        <f>inflasi!$H704</f>
        <v>2.86</v>
      </c>
      <c r="C700" s="33">
        <f>'suku bunga'!$H704</f>
        <v>6</v>
      </c>
      <c r="D700" s="48">
        <f>'nilai tukar'!$H704</f>
        <v>15861</v>
      </c>
      <c r="E700" s="33">
        <f>'minyak mentah'!H704</f>
        <v>79.63</v>
      </c>
      <c r="F700" s="46">
        <f>emas!H704</f>
        <v>1008900</v>
      </c>
    </row>
    <row r="701" spans="1:6" x14ac:dyDescent="0.3">
      <c r="A701" s="35">
        <f>inflasi!$G705</f>
        <v>45231</v>
      </c>
      <c r="B701" s="33">
        <f>inflasi!$H705</f>
        <v>2.86</v>
      </c>
      <c r="C701" s="33">
        <f>'suku bunga'!$H705</f>
        <v>6</v>
      </c>
      <c r="D701" s="48">
        <f>'nilai tukar'!$H705</f>
        <v>15946</v>
      </c>
      <c r="E701" s="33">
        <f>'minyak mentah'!H705</f>
        <v>79.63</v>
      </c>
      <c r="F701" s="46">
        <f>emas!H705</f>
        <v>1008900</v>
      </c>
    </row>
    <row r="702" spans="1:6" x14ac:dyDescent="0.3">
      <c r="A702" s="35">
        <f>inflasi!$G706</f>
        <v>45230</v>
      </c>
      <c r="B702" s="33">
        <f>inflasi!$H706</f>
        <v>2.56</v>
      </c>
      <c r="C702" s="33">
        <f>'suku bunga'!$H706</f>
        <v>6</v>
      </c>
      <c r="D702" s="48">
        <f>'nilai tukar'!$H706</f>
        <v>15897</v>
      </c>
      <c r="E702" s="33">
        <f>'minyak mentah'!H706</f>
        <v>86.72</v>
      </c>
      <c r="F702" s="46">
        <f>emas!H706</f>
        <v>1011600</v>
      </c>
    </row>
    <row r="703" spans="1:6" x14ac:dyDescent="0.3">
      <c r="A703" s="35">
        <f>inflasi!$G707</f>
        <v>45229</v>
      </c>
      <c r="B703" s="33">
        <f>inflasi!$H707</f>
        <v>2.56</v>
      </c>
      <c r="C703" s="33">
        <f>'suku bunga'!$H707</f>
        <v>6</v>
      </c>
      <c r="D703" s="48">
        <f>'nilai tukar'!$H707</f>
        <v>15916</v>
      </c>
      <c r="E703" s="33">
        <f>'minyak mentah'!H707</f>
        <v>86.72</v>
      </c>
      <c r="F703" s="46">
        <f>emas!H707</f>
        <v>1015400</v>
      </c>
    </row>
    <row r="704" spans="1:6" x14ac:dyDescent="0.3">
      <c r="A704" s="35">
        <f>inflasi!$G708</f>
        <v>45228</v>
      </c>
      <c r="B704" s="33">
        <f>inflasi!$H708</f>
        <v>2.56</v>
      </c>
      <c r="C704" s="33">
        <f>'suku bunga'!$H708</f>
        <v>6</v>
      </c>
      <c r="D704" s="48">
        <f>'nilai tukar'!$H708</f>
        <v>15941</v>
      </c>
      <c r="E704" s="33">
        <f>'minyak mentah'!H708</f>
        <v>86.72</v>
      </c>
      <c r="F704" s="46">
        <f>emas!H708</f>
        <v>1016400</v>
      </c>
    </row>
    <row r="705" spans="1:6" x14ac:dyDescent="0.3">
      <c r="A705" s="35">
        <f>inflasi!$G709</f>
        <v>45227</v>
      </c>
      <c r="B705" s="33">
        <f>inflasi!$H709</f>
        <v>2.56</v>
      </c>
      <c r="C705" s="33">
        <f>'suku bunga'!$H709</f>
        <v>6</v>
      </c>
      <c r="D705" s="48">
        <f>'nilai tukar'!$H709</f>
        <v>15941</v>
      </c>
      <c r="E705" s="33">
        <f>'minyak mentah'!H709</f>
        <v>86.72</v>
      </c>
      <c r="F705" s="46">
        <f>emas!H709</f>
        <v>1016400</v>
      </c>
    </row>
    <row r="706" spans="1:6" x14ac:dyDescent="0.3">
      <c r="A706" s="35">
        <f>inflasi!$G710</f>
        <v>45226</v>
      </c>
      <c r="B706" s="33">
        <f>inflasi!$H710</f>
        <v>2.56</v>
      </c>
      <c r="C706" s="33">
        <f>'suku bunga'!$H710</f>
        <v>6</v>
      </c>
      <c r="D706" s="48">
        <f>'nilai tukar'!$H710</f>
        <v>15941</v>
      </c>
      <c r="E706" s="33">
        <f>'minyak mentah'!H710</f>
        <v>86.72</v>
      </c>
      <c r="F706" s="46">
        <f>emas!H710</f>
        <v>1010450</v>
      </c>
    </row>
    <row r="707" spans="1:6" x14ac:dyDescent="0.3">
      <c r="A707" s="35">
        <f>inflasi!$G711</f>
        <v>45225</v>
      </c>
      <c r="B707" s="33">
        <f>inflasi!$H711</f>
        <v>2.56</v>
      </c>
      <c r="C707" s="33">
        <f>'suku bunga'!$H711</f>
        <v>6</v>
      </c>
      <c r="D707" s="48">
        <f>'nilai tukar'!$H711</f>
        <v>15933</v>
      </c>
      <c r="E707" s="33">
        <f>'minyak mentah'!H711</f>
        <v>86.72</v>
      </c>
      <c r="F707" s="46">
        <f>emas!H711</f>
        <v>1014900</v>
      </c>
    </row>
    <row r="708" spans="1:6" x14ac:dyDescent="0.3">
      <c r="A708" s="35">
        <f>inflasi!$G712</f>
        <v>45224</v>
      </c>
      <c r="B708" s="33">
        <f>inflasi!$H712</f>
        <v>2.56</v>
      </c>
      <c r="C708" s="33">
        <f>'suku bunga'!$H712</f>
        <v>6</v>
      </c>
      <c r="D708" s="48">
        <f>'nilai tukar'!$H712</f>
        <v>15871</v>
      </c>
      <c r="E708" s="33">
        <f>'minyak mentah'!H712</f>
        <v>86.72</v>
      </c>
      <c r="F708" s="46">
        <f>emas!H712</f>
        <v>1012900</v>
      </c>
    </row>
    <row r="709" spans="1:6" x14ac:dyDescent="0.3">
      <c r="A709" s="35">
        <f>inflasi!$G713</f>
        <v>45223</v>
      </c>
      <c r="B709" s="33">
        <f>inflasi!$H713</f>
        <v>2.56</v>
      </c>
      <c r="C709" s="33">
        <f>'suku bunga'!$H713</f>
        <v>6</v>
      </c>
      <c r="D709" s="48">
        <f>'nilai tukar'!$H713</f>
        <v>15869</v>
      </c>
      <c r="E709" s="33">
        <f>'minyak mentah'!H713</f>
        <v>86.72</v>
      </c>
      <c r="F709" s="46">
        <f>emas!H713</f>
        <v>1011900</v>
      </c>
    </row>
    <row r="710" spans="1:6" x14ac:dyDescent="0.3">
      <c r="A710" s="35">
        <f>inflasi!$G714</f>
        <v>45222</v>
      </c>
      <c r="B710" s="33">
        <f>inflasi!$H714</f>
        <v>2.56</v>
      </c>
      <c r="C710" s="33">
        <f>'suku bunga'!$H714</f>
        <v>6</v>
      </c>
      <c r="D710" s="48">
        <f>'nilai tukar'!$H714</f>
        <v>15943</v>
      </c>
      <c r="E710" s="33">
        <f>'minyak mentah'!H714</f>
        <v>86.72</v>
      </c>
      <c r="F710" s="46">
        <f>emas!H714</f>
        <v>1010410</v>
      </c>
    </row>
    <row r="711" spans="1:6" x14ac:dyDescent="0.3">
      <c r="A711" s="35">
        <f>inflasi!$G715</f>
        <v>45221</v>
      </c>
      <c r="B711" s="33">
        <f>inflasi!$H715</f>
        <v>2.56</v>
      </c>
      <c r="C711" s="33">
        <f>'suku bunga'!$H715</f>
        <v>6</v>
      </c>
      <c r="D711" s="48">
        <f>'nilai tukar'!$H715</f>
        <v>15856</v>
      </c>
      <c r="E711" s="33">
        <f>'minyak mentah'!H715</f>
        <v>86.72</v>
      </c>
      <c r="F711" s="46">
        <f>emas!H715</f>
        <v>1017900</v>
      </c>
    </row>
    <row r="712" spans="1:6" x14ac:dyDescent="0.3">
      <c r="A712" s="35">
        <f>inflasi!$G716</f>
        <v>45220</v>
      </c>
      <c r="B712" s="33">
        <f>inflasi!$H716</f>
        <v>2.56</v>
      </c>
      <c r="C712" s="33">
        <f>'suku bunga'!$H716</f>
        <v>6</v>
      </c>
      <c r="D712" s="48">
        <f>'nilai tukar'!$H716</f>
        <v>15856</v>
      </c>
      <c r="E712" s="33">
        <f>'minyak mentah'!H716</f>
        <v>86.72</v>
      </c>
      <c r="F712" s="46">
        <f>emas!H716</f>
        <v>1017900</v>
      </c>
    </row>
    <row r="713" spans="1:6" x14ac:dyDescent="0.3">
      <c r="A713" s="35">
        <f>inflasi!$G717</f>
        <v>45219</v>
      </c>
      <c r="B713" s="33">
        <f>inflasi!$H717</f>
        <v>2.56</v>
      </c>
      <c r="C713" s="33">
        <f>'suku bunga'!$H717</f>
        <v>6</v>
      </c>
      <c r="D713" s="48">
        <f>'nilai tukar'!$H717</f>
        <v>15856</v>
      </c>
      <c r="E713" s="33">
        <f>'minyak mentah'!H717</f>
        <v>86.72</v>
      </c>
      <c r="F713" s="46">
        <f>emas!H717</f>
        <v>1014400</v>
      </c>
    </row>
    <row r="714" spans="1:6" x14ac:dyDescent="0.3">
      <c r="A714" s="35">
        <f>inflasi!$G718</f>
        <v>45218</v>
      </c>
      <c r="B714" s="33">
        <f>inflasi!$H718</f>
        <v>2.56</v>
      </c>
      <c r="C714" s="33">
        <f>'suku bunga'!$H718</f>
        <v>6</v>
      </c>
      <c r="D714" s="48">
        <f>'nilai tukar'!$H718</f>
        <v>15838</v>
      </c>
      <c r="E714" s="33">
        <f>'minyak mentah'!H718</f>
        <v>86.72</v>
      </c>
      <c r="F714" s="46">
        <f>emas!H718</f>
        <v>988050</v>
      </c>
    </row>
    <row r="715" spans="1:6" x14ac:dyDescent="0.3">
      <c r="A715" s="35">
        <f>inflasi!$G719</f>
        <v>45217</v>
      </c>
      <c r="B715" s="33">
        <f>inflasi!$H719</f>
        <v>2.56</v>
      </c>
      <c r="C715" s="33">
        <f>'suku bunga'!$H719</f>
        <v>5.75</v>
      </c>
      <c r="D715" s="48">
        <f>'nilai tukar'!$H719</f>
        <v>15731</v>
      </c>
      <c r="E715" s="33">
        <f>'minyak mentah'!H719</f>
        <v>86.72</v>
      </c>
      <c r="F715" s="46">
        <f>emas!H719</f>
        <v>987100</v>
      </c>
    </row>
    <row r="716" spans="1:6" x14ac:dyDescent="0.3">
      <c r="A716" s="35">
        <f>inflasi!$G720</f>
        <v>45216</v>
      </c>
      <c r="B716" s="33">
        <f>inflasi!$H720</f>
        <v>2.56</v>
      </c>
      <c r="C716" s="33">
        <f>'suku bunga'!$H720</f>
        <v>5.75</v>
      </c>
      <c r="D716" s="48">
        <f>'nilai tukar'!$H720</f>
        <v>15718</v>
      </c>
      <c r="E716" s="33">
        <f>'minyak mentah'!H720</f>
        <v>86.72</v>
      </c>
      <c r="F716" s="46">
        <f>emas!H720</f>
        <v>979600</v>
      </c>
    </row>
    <row r="717" spans="1:6" x14ac:dyDescent="0.3">
      <c r="A717" s="35">
        <f>inflasi!$G721</f>
        <v>45215</v>
      </c>
      <c r="B717" s="33">
        <f>inflasi!$H721</f>
        <v>2.56</v>
      </c>
      <c r="C717" s="33">
        <f>'suku bunga'!$H721</f>
        <v>5.75</v>
      </c>
      <c r="D717" s="48">
        <f>'nilai tukar'!$H721</f>
        <v>15716</v>
      </c>
      <c r="E717" s="33">
        <f>'minyak mentah'!H721</f>
        <v>86.72</v>
      </c>
      <c r="F717" s="46">
        <f>emas!H721</f>
        <v>981050</v>
      </c>
    </row>
    <row r="718" spans="1:6" x14ac:dyDescent="0.3">
      <c r="A718" s="35">
        <f>inflasi!$G722</f>
        <v>45214</v>
      </c>
      <c r="B718" s="33">
        <f>inflasi!$H722</f>
        <v>2.56</v>
      </c>
      <c r="C718" s="33">
        <f>'suku bunga'!$H722</f>
        <v>5.75</v>
      </c>
      <c r="D718" s="48">
        <f>'nilai tukar'!$H722</f>
        <v>15709</v>
      </c>
      <c r="E718" s="33">
        <f>'minyak mentah'!H722</f>
        <v>86.72</v>
      </c>
      <c r="F718" s="46">
        <f>emas!H722</f>
        <v>983050</v>
      </c>
    </row>
    <row r="719" spans="1:6" x14ac:dyDescent="0.3">
      <c r="A719" s="35">
        <f>inflasi!$G723</f>
        <v>45213</v>
      </c>
      <c r="B719" s="33">
        <f>inflasi!$H723</f>
        <v>2.56</v>
      </c>
      <c r="C719" s="33">
        <f>'suku bunga'!$H723</f>
        <v>5.75</v>
      </c>
      <c r="D719" s="48">
        <f>'nilai tukar'!$H723</f>
        <v>15709</v>
      </c>
      <c r="E719" s="33">
        <f>'minyak mentah'!H723</f>
        <v>86.72</v>
      </c>
      <c r="F719" s="46">
        <f>emas!H723</f>
        <v>983050</v>
      </c>
    </row>
    <row r="720" spans="1:6" x14ac:dyDescent="0.3">
      <c r="A720" s="35">
        <f>inflasi!$G724</f>
        <v>45212</v>
      </c>
      <c r="B720" s="33">
        <f>inflasi!$H724</f>
        <v>2.56</v>
      </c>
      <c r="C720" s="33">
        <f>'suku bunga'!$H724</f>
        <v>5.75</v>
      </c>
      <c r="D720" s="48">
        <f>'nilai tukar'!$H724</f>
        <v>15709</v>
      </c>
      <c r="E720" s="33">
        <f>'minyak mentah'!H724</f>
        <v>86.72</v>
      </c>
      <c r="F720" s="46">
        <f>emas!H724</f>
        <v>964150</v>
      </c>
    </row>
    <row r="721" spans="1:6" x14ac:dyDescent="0.3">
      <c r="A721" s="35">
        <f>inflasi!$G725</f>
        <v>45211</v>
      </c>
      <c r="B721" s="33">
        <f>inflasi!$H725</f>
        <v>2.56</v>
      </c>
      <c r="C721" s="33">
        <f>'suku bunga'!$H725</f>
        <v>5.75</v>
      </c>
      <c r="D721" s="48">
        <f>'nilai tukar'!$H725</f>
        <v>15702</v>
      </c>
      <c r="E721" s="33">
        <f>'minyak mentah'!H725</f>
        <v>86.72</v>
      </c>
      <c r="F721" s="46">
        <f>emas!H725</f>
        <v>964150</v>
      </c>
    </row>
    <row r="722" spans="1:6" x14ac:dyDescent="0.3">
      <c r="A722" s="35">
        <f>inflasi!$G726</f>
        <v>45210</v>
      </c>
      <c r="B722" s="33">
        <f>inflasi!$H726</f>
        <v>2.56</v>
      </c>
      <c r="C722" s="33">
        <f>'suku bunga'!$H726</f>
        <v>5.75</v>
      </c>
      <c r="D722" s="48">
        <f>'nilai tukar'!$H726</f>
        <v>15710</v>
      </c>
      <c r="E722" s="33">
        <f>'minyak mentah'!H726</f>
        <v>86.72</v>
      </c>
      <c r="F722" s="46">
        <f>emas!H726</f>
        <v>953750</v>
      </c>
    </row>
    <row r="723" spans="1:6" x14ac:dyDescent="0.3">
      <c r="A723" s="35">
        <f>inflasi!$G727</f>
        <v>45209</v>
      </c>
      <c r="B723" s="33">
        <f>inflasi!$H727</f>
        <v>2.56</v>
      </c>
      <c r="C723" s="33">
        <f>'suku bunga'!$H727</f>
        <v>5.75</v>
      </c>
      <c r="D723" s="48">
        <f>'nilai tukar'!$H727</f>
        <v>15708</v>
      </c>
      <c r="E723" s="33">
        <f>'minyak mentah'!H727</f>
        <v>86.72</v>
      </c>
      <c r="F723" s="46">
        <f>emas!H727</f>
        <v>952300</v>
      </c>
    </row>
    <row r="724" spans="1:6" x14ac:dyDescent="0.3">
      <c r="A724" s="35">
        <f>inflasi!$G728</f>
        <v>45208</v>
      </c>
      <c r="B724" s="33">
        <f>inflasi!$H728</f>
        <v>2.56</v>
      </c>
      <c r="C724" s="33">
        <f>'suku bunga'!$H728</f>
        <v>5.75</v>
      </c>
      <c r="D724" s="48">
        <f>'nilai tukar'!$H728</f>
        <v>15675</v>
      </c>
      <c r="E724" s="33">
        <f>'minyak mentah'!H728</f>
        <v>86.72</v>
      </c>
      <c r="F724" s="46">
        <f>emas!H728</f>
        <v>948750</v>
      </c>
    </row>
    <row r="725" spans="1:6" x14ac:dyDescent="0.3">
      <c r="A725" s="35">
        <f>inflasi!$G729</f>
        <v>45207</v>
      </c>
      <c r="B725" s="33">
        <f>inflasi!$H729</f>
        <v>2.56</v>
      </c>
      <c r="C725" s="33">
        <f>'suku bunga'!$H729</f>
        <v>5.75</v>
      </c>
      <c r="D725" s="48">
        <f>'nilai tukar'!$H729</f>
        <v>15628</v>
      </c>
      <c r="E725" s="33">
        <f>'minyak mentah'!H729</f>
        <v>86.72</v>
      </c>
      <c r="F725" s="46">
        <f>emas!H729</f>
        <v>939800</v>
      </c>
    </row>
    <row r="726" spans="1:6" x14ac:dyDescent="0.3">
      <c r="A726" s="35">
        <f>inflasi!$G730</f>
        <v>45206</v>
      </c>
      <c r="B726" s="33">
        <f>inflasi!$H730</f>
        <v>2.56</v>
      </c>
      <c r="C726" s="33">
        <f>'suku bunga'!$H730</f>
        <v>5.75</v>
      </c>
      <c r="D726" s="48">
        <f>'nilai tukar'!$H730</f>
        <v>15628</v>
      </c>
      <c r="E726" s="33">
        <f>'minyak mentah'!H730</f>
        <v>86.72</v>
      </c>
      <c r="F726" s="46">
        <f>emas!H730</f>
        <v>939780</v>
      </c>
    </row>
    <row r="727" spans="1:6" x14ac:dyDescent="0.3">
      <c r="A727" s="35">
        <f>inflasi!$G731</f>
        <v>45205</v>
      </c>
      <c r="B727" s="33">
        <f>inflasi!$H731</f>
        <v>2.56</v>
      </c>
      <c r="C727" s="33">
        <f>'suku bunga'!$H731</f>
        <v>5.75</v>
      </c>
      <c r="D727" s="48">
        <f>'nilai tukar'!$H731</f>
        <v>15628</v>
      </c>
      <c r="E727" s="33">
        <f>'minyak mentah'!H731</f>
        <v>86.72</v>
      </c>
      <c r="F727" s="46">
        <f>emas!H731</f>
        <v>931350</v>
      </c>
    </row>
    <row r="728" spans="1:6" x14ac:dyDescent="0.3">
      <c r="A728" s="35">
        <f>inflasi!$G732</f>
        <v>45204</v>
      </c>
      <c r="B728" s="33">
        <f>inflasi!$H732</f>
        <v>2.56</v>
      </c>
      <c r="C728" s="33">
        <f>'suku bunga'!$H732</f>
        <v>5.75</v>
      </c>
      <c r="D728" s="48">
        <f>'nilai tukar'!$H732</f>
        <v>15601</v>
      </c>
      <c r="E728" s="33">
        <f>'minyak mentah'!H732</f>
        <v>86.72</v>
      </c>
      <c r="F728" s="46">
        <f>emas!H732</f>
        <v>930850</v>
      </c>
    </row>
    <row r="729" spans="1:6" x14ac:dyDescent="0.3">
      <c r="A729" s="35">
        <f>inflasi!$G733</f>
        <v>45203</v>
      </c>
      <c r="B729" s="33">
        <f>inflasi!$H733</f>
        <v>2.56</v>
      </c>
      <c r="C729" s="33">
        <f>'suku bunga'!$H733</f>
        <v>5.75</v>
      </c>
      <c r="D729" s="48">
        <f>'nilai tukar'!$H733</f>
        <v>15636</v>
      </c>
      <c r="E729" s="33">
        <f>'minyak mentah'!H733</f>
        <v>86.72</v>
      </c>
      <c r="F729" s="46">
        <f>emas!H733</f>
        <v>925900</v>
      </c>
    </row>
    <row r="730" spans="1:6" x14ac:dyDescent="0.3">
      <c r="A730" s="35">
        <f>inflasi!$G734</f>
        <v>45202</v>
      </c>
      <c r="B730" s="33">
        <f>inflasi!$H734</f>
        <v>2.56</v>
      </c>
      <c r="C730" s="33">
        <f>'suku bunga'!$H734</f>
        <v>5.75</v>
      </c>
      <c r="D730" s="48">
        <f>'nilai tukar'!$H734</f>
        <v>15600</v>
      </c>
      <c r="E730" s="33">
        <f>'minyak mentah'!H734</f>
        <v>86.72</v>
      </c>
      <c r="F730" s="46">
        <f>emas!H734</f>
        <v>919900</v>
      </c>
    </row>
    <row r="731" spans="1:6" x14ac:dyDescent="0.3">
      <c r="A731" s="35">
        <f>inflasi!$G735</f>
        <v>45201</v>
      </c>
      <c r="B731" s="33">
        <f>inflasi!$H735</f>
        <v>2.56</v>
      </c>
      <c r="C731" s="33">
        <f>'suku bunga'!$H735</f>
        <v>5.75</v>
      </c>
      <c r="D731" s="48">
        <f>'nilai tukar'!$H735</f>
        <v>15519</v>
      </c>
      <c r="E731" s="33">
        <f>'minyak mentah'!H735</f>
        <v>86.72</v>
      </c>
      <c r="F731" s="46">
        <f>emas!H735</f>
        <v>929400</v>
      </c>
    </row>
    <row r="732" spans="1:6" x14ac:dyDescent="0.3">
      <c r="A732" s="35">
        <f>inflasi!$G736</f>
        <v>45200</v>
      </c>
      <c r="B732" s="33">
        <f>inflasi!$H736</f>
        <v>2.56</v>
      </c>
      <c r="C732" s="33">
        <f>'suku bunga'!$H736</f>
        <v>5.75</v>
      </c>
      <c r="D732" s="48">
        <f>'nilai tukar'!$H736</f>
        <v>15487</v>
      </c>
      <c r="E732" s="33">
        <f>'minyak mentah'!H736</f>
        <v>86.72</v>
      </c>
      <c r="F732" s="46">
        <f>emas!H736</f>
        <v>931850</v>
      </c>
    </row>
    <row r="733" spans="1:6" x14ac:dyDescent="0.3">
      <c r="A733" s="35">
        <f>inflasi!$G737</f>
        <v>45199</v>
      </c>
      <c r="B733" s="33">
        <f>inflasi!$H737</f>
        <v>2.2799999999999998</v>
      </c>
      <c r="C733" s="33">
        <f>'suku bunga'!$H737</f>
        <v>5.75</v>
      </c>
      <c r="D733" s="48">
        <f>'nilai tukar'!$H737</f>
        <v>15487</v>
      </c>
      <c r="E733" s="33">
        <f>'minyak mentah'!H737</f>
        <v>90.17</v>
      </c>
      <c r="F733" s="46">
        <f>emas!H737</f>
        <v>931850</v>
      </c>
    </row>
    <row r="734" spans="1:6" x14ac:dyDescent="0.3">
      <c r="A734" s="35">
        <f>inflasi!$G738</f>
        <v>45198</v>
      </c>
      <c r="B734" s="33">
        <f>inflasi!$H738</f>
        <v>2.2799999999999998</v>
      </c>
      <c r="C734" s="33">
        <f>'suku bunga'!$H738</f>
        <v>5.75</v>
      </c>
      <c r="D734" s="48">
        <f>'nilai tukar'!$H738</f>
        <v>15487</v>
      </c>
      <c r="E734" s="33">
        <f>'minyak mentah'!H738</f>
        <v>90.17</v>
      </c>
      <c r="F734" s="46">
        <f>emas!H738</f>
        <v>934850</v>
      </c>
    </row>
    <row r="735" spans="1:6" x14ac:dyDescent="0.3">
      <c r="A735" s="35">
        <f>inflasi!$G739</f>
        <v>45197</v>
      </c>
      <c r="B735" s="33">
        <f>inflasi!$H739</f>
        <v>2.2799999999999998</v>
      </c>
      <c r="C735" s="33">
        <f>'suku bunga'!$H739</f>
        <v>5.75</v>
      </c>
      <c r="D735" s="48">
        <f>'nilai tukar'!$H739</f>
        <v>15526</v>
      </c>
      <c r="E735" s="33">
        <f>'minyak mentah'!H739</f>
        <v>90.17</v>
      </c>
      <c r="F735" s="46">
        <f>emas!H739</f>
        <v>952250</v>
      </c>
    </row>
    <row r="736" spans="1:6" x14ac:dyDescent="0.3">
      <c r="A736" s="35">
        <f>inflasi!$G740</f>
        <v>45196</v>
      </c>
      <c r="B736" s="33">
        <f>inflasi!$H740</f>
        <v>2.2799999999999998</v>
      </c>
      <c r="C736" s="33">
        <f>'suku bunga'!$H740</f>
        <v>5.75</v>
      </c>
      <c r="D736" s="48">
        <f>'nilai tukar'!$H740</f>
        <v>15526</v>
      </c>
      <c r="E736" s="33">
        <f>'minyak mentah'!H740</f>
        <v>90.17</v>
      </c>
      <c r="F736" s="46">
        <f>emas!H740</f>
        <v>952250</v>
      </c>
    </row>
    <row r="737" spans="1:6" x14ac:dyDescent="0.3">
      <c r="A737" s="35">
        <f>inflasi!$G741</f>
        <v>45195</v>
      </c>
      <c r="B737" s="33">
        <f>inflasi!$H741</f>
        <v>2.2799999999999998</v>
      </c>
      <c r="C737" s="33">
        <f>'suku bunga'!$H741</f>
        <v>5.75</v>
      </c>
      <c r="D737" s="48">
        <f>'nilai tukar'!$H741</f>
        <v>15464</v>
      </c>
      <c r="E737" s="33">
        <f>'minyak mentah'!H741</f>
        <v>90.17</v>
      </c>
      <c r="F737" s="46">
        <f>emas!H741</f>
        <v>954210</v>
      </c>
    </row>
    <row r="738" spans="1:6" x14ac:dyDescent="0.3">
      <c r="A738" s="35">
        <f>inflasi!$G742</f>
        <v>45194</v>
      </c>
      <c r="B738" s="33">
        <f>inflasi!$H742</f>
        <v>2.2799999999999998</v>
      </c>
      <c r="C738" s="33">
        <f>'suku bunga'!$H742</f>
        <v>5.75</v>
      </c>
      <c r="D738" s="48">
        <f>'nilai tukar'!$H742</f>
        <v>15399</v>
      </c>
      <c r="E738" s="33">
        <f>'minyak mentah'!H742</f>
        <v>90.17</v>
      </c>
      <c r="F738" s="46">
        <f>emas!H742</f>
        <v>955720</v>
      </c>
    </row>
    <row r="739" spans="1:6" x14ac:dyDescent="0.3">
      <c r="A739" s="35">
        <f>inflasi!$G743</f>
        <v>45193</v>
      </c>
      <c r="B739" s="33">
        <f>inflasi!$H743</f>
        <v>2.2799999999999998</v>
      </c>
      <c r="C739" s="33">
        <f>'suku bunga'!$H743</f>
        <v>5.75</v>
      </c>
      <c r="D739" s="48">
        <f>'nilai tukar'!$H743</f>
        <v>15383</v>
      </c>
      <c r="E739" s="33">
        <f>'minyak mentah'!H743</f>
        <v>90.17</v>
      </c>
      <c r="F739" s="46">
        <f>emas!H743</f>
        <v>955210</v>
      </c>
    </row>
    <row r="740" spans="1:6" x14ac:dyDescent="0.3">
      <c r="A740" s="35">
        <f>inflasi!$G744</f>
        <v>45192</v>
      </c>
      <c r="B740" s="33">
        <f>inflasi!$H744</f>
        <v>2.2799999999999998</v>
      </c>
      <c r="C740" s="33">
        <f>'suku bunga'!$H744</f>
        <v>5.75</v>
      </c>
      <c r="D740" s="48">
        <f>'nilai tukar'!$H744</f>
        <v>15383</v>
      </c>
      <c r="E740" s="33">
        <f>'minyak mentah'!H744</f>
        <v>90.17</v>
      </c>
      <c r="F740" s="46">
        <f>emas!H744</f>
        <v>955210</v>
      </c>
    </row>
    <row r="741" spans="1:6" x14ac:dyDescent="0.3">
      <c r="A741" s="35">
        <f>inflasi!$G745</f>
        <v>45191</v>
      </c>
      <c r="B741" s="33">
        <f>inflasi!$H745</f>
        <v>2.2799999999999998</v>
      </c>
      <c r="C741" s="33">
        <f>'suku bunga'!$H745</f>
        <v>5.75</v>
      </c>
      <c r="D741" s="48">
        <f>'nilai tukar'!$H745</f>
        <v>15383</v>
      </c>
      <c r="E741" s="33">
        <f>'minyak mentah'!H745</f>
        <v>90.17</v>
      </c>
      <c r="F741" s="46">
        <f>emas!H745</f>
        <v>959180</v>
      </c>
    </row>
    <row r="742" spans="1:6" x14ac:dyDescent="0.3">
      <c r="A742" s="35">
        <f>inflasi!$G746</f>
        <v>45190</v>
      </c>
      <c r="B742" s="33">
        <f>inflasi!$H746</f>
        <v>2.2799999999999998</v>
      </c>
      <c r="C742" s="33">
        <f>'suku bunga'!$H746</f>
        <v>5.75</v>
      </c>
      <c r="D742" s="48">
        <f>'nilai tukar'!$H746</f>
        <v>15397</v>
      </c>
      <c r="E742" s="33">
        <f>'minyak mentah'!H746</f>
        <v>90.17</v>
      </c>
      <c r="F742" s="46">
        <f>emas!H746</f>
        <v>959180</v>
      </c>
    </row>
    <row r="743" spans="1:6" x14ac:dyDescent="0.3">
      <c r="A743" s="35">
        <f>inflasi!$G747</f>
        <v>45189</v>
      </c>
      <c r="B743" s="33">
        <f>inflasi!$H747</f>
        <v>2.2799999999999998</v>
      </c>
      <c r="C743" s="33">
        <f>'suku bunga'!$H747</f>
        <v>5.75</v>
      </c>
      <c r="D743" s="48">
        <f>'nilai tukar'!$H747</f>
        <v>15396</v>
      </c>
      <c r="E743" s="33">
        <f>'minyak mentah'!H747</f>
        <v>90.17</v>
      </c>
      <c r="F743" s="46">
        <f>emas!H747</f>
        <v>959180</v>
      </c>
    </row>
    <row r="744" spans="1:6" x14ac:dyDescent="0.3">
      <c r="A744" s="35">
        <f>inflasi!$G748</f>
        <v>45188</v>
      </c>
      <c r="B744" s="33">
        <f>inflasi!$H748</f>
        <v>2.2799999999999998</v>
      </c>
      <c r="C744" s="33">
        <f>'suku bunga'!$H748</f>
        <v>5.75</v>
      </c>
      <c r="D744" s="48">
        <f>'nilai tukar'!$H748</f>
        <v>15381</v>
      </c>
      <c r="E744" s="33">
        <f>'minyak mentah'!H748</f>
        <v>90.17</v>
      </c>
      <c r="F744" s="46">
        <f>emas!H748</f>
        <v>960180</v>
      </c>
    </row>
    <row r="745" spans="1:6" x14ac:dyDescent="0.3">
      <c r="A745" s="35">
        <f>inflasi!$G749</f>
        <v>45187</v>
      </c>
      <c r="B745" s="33">
        <f>inflasi!$H749</f>
        <v>2.2799999999999998</v>
      </c>
      <c r="C745" s="33">
        <f>'suku bunga'!$H749</f>
        <v>5.75</v>
      </c>
      <c r="D745" s="48">
        <f>'nilai tukar'!$H749</f>
        <v>15373</v>
      </c>
      <c r="E745" s="33">
        <f>'minyak mentah'!H749</f>
        <v>90.17</v>
      </c>
      <c r="F745" s="46">
        <f>emas!H749</f>
        <v>955750</v>
      </c>
    </row>
    <row r="746" spans="1:6" x14ac:dyDescent="0.3">
      <c r="A746" s="35">
        <f>inflasi!$G750</f>
        <v>45186</v>
      </c>
      <c r="B746" s="33">
        <f>inflasi!$H750</f>
        <v>2.2799999999999998</v>
      </c>
      <c r="C746" s="33">
        <f>'suku bunga'!$H750</f>
        <v>5.75</v>
      </c>
      <c r="D746" s="48">
        <f>'nilai tukar'!$H750</f>
        <v>15367</v>
      </c>
      <c r="E746" s="33">
        <f>'minyak mentah'!H750</f>
        <v>90.17</v>
      </c>
      <c r="F746" s="46">
        <f>emas!H750</f>
        <v>955210</v>
      </c>
    </row>
    <row r="747" spans="1:6" x14ac:dyDescent="0.3">
      <c r="A747" s="35">
        <f>inflasi!$G751</f>
        <v>45185</v>
      </c>
      <c r="B747" s="33">
        <f>inflasi!$H751</f>
        <v>2.2799999999999998</v>
      </c>
      <c r="C747" s="33">
        <f>'suku bunga'!$H751</f>
        <v>5.75</v>
      </c>
      <c r="D747" s="48">
        <f>'nilai tukar'!$H751</f>
        <v>15367</v>
      </c>
      <c r="E747" s="33">
        <f>'minyak mentah'!H751</f>
        <v>90.17</v>
      </c>
      <c r="F747" s="46">
        <f>emas!H751</f>
        <v>955210</v>
      </c>
    </row>
    <row r="748" spans="1:6" x14ac:dyDescent="0.3">
      <c r="A748" s="35">
        <f>inflasi!$G752</f>
        <v>45184</v>
      </c>
      <c r="B748" s="33">
        <f>inflasi!$H752</f>
        <v>2.2799999999999998</v>
      </c>
      <c r="C748" s="33">
        <f>'suku bunga'!$H752</f>
        <v>5.75</v>
      </c>
      <c r="D748" s="48">
        <f>'nilai tukar'!$H752</f>
        <v>15367</v>
      </c>
      <c r="E748" s="33">
        <f>'minyak mentah'!H752</f>
        <v>90.17</v>
      </c>
      <c r="F748" s="46">
        <f>emas!H752</f>
        <v>952720</v>
      </c>
    </row>
    <row r="749" spans="1:6" x14ac:dyDescent="0.3">
      <c r="A749" s="35">
        <f>inflasi!$G753</f>
        <v>45183</v>
      </c>
      <c r="B749" s="33">
        <f>inflasi!$H753</f>
        <v>2.2799999999999998</v>
      </c>
      <c r="C749" s="33">
        <f>'suku bunga'!$H753</f>
        <v>5.75</v>
      </c>
      <c r="D749" s="48">
        <f>'nilai tukar'!$H753</f>
        <v>15357</v>
      </c>
      <c r="E749" s="33">
        <f>'minyak mentah'!H753</f>
        <v>90.17</v>
      </c>
      <c r="F749" s="46">
        <f>emas!H753</f>
        <v>951730</v>
      </c>
    </row>
    <row r="750" spans="1:6" x14ac:dyDescent="0.3">
      <c r="A750" s="35">
        <f>inflasi!$G754</f>
        <v>45182</v>
      </c>
      <c r="B750" s="33">
        <f>inflasi!$H754</f>
        <v>2.2799999999999998</v>
      </c>
      <c r="C750" s="33">
        <f>'suku bunga'!$H754</f>
        <v>5.75</v>
      </c>
      <c r="D750" s="48">
        <f>'nilai tukar'!$H754</f>
        <v>15367</v>
      </c>
      <c r="E750" s="33">
        <f>'minyak mentah'!H754</f>
        <v>90.17</v>
      </c>
      <c r="F750" s="46">
        <f>emas!H754</f>
        <v>947750</v>
      </c>
    </row>
    <row r="751" spans="1:6" x14ac:dyDescent="0.3">
      <c r="A751" s="35">
        <f>inflasi!$G755</f>
        <v>45181</v>
      </c>
      <c r="B751" s="33">
        <f>inflasi!$H755</f>
        <v>2.2799999999999998</v>
      </c>
      <c r="C751" s="33">
        <f>'suku bunga'!$H755</f>
        <v>5.75</v>
      </c>
      <c r="D751" s="48">
        <f>'nilai tukar'!$H755</f>
        <v>15344</v>
      </c>
      <c r="E751" s="33">
        <f>'minyak mentah'!H755</f>
        <v>90.17</v>
      </c>
      <c r="F751" s="46">
        <f>emas!H755</f>
        <v>952230</v>
      </c>
    </row>
    <row r="752" spans="1:6" x14ac:dyDescent="0.3">
      <c r="A752" s="35">
        <f>inflasi!$G756</f>
        <v>45180</v>
      </c>
      <c r="B752" s="33">
        <f>inflasi!$H756</f>
        <v>2.2799999999999998</v>
      </c>
      <c r="C752" s="33">
        <f>'suku bunga'!$H756</f>
        <v>5.75</v>
      </c>
      <c r="D752" s="48">
        <f>'nilai tukar'!$H756</f>
        <v>15352</v>
      </c>
      <c r="E752" s="33">
        <f>'minyak mentah'!H756</f>
        <v>90.17</v>
      </c>
      <c r="F752" s="46">
        <f>emas!H756</f>
        <v>951730</v>
      </c>
    </row>
    <row r="753" spans="1:6" x14ac:dyDescent="0.3">
      <c r="A753" s="35">
        <f>inflasi!$G757</f>
        <v>45179</v>
      </c>
      <c r="B753" s="33">
        <f>inflasi!$H757</f>
        <v>2.2799999999999998</v>
      </c>
      <c r="C753" s="33">
        <f>'suku bunga'!$H757</f>
        <v>5.75</v>
      </c>
      <c r="D753" s="48">
        <f>'nilai tukar'!$H757</f>
        <v>15341</v>
      </c>
      <c r="E753" s="33">
        <f>'minyak mentah'!H757</f>
        <v>90.17</v>
      </c>
      <c r="F753" s="46">
        <f>emas!H757</f>
        <v>952230</v>
      </c>
    </row>
    <row r="754" spans="1:6" x14ac:dyDescent="0.3">
      <c r="A754" s="35">
        <f>inflasi!$G758</f>
        <v>45178</v>
      </c>
      <c r="B754" s="33">
        <f>inflasi!$H758</f>
        <v>2.2799999999999998</v>
      </c>
      <c r="C754" s="33">
        <f>'suku bunga'!$H758</f>
        <v>5.75</v>
      </c>
      <c r="D754" s="48">
        <f>'nilai tukar'!$H758</f>
        <v>15341</v>
      </c>
      <c r="E754" s="33">
        <f>'minyak mentah'!H758</f>
        <v>90.17</v>
      </c>
      <c r="F754" s="46">
        <f>emas!H758</f>
        <v>952230</v>
      </c>
    </row>
    <row r="755" spans="1:6" x14ac:dyDescent="0.3">
      <c r="A755" s="35">
        <f>inflasi!$G759</f>
        <v>45177</v>
      </c>
      <c r="B755" s="33">
        <f>inflasi!$H759</f>
        <v>2.2799999999999998</v>
      </c>
      <c r="C755" s="33">
        <f>'suku bunga'!$H759</f>
        <v>5.75</v>
      </c>
      <c r="D755" s="48">
        <f>'nilai tukar'!$H759</f>
        <v>15341</v>
      </c>
      <c r="E755" s="33">
        <f>'minyak mentah'!H759</f>
        <v>90.17</v>
      </c>
      <c r="F755" s="46">
        <f>emas!H759</f>
        <v>956700</v>
      </c>
    </row>
    <row r="756" spans="1:6" x14ac:dyDescent="0.3">
      <c r="A756" s="35">
        <f>inflasi!$G760</f>
        <v>45176</v>
      </c>
      <c r="B756" s="33">
        <f>inflasi!$H760</f>
        <v>2.2799999999999998</v>
      </c>
      <c r="C756" s="33">
        <f>'suku bunga'!$H760</f>
        <v>5.75</v>
      </c>
      <c r="D756" s="48">
        <f>'nilai tukar'!$H760</f>
        <v>15334</v>
      </c>
      <c r="E756" s="33">
        <f>'minyak mentah'!H760</f>
        <v>90.17</v>
      </c>
      <c r="F756" s="46">
        <f>emas!H760</f>
        <v>953220</v>
      </c>
    </row>
    <row r="757" spans="1:6" x14ac:dyDescent="0.3">
      <c r="A757" s="35">
        <f>inflasi!$G761</f>
        <v>45175</v>
      </c>
      <c r="B757" s="33">
        <f>inflasi!$H761</f>
        <v>2.2799999999999998</v>
      </c>
      <c r="C757" s="33">
        <f>'suku bunga'!$H761</f>
        <v>5.75</v>
      </c>
      <c r="D757" s="48">
        <f>'nilai tukar'!$H761</f>
        <v>15307</v>
      </c>
      <c r="E757" s="33">
        <f>'minyak mentah'!H761</f>
        <v>90.17</v>
      </c>
      <c r="F757" s="46">
        <f>emas!H761</f>
        <v>955250</v>
      </c>
    </row>
    <row r="758" spans="1:6" x14ac:dyDescent="0.3">
      <c r="A758" s="35">
        <f>inflasi!$G762</f>
        <v>45174</v>
      </c>
      <c r="B758" s="33">
        <f>inflasi!$H762</f>
        <v>2.2799999999999998</v>
      </c>
      <c r="C758" s="33">
        <f>'suku bunga'!$H762</f>
        <v>5.75</v>
      </c>
      <c r="D758" s="48">
        <f>'nilai tukar'!$H762</f>
        <v>15260</v>
      </c>
      <c r="E758" s="33">
        <f>'minyak mentah'!H762</f>
        <v>90.17</v>
      </c>
      <c r="F758" s="46">
        <f>emas!H762</f>
        <v>954210</v>
      </c>
    </row>
    <row r="759" spans="1:6" x14ac:dyDescent="0.3">
      <c r="A759" s="35">
        <f>inflasi!$G763</f>
        <v>45173</v>
      </c>
      <c r="B759" s="33">
        <f>inflasi!$H763</f>
        <v>2.2799999999999998</v>
      </c>
      <c r="C759" s="33">
        <f>'suku bunga'!$H763</f>
        <v>5.75</v>
      </c>
      <c r="D759" s="48">
        <f>'nilai tukar'!$H763</f>
        <v>15247</v>
      </c>
      <c r="E759" s="33">
        <f>'minyak mentah'!H763</f>
        <v>90.17</v>
      </c>
      <c r="F759" s="46">
        <f>emas!H763</f>
        <v>960180</v>
      </c>
    </row>
    <row r="760" spans="1:6" x14ac:dyDescent="0.3">
      <c r="A760" s="35">
        <f>inflasi!$G764</f>
        <v>45172</v>
      </c>
      <c r="B760" s="33">
        <f>inflasi!$H764</f>
        <v>2.2799999999999998</v>
      </c>
      <c r="C760" s="33">
        <f>'suku bunga'!$H764</f>
        <v>5.75</v>
      </c>
      <c r="D760" s="48">
        <f>'nilai tukar'!$H764</f>
        <v>15252</v>
      </c>
      <c r="E760" s="33">
        <f>'minyak mentah'!H764</f>
        <v>90.17</v>
      </c>
      <c r="F760" s="46">
        <f>emas!H764</f>
        <v>960180</v>
      </c>
    </row>
    <row r="761" spans="1:6" x14ac:dyDescent="0.3">
      <c r="A761" s="35">
        <f>inflasi!$G765</f>
        <v>45171</v>
      </c>
      <c r="B761" s="33">
        <f>inflasi!$H765</f>
        <v>2.2799999999999998</v>
      </c>
      <c r="C761" s="33">
        <f>'suku bunga'!$H765</f>
        <v>5.75</v>
      </c>
      <c r="D761" s="48">
        <f>'nilai tukar'!$H765</f>
        <v>15252</v>
      </c>
      <c r="E761" s="33">
        <f>'minyak mentah'!H765</f>
        <v>90.17</v>
      </c>
      <c r="F761" s="46">
        <f>emas!H765</f>
        <v>960180</v>
      </c>
    </row>
    <row r="762" spans="1:6" x14ac:dyDescent="0.3">
      <c r="A762" s="35">
        <f>inflasi!$G766</f>
        <v>45170</v>
      </c>
      <c r="B762" s="33">
        <f>inflasi!$H766</f>
        <v>2.2799999999999998</v>
      </c>
      <c r="C762" s="33">
        <f>'suku bunga'!$H766</f>
        <v>5.75</v>
      </c>
      <c r="D762" s="48">
        <f>'nilai tukar'!$H766</f>
        <v>15252</v>
      </c>
      <c r="E762" s="33">
        <f>'minyak mentah'!H766</f>
        <v>90.17</v>
      </c>
      <c r="F762" s="46">
        <f>emas!H766</f>
        <v>956700</v>
      </c>
    </row>
    <row r="763" spans="1:6" x14ac:dyDescent="0.3">
      <c r="A763" s="35">
        <f>inflasi!$G767</f>
        <v>45169</v>
      </c>
      <c r="B763" s="33">
        <f>inflasi!$H767</f>
        <v>3.27</v>
      </c>
      <c r="C763" s="33">
        <f>'suku bunga'!$H767</f>
        <v>5.75</v>
      </c>
      <c r="D763" s="48">
        <f>'nilai tukar'!$H767</f>
        <v>15237</v>
      </c>
      <c r="E763" s="33">
        <f>'minyak mentah'!H767</f>
        <v>82.59</v>
      </c>
      <c r="F763" s="46">
        <f>emas!H767</f>
        <v>960180</v>
      </c>
    </row>
    <row r="764" spans="1:6" x14ac:dyDescent="0.3">
      <c r="A764" s="35">
        <f>inflasi!$G768</f>
        <v>45168</v>
      </c>
      <c r="B764" s="33">
        <f>inflasi!$H768</f>
        <v>3.27</v>
      </c>
      <c r="C764" s="33">
        <f>'suku bunga'!$H768</f>
        <v>5.75</v>
      </c>
      <c r="D764" s="48">
        <f>'nilai tukar'!$H768</f>
        <v>15239</v>
      </c>
      <c r="E764" s="33">
        <f>'minyak mentah'!H768</f>
        <v>82.59</v>
      </c>
      <c r="F764" s="46">
        <f>emas!H768</f>
        <v>956200</v>
      </c>
    </row>
    <row r="765" spans="1:6" x14ac:dyDescent="0.3">
      <c r="A765" s="35">
        <f>inflasi!$G769</f>
        <v>45167</v>
      </c>
      <c r="B765" s="33">
        <f>inflasi!$H769</f>
        <v>3.27</v>
      </c>
      <c r="C765" s="33">
        <f>'suku bunga'!$H769</f>
        <v>5.75</v>
      </c>
      <c r="D765" s="48">
        <f>'nilai tukar'!$H769</f>
        <v>15263</v>
      </c>
      <c r="E765" s="33">
        <f>'minyak mentah'!H769</f>
        <v>82.59</v>
      </c>
      <c r="F765" s="46">
        <f>emas!H769</f>
        <v>952720</v>
      </c>
    </row>
    <row r="766" spans="1:6" x14ac:dyDescent="0.3">
      <c r="A766" s="35">
        <f>inflasi!$G770</f>
        <v>45166</v>
      </c>
      <c r="B766" s="33">
        <f>inflasi!$H770</f>
        <v>3.27</v>
      </c>
      <c r="C766" s="33">
        <f>'suku bunga'!$H770</f>
        <v>5.75</v>
      </c>
      <c r="D766" s="48">
        <f>'nilai tukar'!$H770</f>
        <v>15294</v>
      </c>
      <c r="E766" s="33">
        <f>'minyak mentah'!H770</f>
        <v>82.59</v>
      </c>
      <c r="F766" s="46">
        <f>emas!H770</f>
        <v>949740</v>
      </c>
    </row>
    <row r="767" spans="1:6" x14ac:dyDescent="0.3">
      <c r="A767" s="35">
        <f>inflasi!$G771</f>
        <v>45165</v>
      </c>
      <c r="B767" s="33">
        <f>inflasi!$H771</f>
        <v>3.27</v>
      </c>
      <c r="C767" s="33">
        <f>'suku bunga'!$H771</f>
        <v>5.75</v>
      </c>
      <c r="D767" s="48">
        <f>'nilai tukar'!$H771</f>
        <v>15297</v>
      </c>
      <c r="E767" s="33">
        <f>'minyak mentah'!H771</f>
        <v>82.59</v>
      </c>
      <c r="F767" s="46">
        <f>emas!H771</f>
        <v>949740</v>
      </c>
    </row>
    <row r="768" spans="1:6" x14ac:dyDescent="0.3">
      <c r="A768" s="35">
        <f>inflasi!$G772</f>
        <v>45164</v>
      </c>
      <c r="B768" s="33">
        <f>inflasi!$H772</f>
        <v>3.27</v>
      </c>
      <c r="C768" s="33">
        <f>'suku bunga'!$H772</f>
        <v>5.75</v>
      </c>
      <c r="D768" s="48">
        <f>'nilai tukar'!$H772</f>
        <v>15297</v>
      </c>
      <c r="E768" s="33">
        <f>'minyak mentah'!H772</f>
        <v>82.59</v>
      </c>
      <c r="F768" s="46">
        <f>emas!H772</f>
        <v>949740</v>
      </c>
    </row>
    <row r="769" spans="1:6" x14ac:dyDescent="0.3">
      <c r="A769" s="35">
        <f>inflasi!$G773</f>
        <v>45163</v>
      </c>
      <c r="B769" s="33">
        <f>inflasi!$H773</f>
        <v>3.27</v>
      </c>
      <c r="C769" s="33">
        <f>'suku bunga'!$H773</f>
        <v>5.75</v>
      </c>
      <c r="D769" s="48">
        <f>'nilai tukar'!$H773</f>
        <v>15297</v>
      </c>
      <c r="E769" s="33">
        <f>'minyak mentah'!H773</f>
        <v>82.59</v>
      </c>
      <c r="F769" s="46">
        <f>emas!H773</f>
        <v>944770</v>
      </c>
    </row>
    <row r="770" spans="1:6" x14ac:dyDescent="0.3">
      <c r="A770" s="35">
        <f>inflasi!$G774</f>
        <v>45162</v>
      </c>
      <c r="B770" s="33">
        <f>inflasi!$H774</f>
        <v>3.27</v>
      </c>
      <c r="C770" s="33">
        <f>'suku bunga'!$H774</f>
        <v>5.75</v>
      </c>
      <c r="D770" s="48">
        <f>'nilai tukar'!$H774</f>
        <v>15253</v>
      </c>
      <c r="E770" s="33">
        <f>'minyak mentah'!H774</f>
        <v>82.59</v>
      </c>
      <c r="F770" s="46">
        <f>emas!H774</f>
        <v>951730</v>
      </c>
    </row>
    <row r="771" spans="1:6" x14ac:dyDescent="0.3">
      <c r="A771" s="35">
        <f>inflasi!$G775</f>
        <v>45161</v>
      </c>
      <c r="B771" s="33">
        <f>inflasi!$H775</f>
        <v>3.27</v>
      </c>
      <c r="C771" s="33">
        <f>'suku bunga'!$H775</f>
        <v>5.75</v>
      </c>
      <c r="D771" s="48">
        <f>'nilai tukar'!$H775</f>
        <v>15319</v>
      </c>
      <c r="E771" s="33">
        <f>'minyak mentah'!H775</f>
        <v>82.59</v>
      </c>
      <c r="F771" s="46">
        <f>emas!H775</f>
        <v>943280</v>
      </c>
    </row>
    <row r="772" spans="1:6" x14ac:dyDescent="0.3">
      <c r="A772" s="35">
        <f>inflasi!$G776</f>
        <v>45160</v>
      </c>
      <c r="B772" s="33">
        <f>inflasi!$H776</f>
        <v>3.27</v>
      </c>
      <c r="C772" s="33">
        <f>'suku bunga'!$H776</f>
        <v>5.75</v>
      </c>
      <c r="D772" s="48">
        <f>'nilai tukar'!$H776</f>
        <v>15326</v>
      </c>
      <c r="E772" s="33">
        <f>'minyak mentah'!H776</f>
        <v>82.59</v>
      </c>
      <c r="F772" s="46">
        <f>emas!H776</f>
        <v>940300</v>
      </c>
    </row>
    <row r="773" spans="1:6" x14ac:dyDescent="0.3">
      <c r="A773" s="35">
        <f>inflasi!$G777</f>
        <v>45159</v>
      </c>
      <c r="B773" s="33">
        <f>inflasi!$H777</f>
        <v>3.27</v>
      </c>
      <c r="C773" s="33">
        <f>'suku bunga'!$H777</f>
        <v>5.75</v>
      </c>
      <c r="D773" s="48">
        <f>'nilai tukar'!$H777</f>
        <v>15329</v>
      </c>
      <c r="E773" s="33">
        <f>'minyak mentah'!H777</f>
        <v>82.59</v>
      </c>
      <c r="F773" s="46">
        <f>emas!H777</f>
        <v>938310</v>
      </c>
    </row>
    <row r="774" spans="1:6" x14ac:dyDescent="0.3">
      <c r="A774" s="35">
        <f>inflasi!$G778</f>
        <v>45158</v>
      </c>
      <c r="B774" s="33">
        <f>inflasi!$H778</f>
        <v>3.27</v>
      </c>
      <c r="C774" s="33">
        <f>'suku bunga'!$H778</f>
        <v>5.75</v>
      </c>
      <c r="D774" s="48">
        <f>'nilai tukar'!$H778</f>
        <v>15308</v>
      </c>
      <c r="E774" s="33">
        <f>'minyak mentah'!H778</f>
        <v>82.59</v>
      </c>
      <c r="F774" s="46">
        <f>emas!H778</f>
        <v>922000</v>
      </c>
    </row>
    <row r="775" spans="1:6" x14ac:dyDescent="0.3">
      <c r="A775" s="35">
        <f>inflasi!$G779</f>
        <v>45157</v>
      </c>
      <c r="B775" s="33">
        <f>inflasi!$H779</f>
        <v>3.27</v>
      </c>
      <c r="C775" s="33">
        <f>'suku bunga'!$H779</f>
        <v>5.75</v>
      </c>
      <c r="D775" s="48">
        <f>'nilai tukar'!$H779</f>
        <v>15308</v>
      </c>
      <c r="E775" s="33">
        <f>'minyak mentah'!H779</f>
        <v>82.59</v>
      </c>
      <c r="F775" s="46">
        <f>emas!H779</f>
        <v>922000</v>
      </c>
    </row>
    <row r="776" spans="1:6" x14ac:dyDescent="0.3">
      <c r="A776" s="35">
        <f>inflasi!$G780</f>
        <v>45156</v>
      </c>
      <c r="B776" s="33">
        <f>inflasi!$H780</f>
        <v>3.27</v>
      </c>
      <c r="C776" s="33">
        <f>'suku bunga'!$H780</f>
        <v>5.75</v>
      </c>
      <c r="D776" s="48">
        <f>'nilai tukar'!$H780</f>
        <v>15308</v>
      </c>
      <c r="E776" s="33">
        <f>'minyak mentah'!H780</f>
        <v>82.59</v>
      </c>
      <c r="F776" s="46">
        <f>emas!H780</f>
        <v>944780</v>
      </c>
    </row>
    <row r="777" spans="1:6" x14ac:dyDescent="0.3">
      <c r="A777" s="35">
        <f>inflasi!$G781</f>
        <v>45155</v>
      </c>
      <c r="B777" s="33">
        <f>inflasi!$H781</f>
        <v>3.27</v>
      </c>
      <c r="C777" s="33">
        <f>'suku bunga'!$H781</f>
        <v>5.75</v>
      </c>
      <c r="D777" s="48">
        <f>'nilai tukar'!$H781</f>
        <v>15308</v>
      </c>
      <c r="E777" s="33">
        <f>'minyak mentah'!H781</f>
        <v>82.59</v>
      </c>
      <c r="F777" s="46">
        <f>emas!H781</f>
        <v>952230</v>
      </c>
    </row>
    <row r="778" spans="1:6" x14ac:dyDescent="0.3">
      <c r="A778" s="35">
        <f>inflasi!$G782</f>
        <v>45154</v>
      </c>
      <c r="B778" s="33">
        <f>inflasi!$H782</f>
        <v>3.27</v>
      </c>
      <c r="C778" s="33">
        <f>'suku bunga'!$H782</f>
        <v>5.75</v>
      </c>
      <c r="D778" s="48">
        <f>'nilai tukar'!$H782</f>
        <v>15308</v>
      </c>
      <c r="E778" s="33">
        <f>'minyak mentah'!H782</f>
        <v>82.59</v>
      </c>
      <c r="F778" s="46">
        <f>emas!H782</f>
        <v>952230</v>
      </c>
    </row>
    <row r="779" spans="1:6" x14ac:dyDescent="0.3">
      <c r="A779" s="35">
        <f>inflasi!$G783</f>
        <v>45153</v>
      </c>
      <c r="B779" s="33">
        <f>inflasi!$H783</f>
        <v>3.27</v>
      </c>
      <c r="C779" s="33">
        <f>'suku bunga'!$H783</f>
        <v>5.75</v>
      </c>
      <c r="D779" s="48">
        <f>'nilai tukar'!$H783</f>
        <v>15346</v>
      </c>
      <c r="E779" s="33">
        <f>'minyak mentah'!H783</f>
        <v>82.59</v>
      </c>
      <c r="F779" s="46">
        <f>emas!H783</f>
        <v>945770</v>
      </c>
    </row>
    <row r="780" spans="1:6" x14ac:dyDescent="0.3">
      <c r="A780" s="35">
        <f>inflasi!$G784</f>
        <v>45152</v>
      </c>
      <c r="B780" s="33">
        <f>inflasi!$H784</f>
        <v>3.27</v>
      </c>
      <c r="C780" s="33">
        <f>'suku bunga'!$H784</f>
        <v>5.75</v>
      </c>
      <c r="D780" s="48">
        <f>'nilai tukar'!$H784</f>
        <v>15323</v>
      </c>
      <c r="E780" s="33">
        <f>'minyak mentah'!H784</f>
        <v>82.59</v>
      </c>
      <c r="F780" s="46">
        <f>emas!H784</f>
        <v>951730</v>
      </c>
    </row>
    <row r="781" spans="1:6" x14ac:dyDescent="0.3">
      <c r="A781" s="35">
        <f>inflasi!$G785</f>
        <v>45151</v>
      </c>
      <c r="B781" s="33">
        <f>inflasi!$H785</f>
        <v>3.27</v>
      </c>
      <c r="C781" s="33">
        <f>'suku bunga'!$H785</f>
        <v>5.75</v>
      </c>
      <c r="D781" s="48">
        <f>'nilai tukar'!$H785</f>
        <v>15225</v>
      </c>
      <c r="E781" s="33">
        <f>'minyak mentah'!H785</f>
        <v>82.59</v>
      </c>
      <c r="F781" s="46">
        <f>emas!H785</f>
        <v>945770</v>
      </c>
    </row>
    <row r="782" spans="1:6" x14ac:dyDescent="0.3">
      <c r="A782" s="35">
        <f>inflasi!$G786</f>
        <v>45150</v>
      </c>
      <c r="B782" s="33">
        <f>inflasi!$H786</f>
        <v>3.27</v>
      </c>
      <c r="C782" s="33">
        <f>'suku bunga'!$H786</f>
        <v>5.75</v>
      </c>
      <c r="D782" s="48">
        <f>'nilai tukar'!$H786</f>
        <v>15225</v>
      </c>
      <c r="E782" s="33">
        <f>'minyak mentah'!H786</f>
        <v>82.59</v>
      </c>
      <c r="F782" s="46">
        <f>emas!H786</f>
        <v>945770</v>
      </c>
    </row>
    <row r="783" spans="1:6" x14ac:dyDescent="0.3">
      <c r="A783" s="35">
        <f>inflasi!$G787</f>
        <v>45149</v>
      </c>
      <c r="B783" s="33">
        <f>inflasi!$H787</f>
        <v>3.27</v>
      </c>
      <c r="C783" s="33">
        <f>'suku bunga'!$H787</f>
        <v>5.75</v>
      </c>
      <c r="D783" s="48">
        <f>'nilai tukar'!$H787</f>
        <v>15225</v>
      </c>
      <c r="E783" s="33">
        <f>'minyak mentah'!H787</f>
        <v>82.59</v>
      </c>
      <c r="F783" s="46">
        <f>emas!H787</f>
        <v>945770</v>
      </c>
    </row>
    <row r="784" spans="1:6" x14ac:dyDescent="0.3">
      <c r="A784" s="35">
        <f>inflasi!$G788</f>
        <v>45148</v>
      </c>
      <c r="B784" s="33">
        <f>inflasi!$H788</f>
        <v>3.27</v>
      </c>
      <c r="C784" s="33">
        <f>'suku bunga'!$H788</f>
        <v>5.75</v>
      </c>
      <c r="D784" s="48">
        <f>'nilai tukar'!$H788</f>
        <v>15204</v>
      </c>
      <c r="E784" s="33">
        <f>'minyak mentah'!H788</f>
        <v>82.59</v>
      </c>
      <c r="F784" s="46">
        <f>emas!H788</f>
        <v>942780</v>
      </c>
    </row>
    <row r="785" spans="1:6" x14ac:dyDescent="0.3">
      <c r="A785" s="35">
        <f>inflasi!$G789</f>
        <v>45147</v>
      </c>
      <c r="B785" s="33">
        <f>inflasi!$H789</f>
        <v>3.27</v>
      </c>
      <c r="C785" s="33">
        <f>'suku bunga'!$H789</f>
        <v>5.75</v>
      </c>
      <c r="D785" s="48">
        <f>'nilai tukar'!$H789</f>
        <v>15206</v>
      </c>
      <c r="E785" s="33">
        <f>'minyak mentah'!H789</f>
        <v>82.59</v>
      </c>
      <c r="F785" s="46">
        <f>emas!H789</f>
        <v>949240</v>
      </c>
    </row>
    <row r="786" spans="1:6" x14ac:dyDescent="0.3">
      <c r="A786" s="35">
        <f>inflasi!$G790</f>
        <v>45146</v>
      </c>
      <c r="B786" s="33">
        <f>inflasi!$H790</f>
        <v>3.27</v>
      </c>
      <c r="C786" s="33">
        <f>'suku bunga'!$H790</f>
        <v>5.75</v>
      </c>
      <c r="D786" s="48">
        <f>'nilai tukar'!$H790</f>
        <v>15229</v>
      </c>
      <c r="E786" s="33">
        <f>'minyak mentah'!H790</f>
        <v>82.59</v>
      </c>
      <c r="F786" s="46">
        <f>emas!H790</f>
        <v>952720</v>
      </c>
    </row>
    <row r="787" spans="1:6" x14ac:dyDescent="0.3">
      <c r="A787" s="35">
        <f>inflasi!$G791</f>
        <v>45145</v>
      </c>
      <c r="B787" s="33">
        <f>inflasi!$H791</f>
        <v>3.27</v>
      </c>
      <c r="C787" s="33">
        <f>'suku bunga'!$H791</f>
        <v>5.75</v>
      </c>
      <c r="D787" s="48">
        <f>'nilai tukar'!$H791</f>
        <v>15178</v>
      </c>
      <c r="E787" s="33">
        <f>'minyak mentah'!H791</f>
        <v>82.59</v>
      </c>
      <c r="F787" s="46">
        <f>emas!H791</f>
        <v>952230</v>
      </c>
    </row>
    <row r="788" spans="1:6" x14ac:dyDescent="0.3">
      <c r="A788" s="35">
        <f>inflasi!$G792</f>
        <v>45144</v>
      </c>
      <c r="B788" s="33">
        <f>inflasi!$H792</f>
        <v>3.27</v>
      </c>
      <c r="C788" s="33">
        <f>'suku bunga'!$H792</f>
        <v>5.75</v>
      </c>
      <c r="D788" s="48">
        <f>'nilai tukar'!$H792</f>
        <v>15168</v>
      </c>
      <c r="E788" s="33">
        <f>'minyak mentah'!H792</f>
        <v>82.59</v>
      </c>
      <c r="F788" s="46">
        <f>emas!H792</f>
        <v>952230</v>
      </c>
    </row>
    <row r="789" spans="1:6" x14ac:dyDescent="0.3">
      <c r="A789" s="35">
        <f>inflasi!$G793</f>
        <v>45143</v>
      </c>
      <c r="B789" s="33">
        <f>inflasi!$H793</f>
        <v>3.27</v>
      </c>
      <c r="C789" s="33">
        <f>'suku bunga'!$H793</f>
        <v>5.75</v>
      </c>
      <c r="D789" s="48">
        <f>'nilai tukar'!$H793</f>
        <v>15168</v>
      </c>
      <c r="E789" s="33">
        <f>'minyak mentah'!H793</f>
        <v>82.59</v>
      </c>
      <c r="F789" s="46">
        <f>emas!H793</f>
        <v>952230</v>
      </c>
    </row>
    <row r="790" spans="1:6" x14ac:dyDescent="0.3">
      <c r="A790" s="35">
        <f>inflasi!$G794</f>
        <v>45142</v>
      </c>
      <c r="B790" s="33">
        <f>inflasi!$H794</f>
        <v>3.27</v>
      </c>
      <c r="C790" s="33">
        <f>'suku bunga'!$H794</f>
        <v>5.75</v>
      </c>
      <c r="D790" s="48">
        <f>'nilai tukar'!$H794</f>
        <v>15168</v>
      </c>
      <c r="E790" s="33">
        <f>'minyak mentah'!H794</f>
        <v>82.59</v>
      </c>
      <c r="F790" s="46">
        <f>emas!H794</f>
        <v>948750</v>
      </c>
    </row>
    <row r="791" spans="1:6" x14ac:dyDescent="0.3">
      <c r="A791" s="35">
        <f>inflasi!$G795</f>
        <v>45141</v>
      </c>
      <c r="B791" s="33">
        <f>inflasi!$H795</f>
        <v>3.27</v>
      </c>
      <c r="C791" s="33">
        <f>'suku bunga'!$H795</f>
        <v>5.75</v>
      </c>
      <c r="D791" s="48">
        <f>'nilai tukar'!$H795</f>
        <v>15198</v>
      </c>
      <c r="E791" s="33">
        <f>'minyak mentah'!H795</f>
        <v>82.59</v>
      </c>
      <c r="F791" s="46">
        <f>emas!H795</f>
        <v>949240</v>
      </c>
    </row>
    <row r="792" spans="1:6" x14ac:dyDescent="0.3">
      <c r="A792" s="35">
        <f>inflasi!$G796</f>
        <v>45140</v>
      </c>
      <c r="B792" s="33">
        <f>inflasi!$H796</f>
        <v>3.27</v>
      </c>
      <c r="C792" s="33">
        <f>'suku bunga'!$H796</f>
        <v>5.75</v>
      </c>
      <c r="D792" s="48">
        <f>'nilai tukar'!$H796</f>
        <v>15171</v>
      </c>
      <c r="E792" s="33">
        <f>'minyak mentah'!H796</f>
        <v>82.59</v>
      </c>
      <c r="F792" s="46">
        <f>emas!H796</f>
        <v>955710</v>
      </c>
    </row>
    <row r="793" spans="1:6" x14ac:dyDescent="0.3">
      <c r="A793" s="35">
        <f>inflasi!$G797</f>
        <v>45139</v>
      </c>
      <c r="B793" s="33">
        <f>inflasi!$H797</f>
        <v>3.27</v>
      </c>
      <c r="C793" s="33">
        <f>'suku bunga'!$H797</f>
        <v>5.75</v>
      </c>
      <c r="D793" s="48">
        <f>'nilai tukar'!$H797</f>
        <v>15117</v>
      </c>
      <c r="E793" s="33">
        <f>'minyak mentah'!H797</f>
        <v>82.59</v>
      </c>
      <c r="F793" s="46">
        <f>emas!H797</f>
        <v>964150</v>
      </c>
    </row>
    <row r="794" spans="1:6" x14ac:dyDescent="0.3">
      <c r="A794" s="35">
        <f>inflasi!$G798</f>
        <v>45138</v>
      </c>
      <c r="B794" s="33">
        <f>inflasi!$H798</f>
        <v>3.08</v>
      </c>
      <c r="C794" s="33">
        <f>'suku bunga'!$H798</f>
        <v>5.75</v>
      </c>
      <c r="D794" s="48">
        <f>'nilai tukar'!$H798</f>
        <v>15092</v>
      </c>
      <c r="E794" s="33">
        <f>'minyak mentah'!H798</f>
        <v>71.31</v>
      </c>
      <c r="F794" s="46">
        <f>emas!H798</f>
        <v>948750</v>
      </c>
    </row>
    <row r="795" spans="1:6" x14ac:dyDescent="0.3">
      <c r="A795" s="35">
        <f>inflasi!$G799</f>
        <v>45137</v>
      </c>
      <c r="B795" s="33">
        <f>inflasi!$H799</f>
        <v>3.08</v>
      </c>
      <c r="C795" s="33">
        <f>'suku bunga'!$H799</f>
        <v>5.75</v>
      </c>
      <c r="D795" s="48">
        <f>'nilai tukar'!$H799</f>
        <v>15083</v>
      </c>
      <c r="E795" s="33">
        <f>'minyak mentah'!H799</f>
        <v>71.31</v>
      </c>
      <c r="F795" s="46">
        <f>emas!H799</f>
        <v>949800</v>
      </c>
    </row>
    <row r="796" spans="1:6" x14ac:dyDescent="0.3">
      <c r="A796" s="35">
        <f>inflasi!$G800</f>
        <v>45136</v>
      </c>
      <c r="B796" s="33">
        <f>inflasi!$H800</f>
        <v>3.08</v>
      </c>
      <c r="C796" s="33">
        <f>'suku bunga'!$H800</f>
        <v>5.75</v>
      </c>
      <c r="D796" s="48">
        <f>'nilai tukar'!$H800</f>
        <v>15083</v>
      </c>
      <c r="E796" s="33">
        <f>'minyak mentah'!H800</f>
        <v>71.31</v>
      </c>
      <c r="F796" s="46">
        <f>emas!H800</f>
        <v>949800</v>
      </c>
    </row>
    <row r="797" spans="1:6" x14ac:dyDescent="0.3">
      <c r="A797" s="35">
        <f>inflasi!$G801</f>
        <v>45135</v>
      </c>
      <c r="B797" s="33">
        <f>inflasi!$H801</f>
        <v>3.08</v>
      </c>
      <c r="C797" s="33">
        <f>'suku bunga'!$H801</f>
        <v>5.75</v>
      </c>
      <c r="D797" s="48">
        <f>'nilai tukar'!$H801</f>
        <v>15083</v>
      </c>
      <c r="E797" s="33">
        <f>'minyak mentah'!H801</f>
        <v>71.31</v>
      </c>
      <c r="F797" s="46">
        <f>emas!H801</f>
        <v>945770</v>
      </c>
    </row>
    <row r="798" spans="1:6" x14ac:dyDescent="0.3">
      <c r="A798" s="35">
        <f>inflasi!$G802</f>
        <v>45134</v>
      </c>
      <c r="B798" s="33">
        <f>inflasi!$H802</f>
        <v>3.08</v>
      </c>
      <c r="C798" s="33">
        <f>'suku bunga'!$H802</f>
        <v>5.75</v>
      </c>
      <c r="D798" s="48">
        <f>'nilai tukar'!$H802</f>
        <v>15003</v>
      </c>
      <c r="E798" s="33">
        <f>'minyak mentah'!H802</f>
        <v>71.31</v>
      </c>
      <c r="F798" s="46">
        <f>emas!H802</f>
        <v>961670</v>
      </c>
    </row>
    <row r="799" spans="1:6" x14ac:dyDescent="0.3">
      <c r="A799" s="35">
        <f>inflasi!$G803</f>
        <v>45133</v>
      </c>
      <c r="B799" s="33">
        <f>inflasi!$H803</f>
        <v>3.08</v>
      </c>
      <c r="C799" s="33">
        <f>'suku bunga'!$H803</f>
        <v>5.75</v>
      </c>
      <c r="D799" s="48">
        <f>'nilai tukar'!$H803</f>
        <v>15032</v>
      </c>
      <c r="E799" s="33">
        <f>'minyak mentah'!H803</f>
        <v>71.31</v>
      </c>
      <c r="F799" s="46">
        <f>emas!H803</f>
        <v>960680</v>
      </c>
    </row>
    <row r="800" spans="1:6" x14ac:dyDescent="0.3">
      <c r="A800" s="35">
        <f>inflasi!$G804</f>
        <v>45132</v>
      </c>
      <c r="B800" s="33">
        <f>inflasi!$H804</f>
        <v>3.08</v>
      </c>
      <c r="C800" s="33">
        <f>'suku bunga'!$H804</f>
        <v>5.75</v>
      </c>
      <c r="D800" s="48">
        <f>'nilai tukar'!$H804</f>
        <v>15007</v>
      </c>
      <c r="E800" s="33">
        <f>'minyak mentah'!H804</f>
        <v>71.31</v>
      </c>
      <c r="F800" s="46">
        <f>emas!H804</f>
        <v>956700</v>
      </c>
    </row>
    <row r="801" spans="1:6" x14ac:dyDescent="0.3">
      <c r="A801" s="35">
        <f>inflasi!$G805</f>
        <v>45131</v>
      </c>
      <c r="B801" s="33">
        <f>inflasi!$H805</f>
        <v>3.08</v>
      </c>
      <c r="C801" s="33">
        <f>'suku bunga'!$H805</f>
        <v>5.75</v>
      </c>
      <c r="D801" s="48">
        <f>'nilai tukar'!$H805</f>
        <v>15028</v>
      </c>
      <c r="E801" s="33">
        <f>'minyak mentah'!H805</f>
        <v>71.31</v>
      </c>
      <c r="F801" s="46">
        <f>emas!H805</f>
        <v>961170</v>
      </c>
    </row>
    <row r="802" spans="1:6" x14ac:dyDescent="0.3">
      <c r="A802" s="35">
        <f>inflasi!$G806</f>
        <v>45130</v>
      </c>
      <c r="B802" s="33">
        <f>inflasi!$H806</f>
        <v>3.08</v>
      </c>
      <c r="C802" s="33">
        <f>'suku bunga'!$H806</f>
        <v>5.75</v>
      </c>
      <c r="D802" s="48">
        <f>'nilai tukar'!$H806</f>
        <v>15026</v>
      </c>
      <c r="E802" s="33">
        <f>'minyak mentah'!H806</f>
        <v>71.31</v>
      </c>
      <c r="F802" s="46">
        <f>emas!H806</f>
        <v>964150</v>
      </c>
    </row>
    <row r="803" spans="1:6" x14ac:dyDescent="0.3">
      <c r="A803" s="35">
        <f>inflasi!$G807</f>
        <v>45129</v>
      </c>
      <c r="B803" s="33">
        <f>inflasi!$H807</f>
        <v>3.08</v>
      </c>
      <c r="C803" s="33">
        <f>'suku bunga'!$H807</f>
        <v>5.75</v>
      </c>
      <c r="D803" s="48">
        <f>'nilai tukar'!$H807</f>
        <v>15026</v>
      </c>
      <c r="E803" s="33">
        <f>'minyak mentah'!H807</f>
        <v>71.31</v>
      </c>
      <c r="F803" s="46">
        <f>emas!H807</f>
        <v>964150</v>
      </c>
    </row>
    <row r="804" spans="1:6" x14ac:dyDescent="0.3">
      <c r="A804" s="35">
        <f>inflasi!$G808</f>
        <v>45128</v>
      </c>
      <c r="B804" s="33">
        <f>inflasi!$H808</f>
        <v>3.08</v>
      </c>
      <c r="C804" s="33">
        <f>'suku bunga'!$H808</f>
        <v>5.75</v>
      </c>
      <c r="D804" s="48">
        <f>'nilai tukar'!$H808</f>
        <v>15026</v>
      </c>
      <c r="E804" s="33">
        <f>'minyak mentah'!H808</f>
        <v>71.31</v>
      </c>
      <c r="F804" s="46">
        <f>emas!H808</f>
        <v>963660</v>
      </c>
    </row>
    <row r="805" spans="1:6" x14ac:dyDescent="0.3">
      <c r="A805" s="35">
        <f>inflasi!$G809</f>
        <v>45127</v>
      </c>
      <c r="B805" s="33">
        <f>inflasi!$H809</f>
        <v>3.08</v>
      </c>
      <c r="C805" s="33">
        <f>'suku bunga'!$H809</f>
        <v>5.75</v>
      </c>
      <c r="D805" s="48">
        <f>'nilai tukar'!$H809</f>
        <v>14991</v>
      </c>
      <c r="E805" s="33">
        <f>'minyak mentah'!H809</f>
        <v>71.31</v>
      </c>
      <c r="F805" s="46">
        <f>emas!H809</f>
        <v>967140</v>
      </c>
    </row>
    <row r="806" spans="1:6" x14ac:dyDescent="0.3">
      <c r="A806" s="35">
        <f>inflasi!$G810</f>
        <v>45126</v>
      </c>
      <c r="B806" s="33">
        <f>inflasi!$H810</f>
        <v>3.08</v>
      </c>
      <c r="C806" s="33">
        <f>'suku bunga'!$H810</f>
        <v>5.75</v>
      </c>
      <c r="D806" s="48">
        <f>'nilai tukar'!$H810</f>
        <v>14994</v>
      </c>
      <c r="E806" s="33">
        <f>'minyak mentah'!H810</f>
        <v>71.31</v>
      </c>
      <c r="F806" s="46">
        <f>emas!H810</f>
        <v>961180</v>
      </c>
    </row>
    <row r="807" spans="1:6" x14ac:dyDescent="0.3">
      <c r="A807" s="35">
        <f>inflasi!$G811</f>
        <v>45125</v>
      </c>
      <c r="B807" s="33">
        <f>inflasi!$H811</f>
        <v>3.08</v>
      </c>
      <c r="C807" s="33">
        <f>'suku bunga'!$H811</f>
        <v>5.75</v>
      </c>
      <c r="D807" s="48">
        <f>'nilai tukar'!$H811</f>
        <v>14994</v>
      </c>
      <c r="E807" s="33">
        <f>'minyak mentah'!H811</f>
        <v>71.31</v>
      </c>
      <c r="F807" s="46">
        <f>emas!H811</f>
        <v>961180</v>
      </c>
    </row>
    <row r="808" spans="1:6" x14ac:dyDescent="0.3">
      <c r="A808" s="35">
        <f>inflasi!$G812</f>
        <v>45124</v>
      </c>
      <c r="B808" s="33">
        <f>inflasi!$H812</f>
        <v>3.08</v>
      </c>
      <c r="C808" s="33">
        <f>'suku bunga'!$H812</f>
        <v>5.75</v>
      </c>
      <c r="D808" s="48">
        <f>'nilai tukar'!$H812</f>
        <v>15007</v>
      </c>
      <c r="E808" s="33">
        <f>'minyak mentah'!H812</f>
        <v>71.31</v>
      </c>
      <c r="F808" s="46">
        <f>emas!H812</f>
        <v>966170</v>
      </c>
    </row>
    <row r="809" spans="1:6" x14ac:dyDescent="0.3">
      <c r="A809" s="35">
        <f>inflasi!$G813</f>
        <v>45123</v>
      </c>
      <c r="B809" s="33">
        <f>inflasi!$H813</f>
        <v>3.08</v>
      </c>
      <c r="C809" s="33">
        <f>'suku bunga'!$H813</f>
        <v>5.75</v>
      </c>
      <c r="D809" s="48">
        <f>'nilai tukar'!$H813</f>
        <v>14945</v>
      </c>
      <c r="E809" s="33">
        <f>'minyak mentah'!H813</f>
        <v>71.31</v>
      </c>
      <c r="F809" s="46">
        <f>emas!H813</f>
        <v>962660</v>
      </c>
    </row>
    <row r="810" spans="1:6" x14ac:dyDescent="0.3">
      <c r="A810" s="35">
        <f>inflasi!$G814</f>
        <v>45122</v>
      </c>
      <c r="B810" s="33">
        <f>inflasi!$H814</f>
        <v>3.08</v>
      </c>
      <c r="C810" s="33">
        <f>'suku bunga'!$H814</f>
        <v>5.75</v>
      </c>
      <c r="D810" s="48">
        <f>'nilai tukar'!$H814</f>
        <v>14945</v>
      </c>
      <c r="E810" s="33">
        <f>'minyak mentah'!H814</f>
        <v>71.31</v>
      </c>
      <c r="F810" s="46">
        <f>emas!H814</f>
        <v>962660</v>
      </c>
    </row>
    <row r="811" spans="1:6" x14ac:dyDescent="0.3">
      <c r="A811" s="35">
        <f>inflasi!$G815</f>
        <v>45121</v>
      </c>
      <c r="B811" s="33">
        <f>inflasi!$H815</f>
        <v>3.08</v>
      </c>
      <c r="C811" s="33">
        <f>'suku bunga'!$H815</f>
        <v>5.75</v>
      </c>
      <c r="D811" s="48">
        <f>'nilai tukar'!$H815</f>
        <v>14945</v>
      </c>
      <c r="E811" s="33">
        <f>'minyak mentah'!H815</f>
        <v>71.31</v>
      </c>
      <c r="F811" s="46">
        <f>emas!H815</f>
        <v>962660</v>
      </c>
    </row>
    <row r="812" spans="1:6" x14ac:dyDescent="0.3">
      <c r="A812" s="35">
        <f>inflasi!$G816</f>
        <v>45120</v>
      </c>
      <c r="B812" s="33">
        <f>inflasi!$H816</f>
        <v>3.08</v>
      </c>
      <c r="C812" s="33">
        <f>'suku bunga'!$H816</f>
        <v>5.75</v>
      </c>
      <c r="D812" s="48">
        <f>'nilai tukar'!$H816</f>
        <v>14978</v>
      </c>
      <c r="E812" s="33">
        <f>'minyak mentah'!H816</f>
        <v>71.31</v>
      </c>
      <c r="F812" s="46">
        <f>emas!H816</f>
        <v>959680</v>
      </c>
    </row>
    <row r="813" spans="1:6" x14ac:dyDescent="0.3">
      <c r="A813" s="35">
        <f>inflasi!$G817</f>
        <v>45119</v>
      </c>
      <c r="B813" s="33">
        <f>inflasi!$H817</f>
        <v>3.08</v>
      </c>
      <c r="C813" s="33">
        <f>'suku bunga'!$H817</f>
        <v>5.75</v>
      </c>
      <c r="D813" s="48">
        <f>'nilai tukar'!$H817</f>
        <v>15084</v>
      </c>
      <c r="E813" s="33">
        <f>'minyak mentah'!H817</f>
        <v>71.31</v>
      </c>
      <c r="F813" s="46">
        <f>emas!H817</f>
        <v>963660</v>
      </c>
    </row>
    <row r="814" spans="1:6" x14ac:dyDescent="0.3">
      <c r="A814" s="35">
        <f>inflasi!$G818</f>
        <v>45118</v>
      </c>
      <c r="B814" s="33">
        <f>inflasi!$H818</f>
        <v>3.08</v>
      </c>
      <c r="C814" s="33">
        <f>'suku bunga'!$H818</f>
        <v>5.75</v>
      </c>
      <c r="D814" s="48">
        <f>'nilai tukar'!$H818</f>
        <v>15162</v>
      </c>
      <c r="E814" s="33">
        <f>'minyak mentah'!H818</f>
        <v>71.31</v>
      </c>
      <c r="F814" s="46">
        <f>emas!H818</f>
        <v>953220</v>
      </c>
    </row>
    <row r="815" spans="1:6" x14ac:dyDescent="0.3">
      <c r="A815" s="35">
        <f>inflasi!$G819</f>
        <v>45117</v>
      </c>
      <c r="B815" s="33">
        <f>inflasi!$H819</f>
        <v>3.08</v>
      </c>
      <c r="C815" s="33">
        <f>'suku bunga'!$H819</f>
        <v>5.75</v>
      </c>
      <c r="D815" s="48">
        <f>'nilai tukar'!$H819</f>
        <v>15192</v>
      </c>
      <c r="E815" s="33">
        <f>'minyak mentah'!H819</f>
        <v>71.31</v>
      </c>
      <c r="F815" s="46">
        <f>emas!H819</f>
        <v>951230</v>
      </c>
    </row>
    <row r="816" spans="1:6" x14ac:dyDescent="0.3">
      <c r="A816" s="35">
        <f>inflasi!$G820</f>
        <v>45116</v>
      </c>
      <c r="B816" s="33">
        <f>inflasi!$H820</f>
        <v>3.08</v>
      </c>
      <c r="C816" s="33">
        <f>'suku bunga'!$H820</f>
        <v>5.75</v>
      </c>
      <c r="D816" s="48">
        <f>'nilai tukar'!$H820</f>
        <v>15136</v>
      </c>
      <c r="E816" s="33">
        <f>'minyak mentah'!H820</f>
        <v>71.31</v>
      </c>
      <c r="F816" s="46">
        <f>emas!H820</f>
        <v>952720</v>
      </c>
    </row>
    <row r="817" spans="1:6" x14ac:dyDescent="0.3">
      <c r="A817" s="35">
        <f>inflasi!$G821</f>
        <v>45115</v>
      </c>
      <c r="B817" s="33">
        <f>inflasi!$H821</f>
        <v>3.08</v>
      </c>
      <c r="C817" s="33">
        <f>'suku bunga'!$H821</f>
        <v>5.75</v>
      </c>
      <c r="D817" s="48">
        <f>'nilai tukar'!$H821</f>
        <v>15136</v>
      </c>
      <c r="E817" s="33">
        <f>'minyak mentah'!H821</f>
        <v>71.31</v>
      </c>
      <c r="F817" s="46">
        <f>emas!H821</f>
        <v>952720</v>
      </c>
    </row>
    <row r="818" spans="1:6" x14ac:dyDescent="0.3">
      <c r="A818" s="35">
        <f>inflasi!$G822</f>
        <v>45114</v>
      </c>
      <c r="B818" s="33">
        <f>inflasi!$H822</f>
        <v>3.08</v>
      </c>
      <c r="C818" s="33">
        <f>'suku bunga'!$H822</f>
        <v>5.75</v>
      </c>
      <c r="D818" s="48">
        <f>'nilai tukar'!$H822</f>
        <v>15136</v>
      </c>
      <c r="E818" s="33">
        <f>'minyak mentah'!H822</f>
        <v>71.31</v>
      </c>
      <c r="F818" s="46">
        <f>emas!H822</f>
        <v>947750</v>
      </c>
    </row>
    <row r="819" spans="1:6" x14ac:dyDescent="0.3">
      <c r="A819" s="35">
        <f>inflasi!$G823</f>
        <v>45113</v>
      </c>
      <c r="B819" s="33">
        <f>inflasi!$H823</f>
        <v>3.08</v>
      </c>
      <c r="C819" s="33">
        <f>'suku bunga'!$H823</f>
        <v>5.75</v>
      </c>
      <c r="D819" s="48">
        <f>'nilai tukar'!$H823</f>
        <v>15062</v>
      </c>
      <c r="E819" s="33">
        <f>'minyak mentah'!H823</f>
        <v>71.31</v>
      </c>
      <c r="F819" s="46">
        <f>emas!H823</f>
        <v>946760</v>
      </c>
    </row>
    <row r="820" spans="1:6" x14ac:dyDescent="0.3">
      <c r="A820" s="35">
        <f>inflasi!$G824</f>
        <v>45112</v>
      </c>
      <c r="B820" s="33">
        <f>inflasi!$H824</f>
        <v>3.08</v>
      </c>
      <c r="C820" s="33">
        <f>'suku bunga'!$H824</f>
        <v>5.75</v>
      </c>
      <c r="D820" s="48">
        <f>'nilai tukar'!$H824</f>
        <v>15013</v>
      </c>
      <c r="E820" s="33">
        <f>'minyak mentah'!H824</f>
        <v>71.31</v>
      </c>
      <c r="F820" s="46">
        <f>emas!H824</f>
        <v>946760</v>
      </c>
    </row>
    <row r="821" spans="1:6" x14ac:dyDescent="0.3">
      <c r="A821" s="35">
        <f>inflasi!$G825</f>
        <v>45111</v>
      </c>
      <c r="B821" s="33">
        <f>inflasi!$H825</f>
        <v>3.08</v>
      </c>
      <c r="C821" s="33">
        <f>'suku bunga'!$H825</f>
        <v>5.75</v>
      </c>
      <c r="D821" s="48">
        <f>'nilai tukar'!$H825</f>
        <v>15018</v>
      </c>
      <c r="E821" s="33">
        <f>'minyak mentah'!H825</f>
        <v>71.31</v>
      </c>
      <c r="F821" s="46">
        <f>emas!H825</f>
        <v>945770</v>
      </c>
    </row>
    <row r="822" spans="1:6" x14ac:dyDescent="0.3">
      <c r="A822" s="35">
        <f>inflasi!$G826</f>
        <v>45110</v>
      </c>
      <c r="B822" s="33">
        <f>inflasi!$H826</f>
        <v>3.08</v>
      </c>
      <c r="C822" s="33">
        <f>'suku bunga'!$H826</f>
        <v>5.75</v>
      </c>
      <c r="D822" s="48">
        <f>'nilai tukar'!$H826</f>
        <v>15034</v>
      </c>
      <c r="E822" s="33">
        <f>'minyak mentah'!H826</f>
        <v>71.31</v>
      </c>
      <c r="F822" s="46">
        <f>emas!H826</f>
        <v>943280</v>
      </c>
    </row>
    <row r="823" spans="1:6" x14ac:dyDescent="0.3">
      <c r="A823" s="35">
        <f>inflasi!$G827</f>
        <v>45109</v>
      </c>
      <c r="B823" s="33">
        <f>inflasi!$H827</f>
        <v>3.08</v>
      </c>
      <c r="C823" s="33">
        <f>'suku bunga'!$H827</f>
        <v>5.75</v>
      </c>
      <c r="D823" s="48">
        <f>'nilai tukar'!$H827</f>
        <v>15000</v>
      </c>
      <c r="E823" s="33">
        <f>'minyak mentah'!H827</f>
        <v>71.31</v>
      </c>
      <c r="F823" s="46">
        <f>emas!H827</f>
        <v>943780</v>
      </c>
    </row>
    <row r="824" spans="1:6" x14ac:dyDescent="0.3">
      <c r="A824" s="35">
        <f>inflasi!$G828</f>
        <v>45108</v>
      </c>
      <c r="B824" s="33">
        <f>inflasi!$H828</f>
        <v>3.08</v>
      </c>
      <c r="C824" s="33">
        <f>'suku bunga'!$H828</f>
        <v>5.75</v>
      </c>
      <c r="D824" s="48">
        <f>'nilai tukar'!$H828</f>
        <v>15000</v>
      </c>
      <c r="E824" s="33">
        <f>'minyak mentah'!H828</f>
        <v>71.31</v>
      </c>
      <c r="F824" s="46">
        <f>emas!H828</f>
        <v>943780</v>
      </c>
    </row>
    <row r="825" spans="1:6" x14ac:dyDescent="0.3">
      <c r="A825" s="35">
        <f>inflasi!$G829</f>
        <v>45107</v>
      </c>
      <c r="B825" s="33">
        <f>inflasi!$H829</f>
        <v>3.52</v>
      </c>
      <c r="C825" s="33">
        <f>'suku bunga'!$H829</f>
        <v>5.75</v>
      </c>
      <c r="D825" s="48">
        <f>'nilai tukar'!$H829</f>
        <v>15000</v>
      </c>
      <c r="E825" s="33">
        <f>'minyak mentah'!H829</f>
        <v>65.900000000000006</v>
      </c>
      <c r="F825" s="46">
        <f>emas!H829</f>
        <v>943780</v>
      </c>
    </row>
    <row r="826" spans="1:6" x14ac:dyDescent="0.3">
      <c r="A826" s="35">
        <f>inflasi!$G830</f>
        <v>45106</v>
      </c>
      <c r="B826" s="33">
        <f>inflasi!$H830</f>
        <v>3.52</v>
      </c>
      <c r="C826" s="33">
        <f>'suku bunga'!$H830</f>
        <v>5.75</v>
      </c>
      <c r="D826" s="48">
        <f>'nilai tukar'!$H830</f>
        <v>15000</v>
      </c>
      <c r="E826" s="33">
        <f>'minyak mentah'!H830</f>
        <v>65.900000000000006</v>
      </c>
      <c r="F826" s="46">
        <f>emas!H830</f>
        <v>943780</v>
      </c>
    </row>
    <row r="827" spans="1:6" x14ac:dyDescent="0.3">
      <c r="A827" s="35">
        <f>inflasi!$G831</f>
        <v>45105</v>
      </c>
      <c r="B827" s="33">
        <f>inflasi!$H831</f>
        <v>3.52</v>
      </c>
      <c r="C827" s="33">
        <f>'suku bunga'!$H831</f>
        <v>5.75</v>
      </c>
      <c r="D827" s="48">
        <f>'nilai tukar'!$H831</f>
        <v>15000</v>
      </c>
      <c r="E827" s="33">
        <f>'minyak mentah'!H831</f>
        <v>65.900000000000006</v>
      </c>
      <c r="F827" s="46">
        <f>emas!H831</f>
        <v>943780</v>
      </c>
    </row>
    <row r="828" spans="1:6" x14ac:dyDescent="0.3">
      <c r="A828" s="35">
        <f>inflasi!$G832</f>
        <v>45104</v>
      </c>
      <c r="B828" s="33">
        <f>inflasi!$H832</f>
        <v>3.52</v>
      </c>
      <c r="C828" s="33">
        <f>'suku bunga'!$H832</f>
        <v>5.75</v>
      </c>
      <c r="D828" s="48">
        <f>'nilai tukar'!$H832</f>
        <v>15000</v>
      </c>
      <c r="E828" s="33">
        <f>'minyak mentah'!H832</f>
        <v>65.900000000000006</v>
      </c>
      <c r="F828" s="46">
        <f>emas!H832</f>
        <v>943780</v>
      </c>
    </row>
    <row r="829" spans="1:6" x14ac:dyDescent="0.3">
      <c r="A829" s="35">
        <f>inflasi!$G833</f>
        <v>45103</v>
      </c>
      <c r="B829" s="33">
        <f>inflasi!$H833</f>
        <v>3.52</v>
      </c>
      <c r="C829" s="33">
        <f>'suku bunga'!$H833</f>
        <v>5.75</v>
      </c>
      <c r="D829" s="48">
        <f>'nilai tukar'!$H833</f>
        <v>15026</v>
      </c>
      <c r="E829" s="33">
        <f>'minyak mentah'!H833</f>
        <v>65.900000000000006</v>
      </c>
      <c r="F829" s="46">
        <f>emas!H833</f>
        <v>946760</v>
      </c>
    </row>
    <row r="830" spans="1:6" x14ac:dyDescent="0.3">
      <c r="A830" s="35">
        <f>inflasi!$G834</f>
        <v>45102</v>
      </c>
      <c r="B830" s="33">
        <f>inflasi!$H834</f>
        <v>3.52</v>
      </c>
      <c r="C830" s="33">
        <f>'suku bunga'!$H834</f>
        <v>5.75</v>
      </c>
      <c r="D830" s="48">
        <f>'nilai tukar'!$H834</f>
        <v>14998</v>
      </c>
      <c r="E830" s="33">
        <f>'minyak mentah'!H834</f>
        <v>65.900000000000006</v>
      </c>
      <c r="F830" s="46">
        <f>emas!H834</f>
        <v>944270</v>
      </c>
    </row>
    <row r="831" spans="1:6" x14ac:dyDescent="0.3">
      <c r="A831" s="35">
        <f>inflasi!$G835</f>
        <v>45101</v>
      </c>
      <c r="B831" s="33">
        <f>inflasi!$H835</f>
        <v>3.52</v>
      </c>
      <c r="C831" s="33">
        <f>'suku bunga'!$H835</f>
        <v>5.75</v>
      </c>
      <c r="D831" s="48">
        <f>'nilai tukar'!$H835</f>
        <v>14998</v>
      </c>
      <c r="E831" s="33">
        <f>'minyak mentah'!H835</f>
        <v>65.900000000000006</v>
      </c>
      <c r="F831" s="46">
        <f>emas!H835</f>
        <v>944270</v>
      </c>
    </row>
    <row r="832" spans="1:6" x14ac:dyDescent="0.3">
      <c r="A832" s="35">
        <f>inflasi!$G836</f>
        <v>45100</v>
      </c>
      <c r="B832" s="33">
        <f>inflasi!$H836</f>
        <v>3.52</v>
      </c>
      <c r="C832" s="33">
        <f>'suku bunga'!$H836</f>
        <v>5.75</v>
      </c>
      <c r="D832" s="48">
        <f>'nilai tukar'!$H836</f>
        <v>14998</v>
      </c>
      <c r="E832" s="33">
        <f>'minyak mentah'!H836</f>
        <v>65.900000000000006</v>
      </c>
      <c r="F832" s="46">
        <f>emas!H836</f>
        <v>941790</v>
      </c>
    </row>
    <row r="833" spans="1:6" x14ac:dyDescent="0.3">
      <c r="A833" s="35">
        <f>inflasi!$G837</f>
        <v>45099</v>
      </c>
      <c r="B833" s="33">
        <f>inflasi!$H837</f>
        <v>3.52</v>
      </c>
      <c r="C833" s="33">
        <f>'suku bunga'!$H837</f>
        <v>5.75</v>
      </c>
      <c r="D833" s="48">
        <f>'nilai tukar'!$H837</f>
        <v>14918</v>
      </c>
      <c r="E833" s="33">
        <f>'minyak mentah'!H837</f>
        <v>65.900000000000006</v>
      </c>
      <c r="F833" s="46">
        <f>emas!H837</f>
        <v>948750</v>
      </c>
    </row>
    <row r="834" spans="1:6" x14ac:dyDescent="0.3">
      <c r="A834" s="35">
        <f>inflasi!$G838</f>
        <v>45098</v>
      </c>
      <c r="B834" s="33">
        <f>inflasi!$H838</f>
        <v>3.52</v>
      </c>
      <c r="C834" s="33">
        <f>'suku bunga'!$H838</f>
        <v>5.75</v>
      </c>
      <c r="D834" s="48">
        <f>'nilai tukar'!$H838</f>
        <v>14982</v>
      </c>
      <c r="E834" s="33">
        <f>'minyak mentah'!H838</f>
        <v>65.900000000000006</v>
      </c>
      <c r="F834" s="46">
        <f>emas!H838</f>
        <v>950240</v>
      </c>
    </row>
    <row r="835" spans="1:6" x14ac:dyDescent="0.3">
      <c r="A835" s="35">
        <f>inflasi!$G839</f>
        <v>45097</v>
      </c>
      <c r="B835" s="33">
        <f>inflasi!$H839</f>
        <v>3.52</v>
      </c>
      <c r="C835" s="33">
        <f>'suku bunga'!$H839</f>
        <v>5.75</v>
      </c>
      <c r="D835" s="48">
        <f>'nilai tukar'!$H839</f>
        <v>15040</v>
      </c>
      <c r="E835" s="33">
        <f>'minyak mentah'!H839</f>
        <v>65.900000000000006</v>
      </c>
      <c r="F835" s="46">
        <f>emas!H839</f>
        <v>953720</v>
      </c>
    </row>
    <row r="836" spans="1:6" x14ac:dyDescent="0.3">
      <c r="A836" s="35">
        <f>inflasi!$G840</f>
        <v>45096</v>
      </c>
      <c r="B836" s="33">
        <f>inflasi!$H840</f>
        <v>3.52</v>
      </c>
      <c r="C836" s="33">
        <f>'suku bunga'!$H840</f>
        <v>5.75</v>
      </c>
      <c r="D836" s="48">
        <f>'nilai tukar'!$H840</f>
        <v>14994</v>
      </c>
      <c r="E836" s="33">
        <f>'minyak mentah'!H840</f>
        <v>65.900000000000006</v>
      </c>
      <c r="F836" s="46">
        <f>emas!H840</f>
        <v>955720</v>
      </c>
    </row>
    <row r="837" spans="1:6" x14ac:dyDescent="0.3">
      <c r="A837" s="35">
        <f>inflasi!$G841</f>
        <v>45095</v>
      </c>
      <c r="B837" s="33">
        <f>inflasi!$H841</f>
        <v>3.52</v>
      </c>
      <c r="C837" s="33">
        <f>'suku bunga'!$H841</f>
        <v>5.75</v>
      </c>
      <c r="D837" s="48">
        <f>'nilai tukar'!$H841</f>
        <v>14945</v>
      </c>
      <c r="E837" s="33">
        <f>'minyak mentah'!H841</f>
        <v>65.900000000000006</v>
      </c>
      <c r="F837" s="46">
        <f>emas!H841</f>
        <v>954710</v>
      </c>
    </row>
    <row r="838" spans="1:6" x14ac:dyDescent="0.3">
      <c r="A838" s="35">
        <f>inflasi!$G842</f>
        <v>45094</v>
      </c>
      <c r="B838" s="33">
        <f>inflasi!$H842</f>
        <v>3.52</v>
      </c>
      <c r="C838" s="33">
        <f>'suku bunga'!$H842</f>
        <v>5.75</v>
      </c>
      <c r="D838" s="48">
        <f>'nilai tukar'!$H842</f>
        <v>14945</v>
      </c>
      <c r="E838" s="33">
        <f>'minyak mentah'!H842</f>
        <v>65.900000000000006</v>
      </c>
      <c r="F838" s="46">
        <f>emas!H842</f>
        <v>954710</v>
      </c>
    </row>
    <row r="839" spans="1:6" x14ac:dyDescent="0.3">
      <c r="A839" s="35">
        <f>inflasi!$G843</f>
        <v>45093</v>
      </c>
      <c r="B839" s="33">
        <f>inflasi!$H843</f>
        <v>3.52</v>
      </c>
      <c r="C839" s="33">
        <f>'suku bunga'!$H843</f>
        <v>5.75</v>
      </c>
      <c r="D839" s="48">
        <f>'nilai tukar'!$H843</f>
        <v>14945</v>
      </c>
      <c r="E839" s="33">
        <f>'minyak mentah'!H843</f>
        <v>65.900000000000006</v>
      </c>
      <c r="F839" s="46">
        <f>emas!H843</f>
        <v>957690</v>
      </c>
    </row>
    <row r="840" spans="1:6" x14ac:dyDescent="0.3">
      <c r="A840" s="35">
        <f>inflasi!$G844</f>
        <v>45092</v>
      </c>
      <c r="B840" s="33">
        <f>inflasi!$H844</f>
        <v>3.52</v>
      </c>
      <c r="C840" s="33">
        <f>'suku bunga'!$H844</f>
        <v>5.75</v>
      </c>
      <c r="D840" s="48">
        <f>'nilai tukar'!$H844</f>
        <v>14943</v>
      </c>
      <c r="E840" s="33">
        <f>'minyak mentah'!H844</f>
        <v>65.900000000000006</v>
      </c>
      <c r="F840" s="46">
        <f>emas!H844</f>
        <v>948750</v>
      </c>
    </row>
    <row r="841" spans="1:6" x14ac:dyDescent="0.3">
      <c r="A841" s="35">
        <f>inflasi!$G845</f>
        <v>45091</v>
      </c>
      <c r="B841" s="33">
        <f>inflasi!$H845</f>
        <v>3.52</v>
      </c>
      <c r="C841" s="33">
        <f>'suku bunga'!$H845</f>
        <v>5.75</v>
      </c>
      <c r="D841" s="48">
        <f>'nilai tukar'!$H845</f>
        <v>14895</v>
      </c>
      <c r="E841" s="33">
        <f>'minyak mentah'!H845</f>
        <v>65.900000000000006</v>
      </c>
      <c r="F841" s="46">
        <f>emas!H845</f>
        <v>950240</v>
      </c>
    </row>
    <row r="842" spans="1:6" x14ac:dyDescent="0.3">
      <c r="A842" s="35">
        <f>inflasi!$G846</f>
        <v>45090</v>
      </c>
      <c r="B842" s="33">
        <f>inflasi!$H846</f>
        <v>3.52</v>
      </c>
      <c r="C842" s="33">
        <f>'suku bunga'!$H846</f>
        <v>5.75</v>
      </c>
      <c r="D842" s="48">
        <f>'nilai tukar'!$H846</f>
        <v>14868</v>
      </c>
      <c r="E842" s="33">
        <f>'minyak mentah'!H846</f>
        <v>65.900000000000006</v>
      </c>
      <c r="F842" s="46">
        <f>emas!H846</f>
        <v>956200</v>
      </c>
    </row>
    <row r="843" spans="1:6" x14ac:dyDescent="0.3">
      <c r="A843" s="35">
        <f>inflasi!$G847</f>
        <v>45089</v>
      </c>
      <c r="B843" s="33">
        <f>inflasi!$H847</f>
        <v>3.52</v>
      </c>
      <c r="C843" s="33">
        <f>'suku bunga'!$H847</f>
        <v>5.75</v>
      </c>
      <c r="D843" s="48">
        <f>'nilai tukar'!$H847</f>
        <v>14874</v>
      </c>
      <c r="E843" s="33">
        <f>'minyak mentah'!H847</f>
        <v>65.900000000000006</v>
      </c>
      <c r="F843" s="46">
        <f>emas!H847</f>
        <v>953720</v>
      </c>
    </row>
    <row r="844" spans="1:6" x14ac:dyDescent="0.3">
      <c r="A844" s="35">
        <f>inflasi!$G848</f>
        <v>45088</v>
      </c>
      <c r="B844" s="33">
        <f>inflasi!$H848</f>
        <v>3.52</v>
      </c>
      <c r="C844" s="33">
        <f>'suku bunga'!$H848</f>
        <v>5.75</v>
      </c>
      <c r="D844" s="48">
        <f>'nilai tukar'!$H848</f>
        <v>14853</v>
      </c>
      <c r="E844" s="33">
        <f>'minyak mentah'!H848</f>
        <v>65.900000000000006</v>
      </c>
      <c r="F844" s="46">
        <f>emas!H848</f>
        <v>956200</v>
      </c>
    </row>
    <row r="845" spans="1:6" x14ac:dyDescent="0.3">
      <c r="A845" s="35">
        <f>inflasi!$G849</f>
        <v>45087</v>
      </c>
      <c r="B845" s="33">
        <f>inflasi!$H849</f>
        <v>3.52</v>
      </c>
      <c r="C845" s="33">
        <f>'suku bunga'!$H849</f>
        <v>5.75</v>
      </c>
      <c r="D845" s="48">
        <f>'nilai tukar'!$H849</f>
        <v>14853</v>
      </c>
      <c r="E845" s="33">
        <f>'minyak mentah'!H849</f>
        <v>65.900000000000006</v>
      </c>
      <c r="F845" s="46">
        <f>emas!H849</f>
        <v>956200</v>
      </c>
    </row>
    <row r="846" spans="1:6" x14ac:dyDescent="0.3">
      <c r="A846" s="35">
        <f>inflasi!$G850</f>
        <v>45086</v>
      </c>
      <c r="B846" s="33">
        <f>inflasi!$H850</f>
        <v>3.52</v>
      </c>
      <c r="C846" s="33">
        <f>'suku bunga'!$H850</f>
        <v>5.75</v>
      </c>
      <c r="D846" s="48">
        <f>'nilai tukar'!$H850</f>
        <v>14853</v>
      </c>
      <c r="E846" s="33">
        <f>'minyak mentah'!H850</f>
        <v>65.900000000000006</v>
      </c>
      <c r="F846" s="46">
        <f>emas!H850</f>
        <v>955210</v>
      </c>
    </row>
    <row r="847" spans="1:6" x14ac:dyDescent="0.3">
      <c r="A847" s="35">
        <f>inflasi!$G851</f>
        <v>45085</v>
      </c>
      <c r="B847" s="33">
        <f>inflasi!$H851</f>
        <v>3.52</v>
      </c>
      <c r="C847" s="33">
        <f>'suku bunga'!$H851</f>
        <v>5.75</v>
      </c>
      <c r="D847" s="48">
        <f>'nilai tukar'!$H851</f>
        <v>14903</v>
      </c>
      <c r="E847" s="33">
        <f>'minyak mentah'!H851</f>
        <v>65.900000000000006</v>
      </c>
      <c r="F847" s="46">
        <f>emas!H851</f>
        <v>955720</v>
      </c>
    </row>
    <row r="848" spans="1:6" x14ac:dyDescent="0.3">
      <c r="A848" s="35">
        <f>inflasi!$G852</f>
        <v>45084</v>
      </c>
      <c r="B848" s="33">
        <f>inflasi!$H852</f>
        <v>3.52</v>
      </c>
      <c r="C848" s="33">
        <f>'suku bunga'!$H852</f>
        <v>5.75</v>
      </c>
      <c r="D848" s="48">
        <f>'nilai tukar'!$H852</f>
        <v>14875</v>
      </c>
      <c r="E848" s="33">
        <f>'minyak mentah'!H852</f>
        <v>65.900000000000006</v>
      </c>
      <c r="F848" s="46">
        <f>emas!H852</f>
        <v>959180</v>
      </c>
    </row>
    <row r="849" spans="1:6" x14ac:dyDescent="0.3">
      <c r="A849" s="35">
        <f>inflasi!$G853</f>
        <v>45083</v>
      </c>
      <c r="B849" s="33">
        <f>inflasi!$H853</f>
        <v>3.52</v>
      </c>
      <c r="C849" s="33">
        <f>'suku bunga'!$H853</f>
        <v>5.75</v>
      </c>
      <c r="D849" s="48">
        <f>'nilai tukar'!$H853</f>
        <v>14839</v>
      </c>
      <c r="E849" s="33">
        <f>'minyak mentah'!H853</f>
        <v>65.900000000000006</v>
      </c>
      <c r="F849" s="46">
        <f>emas!H853</f>
        <v>959680</v>
      </c>
    </row>
    <row r="850" spans="1:6" x14ac:dyDescent="0.3">
      <c r="A850" s="35">
        <f>inflasi!$G854</f>
        <v>45082</v>
      </c>
      <c r="B850" s="33">
        <f>inflasi!$H854</f>
        <v>3.52</v>
      </c>
      <c r="C850" s="33">
        <f>'suku bunga'!$H854</f>
        <v>5.75</v>
      </c>
      <c r="D850" s="48">
        <f>'nilai tukar'!$H854</f>
        <v>14888</v>
      </c>
      <c r="E850" s="33">
        <f>'minyak mentah'!H854</f>
        <v>65.900000000000006</v>
      </c>
      <c r="F850" s="46">
        <f>emas!H854</f>
        <v>956200</v>
      </c>
    </row>
    <row r="851" spans="1:6" x14ac:dyDescent="0.3">
      <c r="A851" s="35">
        <f>inflasi!$G855</f>
        <v>45081</v>
      </c>
      <c r="B851" s="33">
        <f>inflasi!$H855</f>
        <v>3.52</v>
      </c>
      <c r="C851" s="33">
        <f>'suku bunga'!$H855</f>
        <v>5.75</v>
      </c>
      <c r="D851" s="48">
        <f>'nilai tukar'!$H855</f>
        <v>15003</v>
      </c>
      <c r="E851" s="33">
        <f>'minyak mentah'!H855</f>
        <v>65.900000000000006</v>
      </c>
      <c r="F851" s="46">
        <f>emas!H855</f>
        <v>952720</v>
      </c>
    </row>
    <row r="852" spans="1:6" x14ac:dyDescent="0.3">
      <c r="A852" s="35">
        <f>inflasi!$G856</f>
        <v>45080</v>
      </c>
      <c r="B852" s="33">
        <f>inflasi!$H856</f>
        <v>3.52</v>
      </c>
      <c r="C852" s="33">
        <f>'suku bunga'!$H856</f>
        <v>5.75</v>
      </c>
      <c r="D852" s="48">
        <f>'nilai tukar'!$H856</f>
        <v>15003</v>
      </c>
      <c r="E852" s="33">
        <f>'minyak mentah'!H856</f>
        <v>65.900000000000006</v>
      </c>
      <c r="F852" s="46">
        <f>emas!H856</f>
        <v>952720</v>
      </c>
    </row>
    <row r="853" spans="1:6" x14ac:dyDescent="0.3">
      <c r="A853" s="35">
        <f>inflasi!$G857</f>
        <v>45079</v>
      </c>
      <c r="B853" s="33">
        <f>inflasi!$H857</f>
        <v>3.52</v>
      </c>
      <c r="C853" s="33">
        <f>'suku bunga'!$H857</f>
        <v>5.75</v>
      </c>
      <c r="D853" s="48">
        <f>'nilai tukar'!$H857</f>
        <v>15003</v>
      </c>
      <c r="E853" s="33">
        <f>'minyak mentah'!H857</f>
        <v>65.900000000000006</v>
      </c>
      <c r="F853" s="46">
        <f>emas!H857</f>
        <v>967410</v>
      </c>
    </row>
    <row r="854" spans="1:6" x14ac:dyDescent="0.3">
      <c r="A854" s="35">
        <f>inflasi!$G858</f>
        <v>45078</v>
      </c>
      <c r="B854" s="33">
        <f>inflasi!$H858</f>
        <v>3.52</v>
      </c>
      <c r="C854" s="33">
        <f>'suku bunga'!$H858</f>
        <v>5.75</v>
      </c>
      <c r="D854" s="48">
        <f>'nilai tukar'!$H858</f>
        <v>15003</v>
      </c>
      <c r="E854" s="33">
        <f>'minyak mentah'!H858</f>
        <v>65.900000000000006</v>
      </c>
      <c r="F854" s="46">
        <f>emas!H858</f>
        <v>967410</v>
      </c>
    </row>
    <row r="855" spans="1:6" x14ac:dyDescent="0.3">
      <c r="A855" s="35">
        <f>inflasi!$G859</f>
        <v>45077</v>
      </c>
      <c r="B855" s="33">
        <f>inflasi!$H859</f>
        <v>4</v>
      </c>
      <c r="C855" s="33">
        <f>'suku bunga'!$H859</f>
        <v>5.75</v>
      </c>
      <c r="D855" s="48">
        <f>'nilai tukar'!$H859</f>
        <v>15003</v>
      </c>
      <c r="E855" s="33">
        <f>'minyak mentah'!H859</f>
        <v>70.12</v>
      </c>
      <c r="F855" s="46">
        <f>emas!H859</f>
        <v>967410</v>
      </c>
    </row>
    <row r="856" spans="1:6" x14ac:dyDescent="0.3">
      <c r="A856" s="35">
        <f>inflasi!$G860</f>
        <v>45076</v>
      </c>
      <c r="B856" s="33">
        <f>inflasi!$H860</f>
        <v>4</v>
      </c>
      <c r="C856" s="33">
        <f>'suku bunga'!$H860</f>
        <v>5.75</v>
      </c>
      <c r="D856" s="48">
        <f>'nilai tukar'!$H860</f>
        <v>14969</v>
      </c>
      <c r="E856" s="33">
        <f>'minyak mentah'!H860</f>
        <v>70.12</v>
      </c>
      <c r="F856" s="46">
        <f>emas!H860</f>
        <v>956200</v>
      </c>
    </row>
    <row r="857" spans="1:6" x14ac:dyDescent="0.3">
      <c r="A857" s="35">
        <f>inflasi!$G861</f>
        <v>45075</v>
      </c>
      <c r="B857" s="33">
        <f>inflasi!$H861</f>
        <v>4</v>
      </c>
      <c r="C857" s="33">
        <f>'suku bunga'!$H861</f>
        <v>5.75</v>
      </c>
      <c r="D857" s="48">
        <f>'nilai tukar'!$H861</f>
        <v>14973</v>
      </c>
      <c r="E857" s="33">
        <f>'minyak mentah'!H861</f>
        <v>70.12</v>
      </c>
      <c r="F857" s="46">
        <f>emas!H861</f>
        <v>956700</v>
      </c>
    </row>
    <row r="858" spans="1:6" x14ac:dyDescent="0.3">
      <c r="A858" s="35">
        <f>inflasi!$G862</f>
        <v>45074</v>
      </c>
      <c r="B858" s="33">
        <f>inflasi!$H862</f>
        <v>4</v>
      </c>
      <c r="C858" s="33">
        <f>'suku bunga'!$H862</f>
        <v>5.75</v>
      </c>
      <c r="D858" s="48">
        <f>'nilai tukar'!$H862</f>
        <v>14959</v>
      </c>
      <c r="E858" s="33">
        <f>'minyak mentah'!H862</f>
        <v>70.12</v>
      </c>
      <c r="F858" s="46">
        <f>emas!H862</f>
        <v>958190</v>
      </c>
    </row>
    <row r="859" spans="1:6" x14ac:dyDescent="0.3">
      <c r="A859" s="35">
        <f>inflasi!$G863</f>
        <v>45073</v>
      </c>
      <c r="B859" s="33">
        <f>inflasi!$H863</f>
        <v>4</v>
      </c>
      <c r="C859" s="33">
        <f>'suku bunga'!$H863</f>
        <v>5.75</v>
      </c>
      <c r="D859" s="48">
        <f>'nilai tukar'!$H863</f>
        <v>14959</v>
      </c>
      <c r="E859" s="33">
        <f>'minyak mentah'!H863</f>
        <v>70.12</v>
      </c>
      <c r="F859" s="46">
        <f>emas!H863</f>
        <v>958190</v>
      </c>
    </row>
    <row r="860" spans="1:6" x14ac:dyDescent="0.3">
      <c r="A860" s="35">
        <f>inflasi!$G864</f>
        <v>45072</v>
      </c>
      <c r="B860" s="33">
        <f>inflasi!$H864</f>
        <v>4</v>
      </c>
      <c r="C860" s="33">
        <f>'suku bunga'!$H864</f>
        <v>5.75</v>
      </c>
      <c r="D860" s="48">
        <f>'nilai tukar'!$H864</f>
        <v>14959</v>
      </c>
      <c r="E860" s="33">
        <f>'minyak mentah'!H864</f>
        <v>70.12</v>
      </c>
      <c r="F860" s="46">
        <f>emas!H864</f>
        <v>955720</v>
      </c>
    </row>
    <row r="861" spans="1:6" x14ac:dyDescent="0.3">
      <c r="A861" s="35">
        <f>inflasi!$G865</f>
        <v>45071</v>
      </c>
      <c r="B861" s="33">
        <f>inflasi!$H865</f>
        <v>4</v>
      </c>
      <c r="C861" s="33">
        <f>'suku bunga'!$H865</f>
        <v>5.75</v>
      </c>
      <c r="D861" s="48">
        <f>'nilai tukar'!$H865</f>
        <v>14952</v>
      </c>
      <c r="E861" s="33">
        <f>'minyak mentah'!H865</f>
        <v>70.12</v>
      </c>
      <c r="F861" s="46">
        <f>emas!H865</f>
        <v>958190</v>
      </c>
    </row>
    <row r="862" spans="1:6" x14ac:dyDescent="0.3">
      <c r="A862" s="35">
        <f>inflasi!$G866</f>
        <v>45070</v>
      </c>
      <c r="B862" s="33">
        <f>inflasi!$H866</f>
        <v>4</v>
      </c>
      <c r="C862" s="33">
        <f>'suku bunga'!$H866</f>
        <v>5.75</v>
      </c>
      <c r="D862" s="48">
        <f>'nilai tukar'!$H866</f>
        <v>14905</v>
      </c>
      <c r="E862" s="33">
        <f>'minyak mentah'!H866</f>
        <v>70.12</v>
      </c>
      <c r="F862" s="46">
        <f>emas!H866</f>
        <v>966140</v>
      </c>
    </row>
    <row r="863" spans="1:6" x14ac:dyDescent="0.3">
      <c r="A863" s="35">
        <f>inflasi!$G867</f>
        <v>45069</v>
      </c>
      <c r="B863" s="33">
        <f>inflasi!$H867</f>
        <v>4</v>
      </c>
      <c r="C863" s="33">
        <f>'suku bunga'!$H867</f>
        <v>5.75</v>
      </c>
      <c r="D863" s="48">
        <f>'nilai tukar'!$H867</f>
        <v>14878</v>
      </c>
      <c r="E863" s="33">
        <f>'minyak mentah'!H867</f>
        <v>70.12</v>
      </c>
      <c r="F863" s="46">
        <f>emas!H867</f>
        <v>959180</v>
      </c>
    </row>
    <row r="864" spans="1:6" x14ac:dyDescent="0.3">
      <c r="A864" s="35">
        <f>inflasi!$G868</f>
        <v>45068</v>
      </c>
      <c r="B864" s="33">
        <f>inflasi!$H868</f>
        <v>4</v>
      </c>
      <c r="C864" s="33">
        <f>'suku bunga'!$H868</f>
        <v>5.75</v>
      </c>
      <c r="D864" s="48">
        <f>'nilai tukar'!$H868</f>
        <v>14897</v>
      </c>
      <c r="E864" s="33">
        <f>'minyak mentah'!H868</f>
        <v>70.12</v>
      </c>
      <c r="F864" s="46">
        <f>emas!H868</f>
        <v>962630</v>
      </c>
    </row>
    <row r="865" spans="1:6" x14ac:dyDescent="0.3">
      <c r="A865" s="35">
        <f>inflasi!$G869</f>
        <v>45067</v>
      </c>
      <c r="B865" s="33">
        <f>inflasi!$H869</f>
        <v>4</v>
      </c>
      <c r="C865" s="33">
        <f>'suku bunga'!$H869</f>
        <v>5.75</v>
      </c>
      <c r="D865" s="48">
        <f>'nilai tukar'!$H869</f>
        <v>14936</v>
      </c>
      <c r="E865" s="33">
        <f>'minyak mentah'!H869</f>
        <v>70.12</v>
      </c>
      <c r="F865" s="46">
        <f>emas!H869</f>
        <v>965660</v>
      </c>
    </row>
    <row r="866" spans="1:6" x14ac:dyDescent="0.3">
      <c r="A866" s="35">
        <f>inflasi!$G870</f>
        <v>45066</v>
      </c>
      <c r="B866" s="33">
        <f>inflasi!$H870</f>
        <v>4</v>
      </c>
      <c r="C866" s="33">
        <f>'suku bunga'!$H870</f>
        <v>5.75</v>
      </c>
      <c r="D866" s="48">
        <f>'nilai tukar'!$H870</f>
        <v>14936</v>
      </c>
      <c r="E866" s="33">
        <f>'minyak mentah'!H870</f>
        <v>70.12</v>
      </c>
      <c r="F866" s="46">
        <f>emas!H870</f>
        <v>965660</v>
      </c>
    </row>
    <row r="867" spans="1:6" x14ac:dyDescent="0.3">
      <c r="A867" s="35">
        <f>inflasi!$G871</f>
        <v>45065</v>
      </c>
      <c r="B867" s="33">
        <f>inflasi!$H871</f>
        <v>4</v>
      </c>
      <c r="C867" s="33">
        <f>'suku bunga'!$H871</f>
        <v>5.75</v>
      </c>
      <c r="D867" s="48">
        <f>'nilai tukar'!$H871</f>
        <v>14936</v>
      </c>
      <c r="E867" s="33">
        <f>'minyak mentah'!H871</f>
        <v>70.12</v>
      </c>
      <c r="F867" s="46">
        <f>emas!H871</f>
        <v>958600</v>
      </c>
    </row>
    <row r="868" spans="1:6" x14ac:dyDescent="0.3">
      <c r="A868" s="35">
        <f>inflasi!$G872</f>
        <v>45064</v>
      </c>
      <c r="B868" s="33">
        <f>inflasi!$H872</f>
        <v>4</v>
      </c>
      <c r="C868" s="33">
        <f>'suku bunga'!$H872</f>
        <v>5.75</v>
      </c>
      <c r="D868" s="48">
        <f>'nilai tukar'!$H872</f>
        <v>14875</v>
      </c>
      <c r="E868" s="33">
        <f>'minyak mentah'!H872</f>
        <v>70.12</v>
      </c>
      <c r="F868" s="46">
        <f>emas!H872</f>
        <v>969190</v>
      </c>
    </row>
    <row r="869" spans="1:6" x14ac:dyDescent="0.3">
      <c r="A869" s="35">
        <f>inflasi!$G873</f>
        <v>45063</v>
      </c>
      <c r="B869" s="33">
        <f>inflasi!$H873</f>
        <v>4</v>
      </c>
      <c r="C869" s="33">
        <f>'suku bunga'!$H873</f>
        <v>5.75</v>
      </c>
      <c r="D869" s="48">
        <f>'nilai tukar'!$H873</f>
        <v>14875</v>
      </c>
      <c r="E869" s="33">
        <f>'minyak mentah'!H873</f>
        <v>70.12</v>
      </c>
      <c r="F869" s="46">
        <f>emas!H873</f>
        <v>969190</v>
      </c>
    </row>
    <row r="870" spans="1:6" x14ac:dyDescent="0.3">
      <c r="A870" s="35">
        <f>inflasi!$G874</f>
        <v>45062</v>
      </c>
      <c r="B870" s="33">
        <f>inflasi!$H874</f>
        <v>4</v>
      </c>
      <c r="C870" s="33">
        <f>'suku bunga'!$H874</f>
        <v>5.75</v>
      </c>
      <c r="D870" s="48">
        <f>'nilai tukar'!$H874</f>
        <v>14810</v>
      </c>
      <c r="E870" s="33">
        <f>'minyak mentah'!H874</f>
        <v>70.12</v>
      </c>
      <c r="F870" s="46">
        <f>emas!H874</f>
        <v>973230</v>
      </c>
    </row>
    <row r="871" spans="1:6" x14ac:dyDescent="0.3">
      <c r="A871" s="35">
        <f>inflasi!$G875</f>
        <v>45061</v>
      </c>
      <c r="B871" s="33">
        <f>inflasi!$H875</f>
        <v>4</v>
      </c>
      <c r="C871" s="33">
        <f>'suku bunga'!$H875</f>
        <v>5.75</v>
      </c>
      <c r="D871" s="48">
        <f>'nilai tukar'!$H875</f>
        <v>14812</v>
      </c>
      <c r="E871" s="33">
        <f>'minyak mentah'!H875</f>
        <v>70.12</v>
      </c>
      <c r="F871" s="46">
        <f>emas!H875</f>
        <v>974230</v>
      </c>
    </row>
    <row r="872" spans="1:6" x14ac:dyDescent="0.3">
      <c r="A872" s="35">
        <f>inflasi!$G876</f>
        <v>45060</v>
      </c>
      <c r="B872" s="33">
        <f>inflasi!$H876</f>
        <v>4</v>
      </c>
      <c r="C872" s="33">
        <f>'suku bunga'!$H876</f>
        <v>5.75</v>
      </c>
      <c r="D872" s="48">
        <f>'nilai tukar'!$H876</f>
        <v>14752</v>
      </c>
      <c r="E872" s="33">
        <f>'minyak mentah'!H876</f>
        <v>70.12</v>
      </c>
      <c r="F872" s="46">
        <f>emas!H876</f>
        <v>975710</v>
      </c>
    </row>
    <row r="873" spans="1:6" x14ac:dyDescent="0.3">
      <c r="A873" s="35">
        <f>inflasi!$G877</f>
        <v>45059</v>
      </c>
      <c r="B873" s="33">
        <f>inflasi!$H877</f>
        <v>4</v>
      </c>
      <c r="C873" s="33">
        <f>'suku bunga'!$H877</f>
        <v>5.75</v>
      </c>
      <c r="D873" s="48">
        <f>'nilai tukar'!$H877</f>
        <v>14752</v>
      </c>
      <c r="E873" s="33">
        <f>'minyak mentah'!H877</f>
        <v>70.12</v>
      </c>
      <c r="F873" s="46">
        <f>emas!H877</f>
        <v>975710</v>
      </c>
    </row>
    <row r="874" spans="1:6" x14ac:dyDescent="0.3">
      <c r="A874" s="35">
        <f>inflasi!$G878</f>
        <v>45058</v>
      </c>
      <c r="B874" s="33">
        <f>inflasi!$H878</f>
        <v>4</v>
      </c>
      <c r="C874" s="33">
        <f>'suku bunga'!$H878</f>
        <v>5.75</v>
      </c>
      <c r="D874" s="48">
        <f>'nilai tukar'!$H878</f>
        <v>14752</v>
      </c>
      <c r="E874" s="33">
        <f>'minyak mentah'!H878</f>
        <v>70.12</v>
      </c>
      <c r="F874" s="46">
        <f>emas!H878</f>
        <v>964650</v>
      </c>
    </row>
    <row r="875" spans="1:6" x14ac:dyDescent="0.3">
      <c r="A875" s="35">
        <f>inflasi!$G879</f>
        <v>45057</v>
      </c>
      <c r="B875" s="33">
        <f>inflasi!$H879</f>
        <v>4</v>
      </c>
      <c r="C875" s="33">
        <f>'suku bunga'!$H879</f>
        <v>5.75</v>
      </c>
      <c r="D875" s="48">
        <f>'nilai tukar'!$H879</f>
        <v>14722</v>
      </c>
      <c r="E875" s="33">
        <f>'minyak mentah'!H879</f>
        <v>70.12</v>
      </c>
      <c r="F875" s="46">
        <f>emas!H879</f>
        <v>973230</v>
      </c>
    </row>
    <row r="876" spans="1:6" x14ac:dyDescent="0.3">
      <c r="A876" s="35">
        <f>inflasi!$G880</f>
        <v>45056</v>
      </c>
      <c r="B876" s="33">
        <f>inflasi!$H880</f>
        <v>4</v>
      </c>
      <c r="C876" s="33">
        <f>'suku bunga'!$H880</f>
        <v>5.75</v>
      </c>
      <c r="D876" s="48">
        <f>'nilai tukar'!$H880</f>
        <v>14746</v>
      </c>
      <c r="E876" s="33">
        <f>'minyak mentah'!H880</f>
        <v>70.12</v>
      </c>
      <c r="F876" s="46">
        <f>emas!H880</f>
        <v>976760</v>
      </c>
    </row>
    <row r="877" spans="1:6" x14ac:dyDescent="0.3">
      <c r="A877" s="35">
        <f>inflasi!$G881</f>
        <v>45055</v>
      </c>
      <c r="B877" s="33">
        <f>inflasi!$H881</f>
        <v>4</v>
      </c>
      <c r="C877" s="33">
        <f>'suku bunga'!$H881</f>
        <v>5.75</v>
      </c>
      <c r="D877" s="48">
        <f>'nilai tukar'!$H881</f>
        <v>14757</v>
      </c>
      <c r="E877" s="33">
        <f>'minyak mentah'!H881</f>
        <v>70.12</v>
      </c>
      <c r="F877" s="46">
        <f>emas!H881</f>
        <v>974230</v>
      </c>
    </row>
    <row r="878" spans="1:6" x14ac:dyDescent="0.3">
      <c r="A878" s="35">
        <f>inflasi!$G882</f>
        <v>45054</v>
      </c>
      <c r="B878" s="33">
        <f>inflasi!$H882</f>
        <v>4</v>
      </c>
      <c r="C878" s="33">
        <f>'suku bunga'!$H882</f>
        <v>5.75</v>
      </c>
      <c r="D878" s="48">
        <f>'nilai tukar'!$H882</f>
        <v>14709</v>
      </c>
      <c r="E878" s="33">
        <f>'minyak mentah'!H882</f>
        <v>70.12</v>
      </c>
      <c r="F878" s="46">
        <f>emas!H882</f>
        <v>968180</v>
      </c>
    </row>
    <row r="879" spans="1:6" x14ac:dyDescent="0.3">
      <c r="A879" s="35">
        <f>inflasi!$G883</f>
        <v>45053</v>
      </c>
      <c r="B879" s="33">
        <f>inflasi!$H883</f>
        <v>4</v>
      </c>
      <c r="C879" s="33">
        <f>'suku bunga'!$H883</f>
        <v>5.75</v>
      </c>
      <c r="D879" s="48">
        <f>'nilai tukar'!$H883</f>
        <v>14674</v>
      </c>
      <c r="E879" s="33">
        <f>'minyak mentah'!H883</f>
        <v>70.12</v>
      </c>
      <c r="F879" s="46">
        <f>emas!H883</f>
        <v>965150</v>
      </c>
    </row>
    <row r="880" spans="1:6" x14ac:dyDescent="0.3">
      <c r="A880" s="35">
        <f>inflasi!$G884</f>
        <v>45052</v>
      </c>
      <c r="B880" s="33">
        <f>inflasi!$H884</f>
        <v>4</v>
      </c>
      <c r="C880" s="33">
        <f>'suku bunga'!$H884</f>
        <v>5.75</v>
      </c>
      <c r="D880" s="48">
        <f>'nilai tukar'!$H884</f>
        <v>14674</v>
      </c>
      <c r="E880" s="33">
        <f>'minyak mentah'!H884</f>
        <v>70.12</v>
      </c>
      <c r="F880" s="46">
        <f>emas!H884</f>
        <v>965150</v>
      </c>
    </row>
    <row r="881" spans="1:6" x14ac:dyDescent="0.3">
      <c r="A881" s="35">
        <f>inflasi!$G885</f>
        <v>45051</v>
      </c>
      <c r="B881" s="33">
        <f>inflasi!$H885</f>
        <v>4</v>
      </c>
      <c r="C881" s="33">
        <f>'suku bunga'!$H885</f>
        <v>5.75</v>
      </c>
      <c r="D881" s="48">
        <f>'nilai tukar'!$H885</f>
        <v>14674</v>
      </c>
      <c r="E881" s="33">
        <f>'minyak mentah'!H885</f>
        <v>70.12</v>
      </c>
      <c r="F881" s="46">
        <f>emas!H885</f>
        <v>977780</v>
      </c>
    </row>
    <row r="882" spans="1:6" x14ac:dyDescent="0.3">
      <c r="A882" s="35">
        <f>inflasi!$G886</f>
        <v>45050</v>
      </c>
      <c r="B882" s="33">
        <f>inflasi!$H886</f>
        <v>4</v>
      </c>
      <c r="C882" s="33">
        <f>'suku bunga'!$H886</f>
        <v>5.75</v>
      </c>
      <c r="D882" s="48">
        <f>'nilai tukar'!$H886</f>
        <v>14632</v>
      </c>
      <c r="E882" s="33">
        <f>'minyak mentah'!H886</f>
        <v>70.12</v>
      </c>
      <c r="F882" s="46">
        <f>emas!H886</f>
        <v>970710</v>
      </c>
    </row>
    <row r="883" spans="1:6" x14ac:dyDescent="0.3">
      <c r="A883" s="35">
        <f>inflasi!$G887</f>
        <v>45049</v>
      </c>
      <c r="B883" s="33">
        <f>inflasi!$H887</f>
        <v>4</v>
      </c>
      <c r="C883" s="33">
        <f>'suku bunga'!$H887</f>
        <v>5.75</v>
      </c>
      <c r="D883" s="48">
        <f>'nilai tukar'!$H887</f>
        <v>14706</v>
      </c>
      <c r="E883" s="33">
        <f>'minyak mentah'!H887</f>
        <v>70.12</v>
      </c>
      <c r="F883" s="46">
        <f>emas!H887</f>
        <v>962640</v>
      </c>
    </row>
    <row r="884" spans="1:6" x14ac:dyDescent="0.3">
      <c r="A884" s="35">
        <f>inflasi!$G888</f>
        <v>45048</v>
      </c>
      <c r="B884" s="33">
        <f>inflasi!$H888</f>
        <v>4</v>
      </c>
      <c r="C884" s="33">
        <f>'suku bunga'!$H888</f>
        <v>5.75</v>
      </c>
      <c r="D884" s="48">
        <f>'nilai tukar'!$H888</f>
        <v>14703</v>
      </c>
      <c r="E884" s="33">
        <f>'minyak mentah'!H888</f>
        <v>70.12</v>
      </c>
      <c r="F884" s="46">
        <f>emas!H888</f>
        <v>961630</v>
      </c>
    </row>
    <row r="885" spans="1:6" x14ac:dyDescent="0.3">
      <c r="A885" s="35">
        <f>inflasi!$G889</f>
        <v>45047</v>
      </c>
      <c r="B885" s="33">
        <f>inflasi!$H889</f>
        <v>4</v>
      </c>
      <c r="C885" s="33">
        <f>'suku bunga'!$H889</f>
        <v>5.75</v>
      </c>
      <c r="D885" s="48">
        <f>'nilai tukar'!$H889</f>
        <v>14661</v>
      </c>
      <c r="E885" s="33">
        <f>'minyak mentah'!H889</f>
        <v>70.12</v>
      </c>
      <c r="F885" s="46">
        <f>emas!H889</f>
        <v>967860</v>
      </c>
    </row>
    <row r="886" spans="1:6" x14ac:dyDescent="0.3">
      <c r="A886" s="35">
        <f>inflasi!$G890</f>
        <v>45046</v>
      </c>
      <c r="B886" s="33">
        <f>inflasi!$H890</f>
        <v>4.33</v>
      </c>
      <c r="C886" s="33">
        <f>'suku bunga'!$H890</f>
        <v>5.75</v>
      </c>
      <c r="D886" s="48">
        <f>'nilai tukar'!$H890</f>
        <v>14661</v>
      </c>
      <c r="E886" s="33">
        <f>'minyak mentah'!H890</f>
        <v>79.34</v>
      </c>
      <c r="F886" s="46">
        <f>emas!H890</f>
        <v>967860</v>
      </c>
    </row>
    <row r="887" spans="1:6" x14ac:dyDescent="0.3">
      <c r="A887" s="35">
        <f>inflasi!$G891</f>
        <v>45045</v>
      </c>
      <c r="B887" s="33">
        <f>inflasi!$H891</f>
        <v>4.33</v>
      </c>
      <c r="C887" s="33">
        <f>'suku bunga'!$H891</f>
        <v>5.75</v>
      </c>
      <c r="D887" s="48">
        <f>'nilai tukar'!$H891</f>
        <v>14661</v>
      </c>
      <c r="E887" s="33">
        <f>'minyak mentah'!H891</f>
        <v>79.34</v>
      </c>
      <c r="F887" s="46">
        <f>emas!H891</f>
        <v>967860</v>
      </c>
    </row>
    <row r="888" spans="1:6" x14ac:dyDescent="0.3">
      <c r="A888" s="35">
        <f>inflasi!$G892</f>
        <v>45044</v>
      </c>
      <c r="B888" s="33">
        <f>inflasi!$H892</f>
        <v>4.33</v>
      </c>
      <c r="C888" s="33">
        <f>'suku bunga'!$H892</f>
        <v>5.75</v>
      </c>
      <c r="D888" s="48">
        <f>'nilai tukar'!$H892</f>
        <v>14661</v>
      </c>
      <c r="E888" s="33">
        <f>'minyak mentah'!H892</f>
        <v>79.34</v>
      </c>
      <c r="F888" s="46">
        <f>emas!H892</f>
        <v>967860</v>
      </c>
    </row>
    <row r="889" spans="1:6" x14ac:dyDescent="0.3">
      <c r="A889" s="35">
        <f>inflasi!$G893</f>
        <v>45043</v>
      </c>
      <c r="B889" s="33">
        <f>inflasi!$H893</f>
        <v>4.33</v>
      </c>
      <c r="C889" s="33">
        <f>'suku bunga'!$H893</f>
        <v>5.75</v>
      </c>
      <c r="D889" s="48">
        <f>'nilai tukar'!$H893</f>
        <v>14751</v>
      </c>
      <c r="E889" s="33">
        <f>'minyak mentah'!H893</f>
        <v>79.34</v>
      </c>
      <c r="F889" s="46">
        <f>emas!H893</f>
        <v>967860</v>
      </c>
    </row>
    <row r="890" spans="1:6" x14ac:dyDescent="0.3">
      <c r="A890" s="35">
        <f>inflasi!$G894</f>
        <v>45042</v>
      </c>
      <c r="B890" s="33">
        <f>inflasi!$H894</f>
        <v>4.33</v>
      </c>
      <c r="C890" s="33">
        <f>'suku bunga'!$H894</f>
        <v>5.75</v>
      </c>
      <c r="D890" s="48">
        <f>'nilai tukar'!$H894</f>
        <v>14882</v>
      </c>
      <c r="E890" s="33">
        <f>'minyak mentah'!H894</f>
        <v>79.34</v>
      </c>
      <c r="F890" s="46">
        <f>emas!H894</f>
        <v>967860</v>
      </c>
    </row>
    <row r="891" spans="1:6" x14ac:dyDescent="0.3">
      <c r="A891" s="35">
        <f>inflasi!$G895</f>
        <v>45041</v>
      </c>
      <c r="B891" s="33">
        <f>inflasi!$H895</f>
        <v>4.33</v>
      </c>
      <c r="C891" s="33">
        <f>'suku bunga'!$H895</f>
        <v>5.75</v>
      </c>
      <c r="D891" s="48">
        <f>'nilai tukar'!$H895</f>
        <v>14855</v>
      </c>
      <c r="E891" s="33">
        <f>'minyak mentah'!H895</f>
        <v>79.34</v>
      </c>
      <c r="F891" s="46">
        <f>emas!H895</f>
        <v>967860</v>
      </c>
    </row>
    <row r="892" spans="1:6" x14ac:dyDescent="0.3">
      <c r="A892" s="35">
        <f>inflasi!$G896</f>
        <v>45040</v>
      </c>
      <c r="B892" s="33">
        <f>inflasi!$H896</f>
        <v>4.33</v>
      </c>
      <c r="C892" s="33">
        <f>'suku bunga'!$H896</f>
        <v>5.75</v>
      </c>
      <c r="D892" s="48">
        <f>'nilai tukar'!$H896</f>
        <v>14855</v>
      </c>
      <c r="E892" s="33">
        <f>'minyak mentah'!H896</f>
        <v>79.34</v>
      </c>
      <c r="F892" s="46">
        <f>emas!H896</f>
        <v>967860</v>
      </c>
    </row>
    <row r="893" spans="1:6" x14ac:dyDescent="0.3">
      <c r="A893" s="35">
        <f>inflasi!$G897</f>
        <v>45039</v>
      </c>
      <c r="B893" s="33">
        <f>inflasi!$H897</f>
        <v>4.33</v>
      </c>
      <c r="C893" s="33">
        <f>'suku bunga'!$H897</f>
        <v>5.75</v>
      </c>
      <c r="D893" s="48">
        <f>'nilai tukar'!$H897</f>
        <v>14855</v>
      </c>
      <c r="E893" s="33">
        <f>'minyak mentah'!H897</f>
        <v>79.34</v>
      </c>
      <c r="F893" s="46">
        <f>emas!H897</f>
        <v>967860</v>
      </c>
    </row>
    <row r="894" spans="1:6" x14ac:dyDescent="0.3">
      <c r="A894" s="35">
        <f>inflasi!$G898</f>
        <v>45038</v>
      </c>
      <c r="B894" s="33">
        <f>inflasi!$H898</f>
        <v>4.33</v>
      </c>
      <c r="C894" s="33">
        <f>'suku bunga'!$H898</f>
        <v>5.75</v>
      </c>
      <c r="D894" s="48">
        <f>'nilai tukar'!$H898</f>
        <v>14855</v>
      </c>
      <c r="E894" s="33">
        <f>'minyak mentah'!H898</f>
        <v>79.34</v>
      </c>
      <c r="F894" s="46">
        <f>emas!H898</f>
        <v>967860</v>
      </c>
    </row>
    <row r="895" spans="1:6" x14ac:dyDescent="0.3">
      <c r="A895" s="35">
        <f>inflasi!$G899</f>
        <v>45037</v>
      </c>
      <c r="B895" s="33">
        <f>inflasi!$H899</f>
        <v>4.33</v>
      </c>
      <c r="C895" s="33">
        <f>'suku bunga'!$H899</f>
        <v>5.75</v>
      </c>
      <c r="D895" s="48">
        <f>'nilai tukar'!$H899</f>
        <v>14855</v>
      </c>
      <c r="E895" s="33">
        <f>'minyak mentah'!H899</f>
        <v>79.34</v>
      </c>
      <c r="F895" s="46">
        <f>emas!H899</f>
        <v>967860</v>
      </c>
    </row>
    <row r="896" spans="1:6" x14ac:dyDescent="0.3">
      <c r="A896" s="35">
        <f>inflasi!$G900</f>
        <v>45036</v>
      </c>
      <c r="B896" s="33">
        <f>inflasi!$H900</f>
        <v>4.33</v>
      </c>
      <c r="C896" s="33">
        <f>'suku bunga'!$H900</f>
        <v>5.75</v>
      </c>
      <c r="D896" s="48">
        <f>'nilai tukar'!$H900</f>
        <v>14855</v>
      </c>
      <c r="E896" s="33">
        <f>'minyak mentah'!H900</f>
        <v>79.34</v>
      </c>
      <c r="F896" s="46">
        <f>emas!H900</f>
        <v>967860</v>
      </c>
    </row>
    <row r="897" spans="1:6" x14ac:dyDescent="0.3">
      <c r="A897" s="35">
        <f>inflasi!$G901</f>
        <v>45035</v>
      </c>
      <c r="B897" s="33">
        <f>inflasi!$H901</f>
        <v>4.33</v>
      </c>
      <c r="C897" s="33">
        <f>'suku bunga'!$H901</f>
        <v>5.75</v>
      </c>
      <c r="D897" s="48">
        <f>'nilai tukar'!$H901</f>
        <v>14855</v>
      </c>
      <c r="E897" s="33">
        <f>'minyak mentah'!H901</f>
        <v>79.34</v>
      </c>
      <c r="F897" s="46">
        <f>emas!H901</f>
        <v>967860</v>
      </c>
    </row>
    <row r="898" spans="1:6" x14ac:dyDescent="0.3">
      <c r="A898" s="35">
        <f>inflasi!$G902</f>
        <v>45034</v>
      </c>
      <c r="B898" s="33">
        <f>inflasi!$H902</f>
        <v>4.33</v>
      </c>
      <c r="C898" s="33">
        <f>'suku bunga'!$H902</f>
        <v>5.75</v>
      </c>
      <c r="D898" s="48">
        <f>'nilai tukar'!$H902</f>
        <v>14855</v>
      </c>
      <c r="E898" s="33">
        <f>'minyak mentah'!H902</f>
        <v>79.34</v>
      </c>
      <c r="F898" s="46">
        <f>emas!H902</f>
        <v>967680</v>
      </c>
    </row>
    <row r="899" spans="1:6" x14ac:dyDescent="0.3">
      <c r="A899" s="35">
        <f>inflasi!$G903</f>
        <v>45033</v>
      </c>
      <c r="B899" s="33">
        <f>inflasi!$H903</f>
        <v>4.33</v>
      </c>
      <c r="C899" s="33">
        <f>'suku bunga'!$H903</f>
        <v>5.75</v>
      </c>
      <c r="D899" s="48">
        <f>'nilai tukar'!$H903</f>
        <v>14773</v>
      </c>
      <c r="E899" s="33">
        <f>'minyak mentah'!H903</f>
        <v>79.34</v>
      </c>
      <c r="F899" s="46">
        <f>emas!H903</f>
        <v>969190</v>
      </c>
    </row>
    <row r="900" spans="1:6" x14ac:dyDescent="0.3">
      <c r="A900" s="35">
        <f>inflasi!$G904</f>
        <v>45032</v>
      </c>
      <c r="B900" s="33">
        <f>inflasi!$H904</f>
        <v>4.33</v>
      </c>
      <c r="C900" s="33">
        <f>'suku bunga'!$H904</f>
        <v>5.75</v>
      </c>
      <c r="D900" s="48">
        <f>'nilai tukar'!$H904</f>
        <v>14666</v>
      </c>
      <c r="E900" s="33">
        <f>'minyak mentah'!H904</f>
        <v>79.34</v>
      </c>
      <c r="F900" s="46">
        <f>emas!H904</f>
        <v>969190</v>
      </c>
    </row>
    <row r="901" spans="1:6" x14ac:dyDescent="0.3">
      <c r="A901" s="35">
        <f>inflasi!$G905</f>
        <v>45031</v>
      </c>
      <c r="B901" s="33">
        <f>inflasi!$H905</f>
        <v>4.33</v>
      </c>
      <c r="C901" s="33">
        <f>'suku bunga'!$H905</f>
        <v>5.75</v>
      </c>
      <c r="D901" s="48">
        <f>'nilai tukar'!$H905</f>
        <v>14666</v>
      </c>
      <c r="E901" s="33">
        <f>'minyak mentah'!H905</f>
        <v>79.34</v>
      </c>
      <c r="F901" s="46">
        <f>emas!H905</f>
        <v>969190</v>
      </c>
    </row>
    <row r="902" spans="1:6" x14ac:dyDescent="0.3">
      <c r="A902" s="35">
        <f>inflasi!$G906</f>
        <v>45030</v>
      </c>
      <c r="B902" s="33">
        <f>inflasi!$H906</f>
        <v>4.33</v>
      </c>
      <c r="C902" s="33">
        <f>'suku bunga'!$H906</f>
        <v>5.75</v>
      </c>
      <c r="D902" s="48">
        <f>'nilai tukar'!$H906</f>
        <v>14666</v>
      </c>
      <c r="E902" s="33">
        <f>'minyak mentah'!H906</f>
        <v>79.34</v>
      </c>
      <c r="F902" s="46">
        <f>emas!H906</f>
        <v>979790</v>
      </c>
    </row>
    <row r="903" spans="1:6" x14ac:dyDescent="0.3">
      <c r="A903" s="35">
        <f>inflasi!$G907</f>
        <v>45029</v>
      </c>
      <c r="B903" s="33">
        <f>inflasi!$H907</f>
        <v>4.33</v>
      </c>
      <c r="C903" s="33">
        <f>'suku bunga'!$H907</f>
        <v>5.75</v>
      </c>
      <c r="D903" s="48">
        <f>'nilai tukar'!$H907</f>
        <v>14792</v>
      </c>
      <c r="E903" s="33">
        <f>'minyak mentah'!H907</f>
        <v>79.34</v>
      </c>
      <c r="F903" s="46">
        <f>emas!H907</f>
        <v>974740</v>
      </c>
    </row>
    <row r="904" spans="1:6" x14ac:dyDescent="0.3">
      <c r="A904" s="35">
        <f>inflasi!$G908</f>
        <v>45028</v>
      </c>
      <c r="B904" s="33">
        <f>inflasi!$H908</f>
        <v>4.33</v>
      </c>
      <c r="C904" s="33">
        <f>'suku bunga'!$H908</f>
        <v>5.75</v>
      </c>
      <c r="D904" s="48">
        <f>'nilai tukar'!$H908</f>
        <v>14866</v>
      </c>
      <c r="E904" s="33">
        <f>'minyak mentah'!H908</f>
        <v>79.34</v>
      </c>
      <c r="F904" s="46">
        <f>emas!H908</f>
        <v>980290</v>
      </c>
    </row>
    <row r="905" spans="1:6" x14ac:dyDescent="0.3">
      <c r="A905" s="35">
        <f>inflasi!$G909</f>
        <v>45027</v>
      </c>
      <c r="B905" s="33">
        <f>inflasi!$H909</f>
        <v>4.33</v>
      </c>
      <c r="C905" s="33">
        <f>'suku bunga'!$H909</f>
        <v>5.75</v>
      </c>
      <c r="D905" s="48">
        <f>'nilai tukar'!$H909</f>
        <v>14888</v>
      </c>
      <c r="E905" s="33">
        <f>'minyak mentah'!H909</f>
        <v>79.34</v>
      </c>
      <c r="F905" s="46">
        <f>emas!H909</f>
        <v>986850</v>
      </c>
    </row>
    <row r="906" spans="1:6" x14ac:dyDescent="0.3">
      <c r="A906" s="35">
        <f>inflasi!$G910</f>
        <v>45026</v>
      </c>
      <c r="B906" s="33">
        <f>inflasi!$H910</f>
        <v>4.33</v>
      </c>
      <c r="C906" s="33">
        <f>'suku bunga'!$H910</f>
        <v>5.75</v>
      </c>
      <c r="D906" s="48">
        <f>'nilai tukar'!$H910</f>
        <v>14905</v>
      </c>
      <c r="E906" s="33">
        <f>'minyak mentah'!H910</f>
        <v>79.34</v>
      </c>
      <c r="F906" s="46">
        <f>emas!H910</f>
        <v>986350</v>
      </c>
    </row>
    <row r="907" spans="1:6" x14ac:dyDescent="0.3">
      <c r="A907" s="35">
        <f>inflasi!$G911</f>
        <v>45025</v>
      </c>
      <c r="B907" s="33">
        <f>inflasi!$H911</f>
        <v>4.33</v>
      </c>
      <c r="C907" s="33">
        <f>'suku bunga'!$H911</f>
        <v>5.75</v>
      </c>
      <c r="D907" s="48">
        <f>'nilai tukar'!$H911</f>
        <v>14943</v>
      </c>
      <c r="E907" s="33">
        <f>'minyak mentah'!H911</f>
        <v>79.34</v>
      </c>
      <c r="F907" s="46">
        <f>emas!H911</f>
        <v>982820</v>
      </c>
    </row>
    <row r="908" spans="1:6" x14ac:dyDescent="0.3">
      <c r="A908" s="35">
        <f>inflasi!$G912</f>
        <v>45024</v>
      </c>
      <c r="B908" s="33">
        <f>inflasi!$H912</f>
        <v>4.33</v>
      </c>
      <c r="C908" s="33">
        <f>'suku bunga'!$H912</f>
        <v>5.75</v>
      </c>
      <c r="D908" s="48">
        <f>'nilai tukar'!$H912</f>
        <v>14943</v>
      </c>
      <c r="E908" s="33">
        <f>'minyak mentah'!H912</f>
        <v>79.34</v>
      </c>
      <c r="F908" s="46">
        <f>emas!H912</f>
        <v>982820</v>
      </c>
    </row>
    <row r="909" spans="1:6" x14ac:dyDescent="0.3">
      <c r="A909" s="35">
        <f>inflasi!$G913</f>
        <v>45023</v>
      </c>
      <c r="B909" s="33">
        <f>inflasi!$H913</f>
        <v>4.33</v>
      </c>
      <c r="C909" s="33">
        <f>'suku bunga'!$H913</f>
        <v>5.75</v>
      </c>
      <c r="D909" s="48">
        <f>'nilai tukar'!$H913</f>
        <v>14943</v>
      </c>
      <c r="E909" s="33">
        <f>'minyak mentah'!H913</f>
        <v>79.34</v>
      </c>
      <c r="F909" s="46">
        <f>emas!H913</f>
        <v>986350</v>
      </c>
    </row>
    <row r="910" spans="1:6" x14ac:dyDescent="0.3">
      <c r="A910" s="35">
        <f>inflasi!$G914</f>
        <v>45022</v>
      </c>
      <c r="B910" s="33">
        <f>inflasi!$H914</f>
        <v>4.33</v>
      </c>
      <c r="C910" s="33">
        <f>'suku bunga'!$H914</f>
        <v>5.75</v>
      </c>
      <c r="D910" s="48">
        <f>'nilai tukar'!$H914</f>
        <v>14943</v>
      </c>
      <c r="E910" s="33">
        <f>'minyak mentah'!H914</f>
        <v>79.34</v>
      </c>
      <c r="F910" s="46">
        <f>emas!H914</f>
        <v>986350</v>
      </c>
    </row>
    <row r="911" spans="1:6" x14ac:dyDescent="0.3">
      <c r="A911" s="35">
        <f>inflasi!$G915</f>
        <v>45021</v>
      </c>
      <c r="B911" s="33">
        <f>inflasi!$H915</f>
        <v>4.33</v>
      </c>
      <c r="C911" s="33">
        <f>'suku bunga'!$H915</f>
        <v>5.75</v>
      </c>
      <c r="D911" s="48">
        <f>'nilai tukar'!$H915</f>
        <v>14933</v>
      </c>
      <c r="E911" s="33">
        <f>'minyak mentah'!H915</f>
        <v>79.34</v>
      </c>
      <c r="F911" s="46">
        <f>emas!H915</f>
        <v>989370</v>
      </c>
    </row>
    <row r="912" spans="1:6" x14ac:dyDescent="0.3">
      <c r="A912" s="35">
        <f>inflasi!$G916</f>
        <v>45020</v>
      </c>
      <c r="B912" s="33">
        <f>inflasi!$H916</f>
        <v>4.33</v>
      </c>
      <c r="C912" s="33">
        <f>'suku bunga'!$H916</f>
        <v>5.75</v>
      </c>
      <c r="D912" s="48">
        <f>'nilai tukar'!$H916</f>
        <v>14913</v>
      </c>
      <c r="E912" s="33">
        <f>'minyak mentah'!H916</f>
        <v>79.34</v>
      </c>
      <c r="F912" s="46">
        <f>emas!H916</f>
        <v>978280</v>
      </c>
    </row>
    <row r="913" spans="1:6" x14ac:dyDescent="0.3">
      <c r="A913" s="35">
        <f>inflasi!$G917</f>
        <v>45019</v>
      </c>
      <c r="B913" s="33">
        <f>inflasi!$H917</f>
        <v>4.33</v>
      </c>
      <c r="C913" s="33">
        <f>'suku bunga'!$H917</f>
        <v>5.75</v>
      </c>
      <c r="D913" s="48">
        <f>'nilai tukar'!$H917</f>
        <v>14990</v>
      </c>
      <c r="E913" s="33">
        <f>'minyak mentah'!H917</f>
        <v>79.34</v>
      </c>
      <c r="F913" s="46">
        <f>emas!H917</f>
        <v>968690</v>
      </c>
    </row>
    <row r="914" spans="1:6" x14ac:dyDescent="0.3">
      <c r="A914" s="35">
        <f>inflasi!$G918</f>
        <v>45018</v>
      </c>
      <c r="B914" s="33">
        <f>inflasi!$H918</f>
        <v>4.33</v>
      </c>
      <c r="C914" s="33">
        <f>'suku bunga'!$H918</f>
        <v>5.75</v>
      </c>
      <c r="D914" s="48">
        <f>'nilai tukar'!$H918</f>
        <v>14977</v>
      </c>
      <c r="E914" s="33">
        <f>'minyak mentah'!H918</f>
        <v>79.34</v>
      </c>
      <c r="F914" s="46">
        <f>emas!H918</f>
        <v>964150</v>
      </c>
    </row>
    <row r="915" spans="1:6" x14ac:dyDescent="0.3">
      <c r="A915" s="35">
        <f>inflasi!$G919</f>
        <v>45017</v>
      </c>
      <c r="B915" s="33">
        <f>inflasi!$H919</f>
        <v>4.33</v>
      </c>
      <c r="C915" s="33">
        <f>'suku bunga'!$H919</f>
        <v>5.75</v>
      </c>
      <c r="D915" s="48">
        <f>'nilai tukar'!$H919</f>
        <v>14977</v>
      </c>
      <c r="E915" s="33">
        <f>'minyak mentah'!H919</f>
        <v>79.34</v>
      </c>
      <c r="F915" s="46">
        <f>emas!H919</f>
        <v>964150</v>
      </c>
    </row>
    <row r="916" spans="1:6" x14ac:dyDescent="0.3">
      <c r="A916" s="35">
        <f>inflasi!$G920</f>
        <v>45016</v>
      </c>
      <c r="B916" s="33">
        <f>inflasi!$H920</f>
        <v>4.97</v>
      </c>
      <c r="C916" s="33">
        <f>'suku bunga'!$H920</f>
        <v>5.75</v>
      </c>
      <c r="D916" s="48">
        <f>'nilai tukar'!$H920</f>
        <v>14977</v>
      </c>
      <c r="E916" s="33">
        <f>'minyak mentah'!H920</f>
        <v>74.59</v>
      </c>
      <c r="F916" s="46">
        <f>emas!H920</f>
        <v>969700</v>
      </c>
    </row>
    <row r="917" spans="1:6" x14ac:dyDescent="0.3">
      <c r="A917" s="35">
        <f>inflasi!$G921</f>
        <v>45015</v>
      </c>
      <c r="B917" s="33">
        <f>inflasi!$H921</f>
        <v>4.97</v>
      </c>
      <c r="C917" s="33">
        <f>'suku bunga'!$H921</f>
        <v>5.75</v>
      </c>
      <c r="D917" s="48">
        <f>'nilai tukar'!$H921</f>
        <v>15062</v>
      </c>
      <c r="E917" s="33">
        <f>'minyak mentah'!H921</f>
        <v>74.59</v>
      </c>
      <c r="F917" s="46">
        <f>emas!H921</f>
        <v>971720</v>
      </c>
    </row>
    <row r="918" spans="1:6" x14ac:dyDescent="0.3">
      <c r="A918" s="35">
        <f>inflasi!$G922</f>
        <v>45014</v>
      </c>
      <c r="B918" s="33">
        <f>inflasi!$H922</f>
        <v>4.97</v>
      </c>
      <c r="C918" s="33">
        <f>'suku bunga'!$H922</f>
        <v>5.75</v>
      </c>
      <c r="D918" s="48">
        <f>'nilai tukar'!$H922</f>
        <v>15094</v>
      </c>
      <c r="E918" s="33">
        <f>'minyak mentah'!H922</f>
        <v>74.59</v>
      </c>
      <c r="F918" s="46">
        <f>emas!H922</f>
        <v>967180</v>
      </c>
    </row>
    <row r="919" spans="1:6" x14ac:dyDescent="0.3">
      <c r="A919" s="35">
        <f>inflasi!$G923</f>
        <v>45013</v>
      </c>
      <c r="B919" s="33">
        <f>inflasi!$H923</f>
        <v>4.97</v>
      </c>
      <c r="C919" s="33">
        <f>'suku bunga'!$H923</f>
        <v>5.75</v>
      </c>
      <c r="D919" s="48">
        <f>'nilai tukar'!$H923</f>
        <v>15088</v>
      </c>
      <c r="E919" s="33">
        <f>'minyak mentah'!H923</f>
        <v>74.59</v>
      </c>
      <c r="F919" s="46">
        <f>emas!H923</f>
        <v>963140</v>
      </c>
    </row>
    <row r="920" spans="1:6" x14ac:dyDescent="0.3">
      <c r="A920" s="35">
        <f>inflasi!$G924</f>
        <v>45012</v>
      </c>
      <c r="B920" s="33">
        <f>inflasi!$H924</f>
        <v>4.97</v>
      </c>
      <c r="C920" s="33">
        <f>'suku bunga'!$H924</f>
        <v>5.75</v>
      </c>
      <c r="D920" s="48">
        <f>'nilai tukar'!$H924</f>
        <v>15174</v>
      </c>
      <c r="E920" s="33">
        <f>'minyak mentah'!H924</f>
        <v>74.59</v>
      </c>
      <c r="F920" s="46">
        <f>emas!H924</f>
        <v>974740</v>
      </c>
    </row>
    <row r="921" spans="1:6" x14ac:dyDescent="0.3">
      <c r="A921" s="35">
        <f>inflasi!$G925</f>
        <v>45011</v>
      </c>
      <c r="B921" s="33">
        <f>inflasi!$H925</f>
        <v>4.97</v>
      </c>
      <c r="C921" s="33">
        <f>'suku bunga'!$H925</f>
        <v>5.75</v>
      </c>
      <c r="D921" s="48">
        <f>'nilai tukar'!$H925</f>
        <v>15189</v>
      </c>
      <c r="E921" s="33">
        <f>'minyak mentah'!H925</f>
        <v>74.59</v>
      </c>
      <c r="F921" s="46">
        <f>emas!H925</f>
        <v>970710</v>
      </c>
    </row>
    <row r="922" spans="1:6" x14ac:dyDescent="0.3">
      <c r="A922" s="35">
        <f>inflasi!$G926</f>
        <v>45010</v>
      </c>
      <c r="B922" s="33">
        <f>inflasi!$H926</f>
        <v>4.97</v>
      </c>
      <c r="C922" s="33">
        <f>'suku bunga'!$H926</f>
        <v>5.75</v>
      </c>
      <c r="D922" s="48">
        <f>'nilai tukar'!$H926</f>
        <v>15189</v>
      </c>
      <c r="E922" s="33">
        <f>'minyak mentah'!H926</f>
        <v>74.59</v>
      </c>
      <c r="F922" s="46">
        <f>emas!H926</f>
        <v>970710</v>
      </c>
    </row>
    <row r="923" spans="1:6" x14ac:dyDescent="0.3">
      <c r="A923" s="35">
        <f>inflasi!$G927</f>
        <v>45009</v>
      </c>
      <c r="B923" s="33">
        <f>inflasi!$H927</f>
        <v>4.97</v>
      </c>
      <c r="C923" s="33">
        <f>'suku bunga'!$H927</f>
        <v>5.75</v>
      </c>
      <c r="D923" s="48">
        <f>'nilai tukar'!$H927</f>
        <v>15189</v>
      </c>
      <c r="E923" s="33">
        <f>'minyak mentah'!H927</f>
        <v>74.59</v>
      </c>
      <c r="F923" s="46">
        <f>emas!H927</f>
        <v>974740</v>
      </c>
    </row>
    <row r="924" spans="1:6" x14ac:dyDescent="0.3">
      <c r="A924" s="35">
        <f>inflasi!$G928</f>
        <v>45008</v>
      </c>
      <c r="B924" s="33">
        <f>inflasi!$H928</f>
        <v>4.97</v>
      </c>
      <c r="C924" s="33">
        <f>'suku bunga'!$H928</f>
        <v>5.75</v>
      </c>
      <c r="D924" s="48">
        <f>'nilai tukar'!$H928</f>
        <v>15349</v>
      </c>
      <c r="E924" s="33">
        <f>'minyak mentah'!H928</f>
        <v>74.59</v>
      </c>
      <c r="F924" s="46">
        <f>emas!H928</f>
        <v>964650</v>
      </c>
    </row>
    <row r="925" spans="1:6" x14ac:dyDescent="0.3">
      <c r="A925" s="35">
        <f>inflasi!$G929</f>
        <v>45007</v>
      </c>
      <c r="B925" s="33">
        <f>inflasi!$H929</f>
        <v>4.97</v>
      </c>
      <c r="C925" s="33">
        <f>'suku bunga'!$H929</f>
        <v>5.75</v>
      </c>
      <c r="D925" s="48">
        <f>'nilai tukar'!$H929</f>
        <v>15349</v>
      </c>
      <c r="E925" s="33">
        <f>'minyak mentah'!H929</f>
        <v>74.59</v>
      </c>
      <c r="F925" s="46">
        <f>emas!H929</f>
        <v>982820</v>
      </c>
    </row>
    <row r="926" spans="1:6" x14ac:dyDescent="0.3">
      <c r="A926" s="35">
        <f>inflasi!$G930</f>
        <v>45006</v>
      </c>
      <c r="B926" s="33">
        <f>inflasi!$H930</f>
        <v>4.97</v>
      </c>
      <c r="C926" s="33">
        <f>'suku bunga'!$H930</f>
        <v>5.75</v>
      </c>
      <c r="D926" s="48">
        <f>'nilai tukar'!$H930</f>
        <v>15349</v>
      </c>
      <c r="E926" s="33">
        <f>'minyak mentah'!H930</f>
        <v>74.59</v>
      </c>
      <c r="F926" s="46">
        <f>emas!H930</f>
        <v>982820</v>
      </c>
    </row>
    <row r="927" spans="1:6" x14ac:dyDescent="0.3">
      <c r="A927" s="35">
        <f>inflasi!$G931</f>
        <v>45005</v>
      </c>
      <c r="B927" s="33">
        <f>inflasi!$H931</f>
        <v>4.97</v>
      </c>
      <c r="C927" s="33">
        <f>'suku bunga'!$H931</f>
        <v>5.75</v>
      </c>
      <c r="D927" s="48">
        <f>'nilai tukar'!$H931</f>
        <v>15372</v>
      </c>
      <c r="E927" s="33">
        <f>'minyak mentah'!H931</f>
        <v>74.59</v>
      </c>
      <c r="F927" s="46">
        <f>emas!H931</f>
        <v>988870</v>
      </c>
    </row>
    <row r="928" spans="1:6" x14ac:dyDescent="0.3">
      <c r="A928" s="35">
        <f>inflasi!$G932</f>
        <v>45004</v>
      </c>
      <c r="B928" s="33">
        <f>inflasi!$H932</f>
        <v>4.97</v>
      </c>
      <c r="C928" s="33">
        <f>'suku bunga'!$H932</f>
        <v>5.75</v>
      </c>
      <c r="D928" s="48">
        <f>'nilai tukar'!$H932</f>
        <v>15364</v>
      </c>
      <c r="E928" s="33">
        <f>'minyak mentah'!H932</f>
        <v>74.59</v>
      </c>
      <c r="F928" s="46">
        <f>emas!H932</f>
        <v>987360</v>
      </c>
    </row>
    <row r="929" spans="1:6" x14ac:dyDescent="0.3">
      <c r="A929" s="35">
        <f>inflasi!$G933</f>
        <v>45003</v>
      </c>
      <c r="B929" s="33">
        <f>inflasi!$H933</f>
        <v>4.97</v>
      </c>
      <c r="C929" s="33">
        <f>'suku bunga'!$H933</f>
        <v>5.75</v>
      </c>
      <c r="D929" s="48">
        <f>'nilai tukar'!$H933</f>
        <v>15364</v>
      </c>
      <c r="E929" s="33">
        <f>'minyak mentah'!H933</f>
        <v>74.59</v>
      </c>
      <c r="F929" s="46">
        <f>emas!H933</f>
        <v>987360</v>
      </c>
    </row>
    <row r="930" spans="1:6" x14ac:dyDescent="0.3">
      <c r="A930" s="35">
        <f>inflasi!$G934</f>
        <v>45002</v>
      </c>
      <c r="B930" s="33">
        <f>inflasi!$H934</f>
        <v>4.97</v>
      </c>
      <c r="C930" s="33">
        <f>'suku bunga'!$H934</f>
        <v>5.75</v>
      </c>
      <c r="D930" s="48">
        <f>'nilai tukar'!$H934</f>
        <v>15364</v>
      </c>
      <c r="E930" s="33">
        <f>'minyak mentah'!H934</f>
        <v>74.59</v>
      </c>
      <c r="F930" s="46">
        <f>emas!H934</f>
        <v>956080</v>
      </c>
    </row>
    <row r="931" spans="1:6" x14ac:dyDescent="0.3">
      <c r="A931" s="35">
        <f>inflasi!$G935</f>
        <v>45001</v>
      </c>
      <c r="B931" s="33">
        <f>inflasi!$H935</f>
        <v>4.97</v>
      </c>
      <c r="C931" s="33">
        <f>'suku bunga'!$H935</f>
        <v>5.75</v>
      </c>
      <c r="D931" s="48">
        <f>'nilai tukar'!$H935</f>
        <v>15418</v>
      </c>
      <c r="E931" s="33">
        <f>'minyak mentah'!H935</f>
        <v>74.59</v>
      </c>
      <c r="F931" s="46">
        <f>emas!H935</f>
        <v>954060</v>
      </c>
    </row>
    <row r="932" spans="1:6" x14ac:dyDescent="0.3">
      <c r="A932" s="35">
        <f>inflasi!$G936</f>
        <v>45000</v>
      </c>
      <c r="B932" s="33">
        <f>inflasi!$H936</f>
        <v>4.97</v>
      </c>
      <c r="C932" s="33">
        <f>'suku bunga'!$H936</f>
        <v>5.75</v>
      </c>
      <c r="D932" s="48">
        <f>'nilai tukar'!$H936</f>
        <v>15365</v>
      </c>
      <c r="E932" s="33">
        <f>'minyak mentah'!H936</f>
        <v>74.59</v>
      </c>
      <c r="F932" s="46">
        <f>emas!H936</f>
        <v>942960</v>
      </c>
    </row>
    <row r="933" spans="1:6" x14ac:dyDescent="0.3">
      <c r="A933" s="35">
        <f>inflasi!$G937</f>
        <v>44999</v>
      </c>
      <c r="B933" s="33">
        <f>inflasi!$H937</f>
        <v>4.97</v>
      </c>
      <c r="C933" s="33">
        <f>'suku bunga'!$H937</f>
        <v>5.75</v>
      </c>
      <c r="D933" s="48">
        <f>'nilai tukar'!$H937</f>
        <v>15380</v>
      </c>
      <c r="E933" s="33">
        <f>'minyak mentah'!H937</f>
        <v>74.59</v>
      </c>
      <c r="F933" s="46">
        <f>emas!H937</f>
        <v>946490</v>
      </c>
    </row>
    <row r="934" spans="1:6" x14ac:dyDescent="0.3">
      <c r="A934" s="35">
        <f>inflasi!$G938</f>
        <v>44998</v>
      </c>
      <c r="B934" s="33">
        <f>inflasi!$H938</f>
        <v>4.97</v>
      </c>
      <c r="C934" s="33">
        <f>'suku bunga'!$H938</f>
        <v>5.75</v>
      </c>
      <c r="D934" s="48">
        <f>'nilai tukar'!$H938</f>
        <v>15374</v>
      </c>
      <c r="E934" s="33">
        <f>'minyak mentah'!H938</f>
        <v>74.59</v>
      </c>
      <c r="F934" s="46">
        <f>emas!H938</f>
        <v>931360</v>
      </c>
    </row>
    <row r="935" spans="1:6" x14ac:dyDescent="0.3">
      <c r="A935" s="35">
        <f>inflasi!$G939</f>
        <v>44997</v>
      </c>
      <c r="B935" s="33">
        <f>inflasi!$H939</f>
        <v>4.97</v>
      </c>
      <c r="C935" s="33">
        <f>'suku bunga'!$H939</f>
        <v>5.75</v>
      </c>
      <c r="D935" s="48">
        <f>'nilai tukar'!$H939</f>
        <v>15468</v>
      </c>
      <c r="E935" s="33">
        <f>'minyak mentah'!H939</f>
        <v>74.59</v>
      </c>
      <c r="F935" s="46">
        <f>emas!H939</f>
        <v>940940</v>
      </c>
    </row>
    <row r="936" spans="1:6" x14ac:dyDescent="0.3">
      <c r="A936" s="35">
        <f>inflasi!$G940</f>
        <v>44996</v>
      </c>
      <c r="B936" s="33">
        <f>inflasi!$H940</f>
        <v>4.97</v>
      </c>
      <c r="C936" s="33">
        <f>'suku bunga'!$H940</f>
        <v>5.75</v>
      </c>
      <c r="D936" s="48">
        <f>'nilai tukar'!$H940</f>
        <v>15468</v>
      </c>
      <c r="E936" s="33">
        <f>'minyak mentah'!H940</f>
        <v>74.59</v>
      </c>
      <c r="F936" s="46">
        <f>emas!H940</f>
        <v>940940</v>
      </c>
    </row>
    <row r="937" spans="1:6" x14ac:dyDescent="0.3">
      <c r="A937" s="35">
        <f>inflasi!$G941</f>
        <v>44995</v>
      </c>
      <c r="B937" s="33">
        <f>inflasi!$H941</f>
        <v>4.97</v>
      </c>
      <c r="C937" s="33">
        <f>'suku bunga'!$H941</f>
        <v>5.75</v>
      </c>
      <c r="D937" s="48">
        <f>'nilai tukar'!$H941</f>
        <v>15468</v>
      </c>
      <c r="E937" s="33">
        <f>'minyak mentah'!H941</f>
        <v>74.59</v>
      </c>
      <c r="F937" s="46">
        <f>emas!H941</f>
        <v>931860</v>
      </c>
    </row>
    <row r="938" spans="1:6" x14ac:dyDescent="0.3">
      <c r="A938" s="35">
        <f>inflasi!$G942</f>
        <v>44994</v>
      </c>
      <c r="B938" s="33">
        <f>inflasi!$H942</f>
        <v>4.97</v>
      </c>
      <c r="C938" s="33">
        <f>'suku bunga'!$H942</f>
        <v>5.75</v>
      </c>
      <c r="D938" s="48">
        <f>'nilai tukar'!$H942</f>
        <v>15438</v>
      </c>
      <c r="E938" s="33">
        <f>'minyak mentah'!H942</f>
        <v>74.59</v>
      </c>
      <c r="F938" s="46">
        <f>emas!H942</f>
        <v>923290</v>
      </c>
    </row>
    <row r="939" spans="1:6" x14ac:dyDescent="0.3">
      <c r="A939" s="35">
        <f>inflasi!$G943</f>
        <v>44993</v>
      </c>
      <c r="B939" s="33">
        <f>inflasi!$H943</f>
        <v>4.97</v>
      </c>
      <c r="C939" s="33">
        <f>'suku bunga'!$H943</f>
        <v>5.75</v>
      </c>
      <c r="D939" s="48">
        <f>'nilai tukar'!$H943</f>
        <v>15451</v>
      </c>
      <c r="E939" s="33">
        <f>'minyak mentah'!H943</f>
        <v>74.59</v>
      </c>
      <c r="F939" s="46">
        <f>emas!H943</f>
        <v>914200</v>
      </c>
    </row>
    <row r="940" spans="1:6" x14ac:dyDescent="0.3">
      <c r="A940" s="35">
        <f>inflasi!$G944</f>
        <v>44992</v>
      </c>
      <c r="B940" s="33">
        <f>inflasi!$H944</f>
        <v>4.97</v>
      </c>
      <c r="C940" s="33">
        <f>'suku bunga'!$H944</f>
        <v>5.75</v>
      </c>
      <c r="D940" s="48">
        <f>'nilai tukar'!$H944</f>
        <v>15359</v>
      </c>
      <c r="E940" s="33">
        <f>'minyak mentah'!H944</f>
        <v>74.59</v>
      </c>
      <c r="F940" s="46">
        <f>emas!H944</f>
        <v>927830</v>
      </c>
    </row>
    <row r="941" spans="1:6" x14ac:dyDescent="0.3">
      <c r="A941" s="35">
        <f>inflasi!$G945</f>
        <v>44991</v>
      </c>
      <c r="B941" s="33">
        <f>inflasi!$H945</f>
        <v>4.97</v>
      </c>
      <c r="C941" s="33">
        <f>'suku bunga'!$H945</f>
        <v>5.75</v>
      </c>
      <c r="D941" s="48">
        <f>'nilai tukar'!$H945</f>
        <v>15301</v>
      </c>
      <c r="E941" s="33">
        <f>'minyak mentah'!H945</f>
        <v>74.59</v>
      </c>
      <c r="F941" s="46">
        <f>emas!H945</f>
        <v>931360</v>
      </c>
    </row>
    <row r="942" spans="1:6" x14ac:dyDescent="0.3">
      <c r="A942" s="35">
        <f>inflasi!$G946</f>
        <v>44990</v>
      </c>
      <c r="B942" s="33">
        <f>inflasi!$H946</f>
        <v>4.97</v>
      </c>
      <c r="C942" s="33">
        <f>'suku bunga'!$H946</f>
        <v>5.75</v>
      </c>
      <c r="D942" s="48">
        <f>'nilai tukar'!$H946</f>
        <v>15306</v>
      </c>
      <c r="E942" s="33">
        <f>'minyak mentah'!H946</f>
        <v>74.59</v>
      </c>
      <c r="F942" s="46">
        <f>emas!H946</f>
        <v>917740</v>
      </c>
    </row>
    <row r="943" spans="1:6" x14ac:dyDescent="0.3">
      <c r="A943" s="35">
        <f>inflasi!$G947</f>
        <v>44989</v>
      </c>
      <c r="B943" s="33">
        <f>inflasi!$H947</f>
        <v>4.97</v>
      </c>
      <c r="C943" s="33">
        <f>'suku bunga'!$H947</f>
        <v>5.75</v>
      </c>
      <c r="D943" s="48">
        <f>'nilai tukar'!$H947</f>
        <v>15306</v>
      </c>
      <c r="E943" s="33">
        <f>'minyak mentah'!H947</f>
        <v>74.59</v>
      </c>
      <c r="F943" s="46">
        <f>emas!H947</f>
        <v>917740</v>
      </c>
    </row>
    <row r="944" spans="1:6" x14ac:dyDescent="0.3">
      <c r="A944" s="35">
        <f>inflasi!$G948</f>
        <v>44988</v>
      </c>
      <c r="B944" s="33">
        <f>inflasi!$H948</f>
        <v>4.97</v>
      </c>
      <c r="C944" s="33">
        <f>'suku bunga'!$H948</f>
        <v>5.75</v>
      </c>
      <c r="D944" s="48">
        <f>'nilai tukar'!$H948</f>
        <v>15306</v>
      </c>
      <c r="E944" s="33">
        <f>'minyak mentah'!H948</f>
        <v>74.59</v>
      </c>
      <c r="F944" s="46">
        <f>emas!H948</f>
        <v>917740</v>
      </c>
    </row>
    <row r="945" spans="1:6" x14ac:dyDescent="0.3">
      <c r="A945" s="35">
        <f>inflasi!$G949</f>
        <v>44987</v>
      </c>
      <c r="B945" s="33">
        <f>inflasi!$H949</f>
        <v>4.97</v>
      </c>
      <c r="C945" s="33">
        <f>'suku bunga'!$H949</f>
        <v>5.75</v>
      </c>
      <c r="D945" s="48">
        <f>'nilai tukar'!$H949</f>
        <v>15273</v>
      </c>
      <c r="E945" s="33">
        <f>'minyak mentah'!H949</f>
        <v>74.59</v>
      </c>
      <c r="F945" s="46">
        <f>emas!H949</f>
        <v>919250</v>
      </c>
    </row>
    <row r="946" spans="1:6" x14ac:dyDescent="0.3">
      <c r="A946" s="35">
        <f>inflasi!$G950</f>
        <v>44986</v>
      </c>
      <c r="B946" s="33">
        <f>inflasi!$H950</f>
        <v>4.97</v>
      </c>
      <c r="C946" s="33">
        <f>'suku bunga'!$H950</f>
        <v>5.75</v>
      </c>
      <c r="D946" s="48">
        <f>'nilai tukar'!$H950</f>
        <v>15250</v>
      </c>
      <c r="E946" s="33">
        <f>'minyak mentah'!H950</f>
        <v>74.59</v>
      </c>
      <c r="F946" s="46">
        <f>emas!H950</f>
        <v>905630</v>
      </c>
    </row>
    <row r="947" spans="1:6" x14ac:dyDescent="0.3">
      <c r="A947" s="35">
        <f>inflasi!$G951</f>
        <v>44985</v>
      </c>
      <c r="B947" s="33">
        <f>inflasi!$H951</f>
        <v>5.47</v>
      </c>
      <c r="C947" s="33">
        <f>'suku bunga'!$H951</f>
        <v>5.75</v>
      </c>
      <c r="D947" s="48">
        <f>'nilai tukar'!$H951</f>
        <v>15240</v>
      </c>
      <c r="E947" s="33">
        <f>'minyak mentah'!H951</f>
        <v>79.48</v>
      </c>
      <c r="F947" s="46">
        <f>emas!H951</f>
        <v>906640</v>
      </c>
    </row>
    <row r="948" spans="1:6" x14ac:dyDescent="0.3">
      <c r="A948" s="35">
        <f>inflasi!$G952</f>
        <v>44984</v>
      </c>
      <c r="B948" s="33">
        <f>inflasi!$H952</f>
        <v>5.47</v>
      </c>
      <c r="C948" s="33">
        <f>'suku bunga'!$H952</f>
        <v>5.75</v>
      </c>
      <c r="D948" s="48">
        <f>'nilai tukar'!$H952</f>
        <v>15274</v>
      </c>
      <c r="E948" s="33">
        <f>'minyak mentah'!H952</f>
        <v>79.48</v>
      </c>
      <c r="F948" s="46">
        <f>emas!H952</f>
        <v>909110</v>
      </c>
    </row>
    <row r="949" spans="1:6" x14ac:dyDescent="0.3">
      <c r="A949" s="35">
        <f>inflasi!$G953</f>
        <v>44983</v>
      </c>
      <c r="B949" s="33">
        <f>inflasi!$H953</f>
        <v>5.47</v>
      </c>
      <c r="C949" s="33">
        <f>'suku bunga'!$H953</f>
        <v>5.75</v>
      </c>
      <c r="D949" s="48">
        <f>'nilai tukar'!$H953</f>
        <v>15216</v>
      </c>
      <c r="E949" s="33">
        <f>'minyak mentah'!H953</f>
        <v>79.48</v>
      </c>
      <c r="F949" s="46">
        <f>emas!H953</f>
        <v>905630</v>
      </c>
    </row>
    <row r="950" spans="1:6" x14ac:dyDescent="0.3">
      <c r="A950" s="35">
        <f>inflasi!$G954</f>
        <v>44982</v>
      </c>
      <c r="B950" s="33">
        <f>inflasi!$H954</f>
        <v>5.47</v>
      </c>
      <c r="C950" s="33">
        <f>'suku bunga'!$H954</f>
        <v>5.75</v>
      </c>
      <c r="D950" s="48">
        <f>'nilai tukar'!$H954</f>
        <v>15216</v>
      </c>
      <c r="E950" s="33">
        <f>'minyak mentah'!H954</f>
        <v>79.48</v>
      </c>
      <c r="F950" s="46">
        <f>emas!H954</f>
        <v>905630</v>
      </c>
    </row>
    <row r="951" spans="1:6" x14ac:dyDescent="0.3">
      <c r="A951" s="35">
        <f>inflasi!$G955</f>
        <v>44981</v>
      </c>
      <c r="B951" s="33">
        <f>inflasi!$H955</f>
        <v>5.47</v>
      </c>
      <c r="C951" s="33">
        <f>'suku bunga'!$H955</f>
        <v>5.75</v>
      </c>
      <c r="D951" s="48">
        <f>'nilai tukar'!$H955</f>
        <v>15216</v>
      </c>
      <c r="E951" s="33">
        <f>'minyak mentah'!H955</f>
        <v>79.48</v>
      </c>
      <c r="F951" s="46">
        <f>emas!H955</f>
        <v>909160</v>
      </c>
    </row>
    <row r="952" spans="1:6" x14ac:dyDescent="0.3">
      <c r="A952" s="35">
        <f>inflasi!$G956</f>
        <v>44980</v>
      </c>
      <c r="B952" s="33">
        <f>inflasi!$H956</f>
        <v>5.47</v>
      </c>
      <c r="C952" s="33">
        <f>'suku bunga'!$H956</f>
        <v>5.75</v>
      </c>
      <c r="D952" s="48">
        <f>'nilai tukar'!$H956</f>
        <v>15187</v>
      </c>
      <c r="E952" s="33">
        <f>'minyak mentah'!H956</f>
        <v>79.48</v>
      </c>
      <c r="F952" s="46">
        <f>emas!H956</f>
        <v>914200</v>
      </c>
    </row>
    <row r="953" spans="1:6" x14ac:dyDescent="0.3">
      <c r="A953" s="35">
        <f>inflasi!$G957</f>
        <v>44979</v>
      </c>
      <c r="B953" s="33">
        <f>inflasi!$H957</f>
        <v>5.47</v>
      </c>
      <c r="C953" s="33">
        <f>'suku bunga'!$H957</f>
        <v>5.75</v>
      </c>
      <c r="D953" s="48">
        <f>'nilai tukar'!$H957</f>
        <v>15218</v>
      </c>
      <c r="E953" s="33">
        <f>'minyak mentah'!H957</f>
        <v>79.48</v>
      </c>
      <c r="F953" s="46">
        <f>emas!H957</f>
        <v>913700</v>
      </c>
    </row>
    <row r="954" spans="1:6" x14ac:dyDescent="0.3">
      <c r="A954" s="35">
        <f>inflasi!$G958</f>
        <v>44978</v>
      </c>
      <c r="B954" s="33">
        <f>inflasi!$H958</f>
        <v>5.47</v>
      </c>
      <c r="C954" s="33">
        <f>'suku bunga'!$H958</f>
        <v>5.75</v>
      </c>
      <c r="D954" s="48">
        <f>'nilai tukar'!$H958</f>
        <v>15179</v>
      </c>
      <c r="E954" s="33">
        <f>'minyak mentah'!H958</f>
        <v>79.48</v>
      </c>
      <c r="F954" s="46">
        <f>emas!H958</f>
        <v>915720</v>
      </c>
    </row>
    <row r="955" spans="1:6" x14ac:dyDescent="0.3">
      <c r="A955" s="35">
        <f>inflasi!$G959</f>
        <v>44977</v>
      </c>
      <c r="B955" s="33">
        <f>inflasi!$H959</f>
        <v>5.47</v>
      </c>
      <c r="C955" s="33">
        <f>'suku bunga'!$H959</f>
        <v>5.75</v>
      </c>
      <c r="D955" s="48">
        <f>'nilai tukar'!$H959</f>
        <v>15168</v>
      </c>
      <c r="E955" s="33">
        <f>'minyak mentah'!H959</f>
        <v>79.48</v>
      </c>
      <c r="F955" s="46">
        <f>emas!H959</f>
        <v>915720</v>
      </c>
    </row>
    <row r="956" spans="1:6" x14ac:dyDescent="0.3">
      <c r="A956" s="35">
        <f>inflasi!$G960</f>
        <v>44976</v>
      </c>
      <c r="B956" s="33">
        <f>inflasi!$H960</f>
        <v>5.47</v>
      </c>
      <c r="C956" s="33">
        <f>'suku bunga'!$H960</f>
        <v>5.75</v>
      </c>
      <c r="D956" s="48">
        <f>'nilai tukar'!$H960</f>
        <v>15199</v>
      </c>
      <c r="E956" s="33">
        <f>'minyak mentah'!H960</f>
        <v>79.48</v>
      </c>
      <c r="F956" s="46">
        <f>emas!H960</f>
        <v>916220</v>
      </c>
    </row>
    <row r="957" spans="1:6" x14ac:dyDescent="0.3">
      <c r="A957" s="35">
        <f>inflasi!$G961</f>
        <v>44975</v>
      </c>
      <c r="B957" s="33">
        <f>inflasi!$H961</f>
        <v>5.47</v>
      </c>
      <c r="C957" s="33">
        <f>'suku bunga'!$H961</f>
        <v>5.75</v>
      </c>
      <c r="D957" s="48">
        <f>'nilai tukar'!$H961</f>
        <v>15199</v>
      </c>
      <c r="E957" s="33">
        <f>'minyak mentah'!H961</f>
        <v>79.48</v>
      </c>
      <c r="F957" s="46">
        <f>emas!H961</f>
        <v>916220</v>
      </c>
    </row>
    <row r="958" spans="1:6" x14ac:dyDescent="0.3">
      <c r="A958" s="35">
        <f>inflasi!$G962</f>
        <v>44974</v>
      </c>
      <c r="B958" s="33">
        <f>inflasi!$H962</f>
        <v>5.47</v>
      </c>
      <c r="C958" s="33">
        <f>'suku bunga'!$H962</f>
        <v>5.75</v>
      </c>
      <c r="D958" s="48">
        <f>'nilai tukar'!$H962</f>
        <v>15199</v>
      </c>
      <c r="E958" s="33">
        <f>'minyak mentah'!H962</f>
        <v>79.48</v>
      </c>
      <c r="F958" s="46">
        <f>emas!H962</f>
        <v>911180</v>
      </c>
    </row>
    <row r="959" spans="1:6" x14ac:dyDescent="0.3">
      <c r="A959" s="35">
        <f>inflasi!$G963</f>
        <v>44973</v>
      </c>
      <c r="B959" s="33">
        <f>inflasi!$H963</f>
        <v>5.47</v>
      </c>
      <c r="C959" s="33">
        <f>'suku bunga'!$H963</f>
        <v>5.75</v>
      </c>
      <c r="D959" s="48">
        <f>'nilai tukar'!$H963</f>
        <v>15176</v>
      </c>
      <c r="E959" s="33">
        <f>'minyak mentah'!H963</f>
        <v>79.48</v>
      </c>
      <c r="F959" s="46">
        <f>emas!H963</f>
        <v>916220</v>
      </c>
    </row>
    <row r="960" spans="1:6" x14ac:dyDescent="0.3">
      <c r="A960" s="35">
        <f>inflasi!$G964</f>
        <v>44972</v>
      </c>
      <c r="B960" s="33">
        <f>inflasi!$H964</f>
        <v>5.47</v>
      </c>
      <c r="C960" s="33">
        <f>'suku bunga'!$H964</f>
        <v>5.75</v>
      </c>
      <c r="D960" s="48">
        <f>'nilai tukar'!$H964</f>
        <v>15194</v>
      </c>
      <c r="E960" s="33">
        <f>'minyak mentah'!H964</f>
        <v>79.48</v>
      </c>
      <c r="F960" s="46">
        <f>emas!H964</f>
        <v>920760</v>
      </c>
    </row>
    <row r="961" spans="1:6" x14ac:dyDescent="0.3">
      <c r="A961" s="35">
        <f>inflasi!$G965</f>
        <v>44971</v>
      </c>
      <c r="B961" s="33">
        <f>inflasi!$H965</f>
        <v>5.47</v>
      </c>
      <c r="C961" s="33">
        <f>'suku bunga'!$H965</f>
        <v>5.75</v>
      </c>
      <c r="D961" s="48">
        <f>'nilai tukar'!$H965</f>
        <v>15168</v>
      </c>
      <c r="E961" s="33">
        <f>'minyak mentah'!H965</f>
        <v>79.48</v>
      </c>
      <c r="F961" s="46">
        <f>emas!H965</f>
        <v>924800</v>
      </c>
    </row>
    <row r="962" spans="1:6" x14ac:dyDescent="0.3">
      <c r="A962" s="35">
        <f>inflasi!$G966</f>
        <v>44970</v>
      </c>
      <c r="B962" s="33">
        <f>inflasi!$H966</f>
        <v>5.47</v>
      </c>
      <c r="C962" s="33">
        <f>'suku bunga'!$H966</f>
        <v>5.75</v>
      </c>
      <c r="D962" s="48">
        <f>'nilai tukar'!$H966</f>
        <v>15216</v>
      </c>
      <c r="E962" s="33">
        <f>'minyak mentah'!H966</f>
        <v>79.48</v>
      </c>
      <c r="F962" s="46">
        <f>emas!H966</f>
        <v>924290</v>
      </c>
    </row>
    <row r="963" spans="1:6" x14ac:dyDescent="0.3">
      <c r="A963" s="35">
        <f>inflasi!$G967</f>
        <v>44969</v>
      </c>
      <c r="B963" s="33">
        <f>inflasi!$H967</f>
        <v>5.47</v>
      </c>
      <c r="C963" s="33">
        <f>'suku bunga'!$H967</f>
        <v>5.75</v>
      </c>
      <c r="D963" s="48">
        <f>'nilai tukar'!$H967</f>
        <v>15140</v>
      </c>
      <c r="E963" s="33">
        <f>'minyak mentah'!H967</f>
        <v>79.48</v>
      </c>
      <c r="F963" s="46">
        <f>emas!H967</f>
        <v>928330</v>
      </c>
    </row>
    <row r="964" spans="1:6" x14ac:dyDescent="0.3">
      <c r="A964" s="35">
        <f>inflasi!$G968</f>
        <v>44968</v>
      </c>
      <c r="B964" s="33">
        <f>inflasi!$H968</f>
        <v>5.47</v>
      </c>
      <c r="C964" s="33">
        <f>'suku bunga'!$H968</f>
        <v>5.75</v>
      </c>
      <c r="D964" s="48">
        <f>'nilai tukar'!$H968</f>
        <v>15140</v>
      </c>
      <c r="E964" s="33">
        <f>'minyak mentah'!H968</f>
        <v>79.48</v>
      </c>
      <c r="F964" s="46">
        <f>emas!H968</f>
        <v>928330</v>
      </c>
    </row>
    <row r="965" spans="1:6" x14ac:dyDescent="0.3">
      <c r="A965" s="35">
        <f>inflasi!$G969</f>
        <v>44967</v>
      </c>
      <c r="B965" s="33">
        <f>inflasi!$H969</f>
        <v>5.47</v>
      </c>
      <c r="C965" s="33">
        <f>'suku bunga'!$H969</f>
        <v>5.75</v>
      </c>
      <c r="D965" s="48">
        <f>'nilai tukar'!$H969</f>
        <v>15140</v>
      </c>
      <c r="E965" s="33">
        <f>'minyak mentah'!H969</f>
        <v>79.48</v>
      </c>
      <c r="F965" s="46">
        <f>emas!H969</f>
        <v>924800</v>
      </c>
    </row>
    <row r="966" spans="1:6" x14ac:dyDescent="0.3">
      <c r="A966" s="35">
        <f>inflasi!$G970</f>
        <v>44966</v>
      </c>
      <c r="B966" s="33">
        <f>inflasi!$H970</f>
        <v>5.47</v>
      </c>
      <c r="C966" s="33">
        <f>'suku bunga'!$H970</f>
        <v>5.75</v>
      </c>
      <c r="D966" s="48">
        <f>'nilai tukar'!$H970</f>
        <v>15120</v>
      </c>
      <c r="E966" s="33">
        <f>'minyak mentah'!H970</f>
        <v>79.48</v>
      </c>
      <c r="F966" s="46">
        <f>emas!H970</f>
        <v>932370</v>
      </c>
    </row>
    <row r="967" spans="1:6" x14ac:dyDescent="0.3">
      <c r="A967" s="35">
        <f>inflasi!$G971</f>
        <v>44965</v>
      </c>
      <c r="B967" s="33">
        <f>inflasi!$H971</f>
        <v>5.47</v>
      </c>
      <c r="C967" s="33">
        <f>'suku bunga'!$H971</f>
        <v>5.75</v>
      </c>
      <c r="D967" s="48">
        <f>'nilai tukar'!$H971</f>
        <v>15122</v>
      </c>
      <c r="E967" s="33">
        <f>'minyak mentah'!H971</f>
        <v>79.48</v>
      </c>
      <c r="F967" s="46">
        <f>emas!H971</f>
        <v>926310</v>
      </c>
    </row>
    <row r="968" spans="1:6" x14ac:dyDescent="0.3">
      <c r="A968" s="35">
        <f>inflasi!$G972</f>
        <v>44964</v>
      </c>
      <c r="B968" s="33">
        <f>inflasi!$H972</f>
        <v>5.47</v>
      </c>
      <c r="C968" s="33">
        <f>'suku bunga'!$H972</f>
        <v>5.75</v>
      </c>
      <c r="D968" s="48">
        <f>'nilai tukar'!$H972</f>
        <v>15139</v>
      </c>
      <c r="E968" s="33">
        <f>'minyak mentah'!H972</f>
        <v>79.48</v>
      </c>
      <c r="F968" s="46">
        <f>emas!H972</f>
        <v>927320</v>
      </c>
    </row>
    <row r="969" spans="1:6" x14ac:dyDescent="0.3">
      <c r="A969" s="35">
        <f>inflasi!$G973</f>
        <v>44963</v>
      </c>
      <c r="B969" s="33">
        <f>inflasi!$H973</f>
        <v>5.47</v>
      </c>
      <c r="C969" s="33">
        <f>'suku bunga'!$H973</f>
        <v>5.75</v>
      </c>
      <c r="D969" s="48">
        <f>'nilai tukar'!$H973</f>
        <v>15055</v>
      </c>
      <c r="E969" s="33">
        <f>'minyak mentah'!H973</f>
        <v>79.48</v>
      </c>
      <c r="F969" s="46">
        <f>emas!H973</f>
        <v>927320</v>
      </c>
    </row>
    <row r="970" spans="1:6" x14ac:dyDescent="0.3">
      <c r="A970" s="35">
        <f>inflasi!$G974</f>
        <v>44962</v>
      </c>
      <c r="B970" s="33">
        <f>inflasi!$H974</f>
        <v>5.47</v>
      </c>
      <c r="C970" s="33">
        <f>'suku bunga'!$H974</f>
        <v>5.75</v>
      </c>
      <c r="D970" s="48">
        <f>'nilai tukar'!$H974</f>
        <v>14898</v>
      </c>
      <c r="E970" s="33">
        <f>'minyak mentah'!H974</f>
        <v>79.48</v>
      </c>
      <c r="F970" s="46">
        <f>emas!H974</f>
        <v>923290</v>
      </c>
    </row>
    <row r="971" spans="1:6" x14ac:dyDescent="0.3">
      <c r="A971" s="35">
        <f>inflasi!$G975</f>
        <v>44961</v>
      </c>
      <c r="B971" s="33">
        <f>inflasi!$H975</f>
        <v>5.47</v>
      </c>
      <c r="C971" s="33">
        <f>'suku bunga'!$H975</f>
        <v>5.75</v>
      </c>
      <c r="D971" s="48">
        <f>'nilai tukar'!$H975</f>
        <v>14898</v>
      </c>
      <c r="E971" s="33">
        <f>'minyak mentah'!H975</f>
        <v>79.48</v>
      </c>
      <c r="F971" s="46">
        <f>emas!H975</f>
        <v>923290</v>
      </c>
    </row>
    <row r="972" spans="1:6" x14ac:dyDescent="0.3">
      <c r="A972" s="35">
        <f>inflasi!$G976</f>
        <v>44960</v>
      </c>
      <c r="B972" s="33">
        <f>inflasi!$H976</f>
        <v>5.47</v>
      </c>
      <c r="C972" s="33">
        <f>'suku bunga'!$H976</f>
        <v>5.75</v>
      </c>
      <c r="D972" s="48">
        <f>'nilai tukar'!$H976</f>
        <v>14898</v>
      </c>
      <c r="E972" s="33">
        <f>'minyak mentah'!H976</f>
        <v>79.48</v>
      </c>
      <c r="F972" s="46">
        <f>emas!H976</f>
        <v>935390</v>
      </c>
    </row>
    <row r="973" spans="1:6" x14ac:dyDescent="0.3">
      <c r="A973" s="35">
        <f>inflasi!$G977</f>
        <v>44959</v>
      </c>
      <c r="B973" s="33">
        <f>inflasi!$H977</f>
        <v>5.47</v>
      </c>
      <c r="C973" s="33">
        <f>'suku bunga'!$H977</f>
        <v>5.75</v>
      </c>
      <c r="D973" s="48">
        <f>'nilai tukar'!$H977</f>
        <v>14868</v>
      </c>
      <c r="E973" s="33">
        <f>'minyak mentah'!H977</f>
        <v>79.48</v>
      </c>
      <c r="F973" s="46">
        <f>emas!H977</f>
        <v>942460</v>
      </c>
    </row>
    <row r="974" spans="1:6" x14ac:dyDescent="0.3">
      <c r="A974" s="35">
        <f>inflasi!$G978</f>
        <v>44958</v>
      </c>
      <c r="B974" s="33">
        <f>inflasi!$H978</f>
        <v>5.47</v>
      </c>
      <c r="C974" s="33">
        <f>'suku bunga'!$H978</f>
        <v>5.75</v>
      </c>
      <c r="D974" s="48">
        <f>'nilai tukar'!$H978</f>
        <v>14991</v>
      </c>
      <c r="E974" s="33">
        <f>'minyak mentah'!H978</f>
        <v>79.48</v>
      </c>
      <c r="F974" s="46">
        <f>emas!H978</f>
        <v>937410</v>
      </c>
    </row>
    <row r="975" spans="1:6" x14ac:dyDescent="0.3">
      <c r="A975" s="35">
        <f>inflasi!$G979</f>
        <v>44957</v>
      </c>
      <c r="B975" s="33">
        <f>inflasi!$H979</f>
        <v>5.28</v>
      </c>
      <c r="C975" s="33">
        <f>'suku bunga'!$H979</f>
        <v>5.75</v>
      </c>
      <c r="D975" s="48">
        <f>'nilai tukar'!$H979</f>
        <v>14992</v>
      </c>
      <c r="E975" s="33">
        <f>'minyak mentah'!H979</f>
        <v>78.540000000000006</v>
      </c>
      <c r="F975" s="46">
        <f>emas!H979</f>
        <v>937920</v>
      </c>
    </row>
    <row r="976" spans="1:6" x14ac:dyDescent="0.3">
      <c r="A976" s="35">
        <f>inflasi!$G980</f>
        <v>44956</v>
      </c>
      <c r="B976" s="33">
        <f>inflasi!$H980</f>
        <v>5.28</v>
      </c>
      <c r="C976" s="33">
        <f>'suku bunga'!$H980</f>
        <v>5.75</v>
      </c>
      <c r="D976" s="48">
        <f>'nilai tukar'!$H980</f>
        <v>14979</v>
      </c>
      <c r="E976" s="33">
        <f>'minyak mentah'!H980</f>
        <v>78.540000000000006</v>
      </c>
      <c r="F976" s="46">
        <f>emas!H980</f>
        <v>939430</v>
      </c>
    </row>
    <row r="977" spans="1:6" x14ac:dyDescent="0.3">
      <c r="A977" s="35">
        <f>inflasi!$G981</f>
        <v>44955</v>
      </c>
      <c r="B977" s="33">
        <f>inflasi!$H981</f>
        <v>5.28</v>
      </c>
      <c r="C977" s="33">
        <f>'suku bunga'!$H981</f>
        <v>5.75</v>
      </c>
      <c r="D977" s="48">
        <f>'nilai tukar'!$H981</f>
        <v>14978</v>
      </c>
      <c r="E977" s="33">
        <f>'minyak mentah'!H981</f>
        <v>78.540000000000006</v>
      </c>
      <c r="F977" s="46">
        <f>emas!H981</f>
        <v>939430</v>
      </c>
    </row>
    <row r="978" spans="1:6" x14ac:dyDescent="0.3">
      <c r="A978" s="35">
        <f>inflasi!$G982</f>
        <v>44954</v>
      </c>
      <c r="B978" s="33">
        <f>inflasi!$H982</f>
        <v>5.28</v>
      </c>
      <c r="C978" s="33">
        <f>'suku bunga'!$H982</f>
        <v>5.75</v>
      </c>
      <c r="D978" s="48">
        <f>'nilai tukar'!$H982</f>
        <v>14978</v>
      </c>
      <c r="E978" s="33">
        <f>'minyak mentah'!H982</f>
        <v>78.540000000000006</v>
      </c>
      <c r="F978" s="46">
        <f>emas!H982</f>
        <v>939430</v>
      </c>
    </row>
    <row r="979" spans="1:6" x14ac:dyDescent="0.3">
      <c r="A979" s="35">
        <f>inflasi!$G983</f>
        <v>44953</v>
      </c>
      <c r="B979" s="33">
        <f>inflasi!$H983</f>
        <v>5.28</v>
      </c>
      <c r="C979" s="33">
        <f>'suku bunga'!$H983</f>
        <v>5.75</v>
      </c>
      <c r="D979" s="48">
        <f>'nilai tukar'!$H983</f>
        <v>14978</v>
      </c>
      <c r="E979" s="33">
        <f>'minyak mentah'!H983</f>
        <v>78.540000000000006</v>
      </c>
      <c r="F979" s="46">
        <f>emas!H983</f>
        <v>938920</v>
      </c>
    </row>
    <row r="980" spans="1:6" x14ac:dyDescent="0.3">
      <c r="A980" s="35">
        <f>inflasi!$G984</f>
        <v>44952</v>
      </c>
      <c r="B980" s="33">
        <f>inflasi!$H984</f>
        <v>5.28</v>
      </c>
      <c r="C980" s="33">
        <f>'suku bunga'!$H984</f>
        <v>5.75</v>
      </c>
      <c r="D980" s="48">
        <f>'nilai tukar'!$H984</f>
        <v>14964</v>
      </c>
      <c r="E980" s="33">
        <f>'minyak mentah'!H984</f>
        <v>78.540000000000006</v>
      </c>
      <c r="F980" s="46">
        <f>emas!H984</f>
        <v>946490</v>
      </c>
    </row>
    <row r="981" spans="1:6" x14ac:dyDescent="0.3">
      <c r="A981" s="35">
        <f>inflasi!$G985</f>
        <v>44951</v>
      </c>
      <c r="B981" s="33">
        <f>inflasi!$H985</f>
        <v>5.28</v>
      </c>
      <c r="C981" s="33">
        <f>'suku bunga'!$H985</f>
        <v>5.75</v>
      </c>
      <c r="D981" s="48">
        <f>'nilai tukar'!$H985</f>
        <v>14958</v>
      </c>
      <c r="E981" s="33">
        <f>'minyak mentah'!H985</f>
        <v>78.540000000000006</v>
      </c>
      <c r="F981" s="46">
        <f>emas!H985</f>
        <v>941450</v>
      </c>
    </row>
    <row r="982" spans="1:6" x14ac:dyDescent="0.3">
      <c r="A982" s="35">
        <f>inflasi!$G986</f>
        <v>44950</v>
      </c>
      <c r="B982" s="33">
        <f>inflasi!$H986</f>
        <v>5.28</v>
      </c>
      <c r="C982" s="33">
        <f>'suku bunga'!$H986</f>
        <v>5.75</v>
      </c>
      <c r="D982" s="48">
        <f>'nilai tukar'!$H986</f>
        <v>14930</v>
      </c>
      <c r="E982" s="33">
        <f>'minyak mentah'!H986</f>
        <v>78.540000000000006</v>
      </c>
      <c r="F982" s="46">
        <f>emas!H986</f>
        <v>938920</v>
      </c>
    </row>
    <row r="983" spans="1:6" x14ac:dyDescent="0.3">
      <c r="A983" s="35">
        <f>inflasi!$G987</f>
        <v>44949</v>
      </c>
      <c r="B983" s="33">
        <f>inflasi!$H987</f>
        <v>5.28</v>
      </c>
      <c r="C983" s="33">
        <f>'suku bunga'!$H987</f>
        <v>5.75</v>
      </c>
      <c r="D983" s="48">
        <f>'nilai tukar'!$H987</f>
        <v>15121</v>
      </c>
      <c r="E983" s="33">
        <f>'minyak mentah'!H987</f>
        <v>78.540000000000006</v>
      </c>
      <c r="F983" s="46">
        <f>emas!H987</f>
        <v>943970</v>
      </c>
    </row>
    <row r="984" spans="1:6" x14ac:dyDescent="0.3">
      <c r="A984" s="35">
        <f>inflasi!$G988</f>
        <v>44948</v>
      </c>
      <c r="B984" s="33">
        <f>inflasi!$H988</f>
        <v>5.28</v>
      </c>
      <c r="C984" s="33">
        <f>'suku bunga'!$H988</f>
        <v>5.75</v>
      </c>
      <c r="D984" s="48">
        <f>'nilai tukar'!$H988</f>
        <v>15121</v>
      </c>
      <c r="E984" s="33">
        <f>'minyak mentah'!H988</f>
        <v>78.540000000000006</v>
      </c>
      <c r="F984" s="46">
        <f>emas!H988</f>
        <v>943970</v>
      </c>
    </row>
    <row r="985" spans="1:6" x14ac:dyDescent="0.3">
      <c r="A985" s="35">
        <f>inflasi!$G989</f>
        <v>44947</v>
      </c>
      <c r="B985" s="33">
        <f>inflasi!$H989</f>
        <v>5.28</v>
      </c>
      <c r="C985" s="33">
        <f>'suku bunga'!$H989</f>
        <v>5.75</v>
      </c>
      <c r="D985" s="48">
        <f>'nilai tukar'!$H989</f>
        <v>15121</v>
      </c>
      <c r="E985" s="33">
        <f>'minyak mentah'!H989</f>
        <v>78.540000000000006</v>
      </c>
      <c r="F985" s="46">
        <f>emas!H989</f>
        <v>943970</v>
      </c>
    </row>
    <row r="986" spans="1:6" x14ac:dyDescent="0.3">
      <c r="A986" s="35">
        <f>inflasi!$G990</f>
        <v>44946</v>
      </c>
      <c r="B986" s="33">
        <f>inflasi!$H990</f>
        <v>5.28</v>
      </c>
      <c r="C986" s="33">
        <f>'suku bunga'!$H990</f>
        <v>5.75</v>
      </c>
      <c r="D986" s="48">
        <f>'nilai tukar'!$H990</f>
        <v>15121</v>
      </c>
      <c r="E986" s="33">
        <f>'minyak mentah'!H990</f>
        <v>78.540000000000006</v>
      </c>
      <c r="F986" s="46">
        <f>emas!H990</f>
        <v>948010</v>
      </c>
    </row>
    <row r="987" spans="1:6" x14ac:dyDescent="0.3">
      <c r="A987" s="35">
        <f>inflasi!$G991</f>
        <v>44945</v>
      </c>
      <c r="B987" s="33">
        <f>inflasi!$H991</f>
        <v>5.28</v>
      </c>
      <c r="C987" s="33">
        <f>'suku bunga'!$H991</f>
        <v>5.75</v>
      </c>
      <c r="D987" s="48">
        <f>'nilai tukar'!$H991</f>
        <v>15113</v>
      </c>
      <c r="E987" s="33">
        <f>'minyak mentah'!H991</f>
        <v>78.540000000000006</v>
      </c>
      <c r="F987" s="46">
        <f>emas!H991</f>
        <v>944980</v>
      </c>
    </row>
    <row r="988" spans="1:6" x14ac:dyDescent="0.3">
      <c r="A988" s="35">
        <f>inflasi!$G992</f>
        <v>44944</v>
      </c>
      <c r="B988" s="33">
        <f>inflasi!$H992</f>
        <v>5.28</v>
      </c>
      <c r="C988" s="33">
        <f>'suku bunga'!$H992</f>
        <v>5.5</v>
      </c>
      <c r="D988" s="48">
        <f>'nilai tukar'!$H992</f>
        <v>15137</v>
      </c>
      <c r="E988" s="33">
        <f>'minyak mentah'!H992</f>
        <v>78.540000000000006</v>
      </c>
      <c r="F988" s="46">
        <f>emas!H992</f>
        <v>935900</v>
      </c>
    </row>
    <row r="989" spans="1:6" x14ac:dyDescent="0.3">
      <c r="A989" s="35">
        <f>inflasi!$G993</f>
        <v>44943</v>
      </c>
      <c r="B989" s="33">
        <f>inflasi!$H993</f>
        <v>5.28</v>
      </c>
      <c r="C989" s="33">
        <f>'suku bunga'!$H993</f>
        <v>5.5</v>
      </c>
      <c r="D989" s="48">
        <f>'nilai tukar'!$H993</f>
        <v>15154</v>
      </c>
      <c r="E989" s="33">
        <f>'minyak mentah'!H993</f>
        <v>78.540000000000006</v>
      </c>
      <c r="F989" s="46">
        <f>emas!H993</f>
        <v>950020</v>
      </c>
    </row>
    <row r="990" spans="1:6" x14ac:dyDescent="0.3">
      <c r="A990" s="35">
        <f>inflasi!$G994</f>
        <v>44942</v>
      </c>
      <c r="B990" s="33">
        <f>inflasi!$H994</f>
        <v>5.28</v>
      </c>
      <c r="C990" s="33">
        <f>'suku bunga'!$H994</f>
        <v>5.5</v>
      </c>
      <c r="D990" s="48">
        <f>'nilai tukar'!$H994</f>
        <v>15019</v>
      </c>
      <c r="E990" s="33">
        <f>'minyak mentah'!H994</f>
        <v>78.540000000000006</v>
      </c>
      <c r="F990" s="46">
        <f>emas!H994</f>
        <v>950000</v>
      </c>
    </row>
    <row r="991" spans="1:6" x14ac:dyDescent="0.3">
      <c r="A991" s="35">
        <f>inflasi!$G995</f>
        <v>44941</v>
      </c>
      <c r="B991" s="33">
        <f>inflasi!$H995</f>
        <v>5.28</v>
      </c>
      <c r="C991" s="33">
        <f>'suku bunga'!$H995</f>
        <v>5.5</v>
      </c>
      <c r="D991" s="48">
        <f>'nilai tukar'!$H995</f>
        <v>15177</v>
      </c>
      <c r="E991" s="33">
        <f>'minyak mentah'!H995</f>
        <v>78.540000000000006</v>
      </c>
      <c r="F991" s="46">
        <f>emas!H995</f>
        <v>965160</v>
      </c>
    </row>
    <row r="992" spans="1:6" x14ac:dyDescent="0.3">
      <c r="A992" s="35">
        <f>inflasi!$G996</f>
        <v>44940</v>
      </c>
      <c r="B992" s="33">
        <f>inflasi!$H996</f>
        <v>5.28</v>
      </c>
      <c r="C992" s="33">
        <f>'suku bunga'!$H996</f>
        <v>5.5</v>
      </c>
      <c r="D992" s="48">
        <f>'nilai tukar'!$H996</f>
        <v>15177</v>
      </c>
      <c r="E992" s="33">
        <f>'minyak mentah'!H996</f>
        <v>78.540000000000006</v>
      </c>
      <c r="F992" s="46">
        <f>emas!H996</f>
        <v>965160</v>
      </c>
    </row>
    <row r="993" spans="1:6" x14ac:dyDescent="0.3">
      <c r="A993" s="35">
        <f>inflasi!$G997</f>
        <v>44939</v>
      </c>
      <c r="B993" s="33">
        <f>inflasi!$H997</f>
        <v>5.28</v>
      </c>
      <c r="C993" s="33">
        <f>'suku bunga'!$H997</f>
        <v>5.5</v>
      </c>
      <c r="D993" s="48">
        <f>'nilai tukar'!$H997</f>
        <v>15177</v>
      </c>
      <c r="E993" s="33">
        <f>'minyak mentah'!H997</f>
        <v>78.540000000000006</v>
      </c>
      <c r="F993" s="46">
        <f>emas!H997</f>
        <v>941450</v>
      </c>
    </row>
    <row r="994" spans="1:6" x14ac:dyDescent="0.3">
      <c r="A994" s="35">
        <f>inflasi!$G998</f>
        <v>44938</v>
      </c>
      <c r="B994" s="33">
        <f>inflasi!$H998</f>
        <v>5.28</v>
      </c>
      <c r="C994" s="33">
        <f>'suku bunga'!$H998</f>
        <v>5.5</v>
      </c>
      <c r="D994" s="48">
        <f>'nilai tukar'!$H998</f>
        <v>15366</v>
      </c>
      <c r="E994" s="33">
        <f>'minyak mentah'!H998</f>
        <v>78.540000000000006</v>
      </c>
      <c r="F994" s="46">
        <f>emas!H998</f>
        <v>938920</v>
      </c>
    </row>
    <row r="995" spans="1:6" x14ac:dyDescent="0.3">
      <c r="A995" s="35">
        <f>inflasi!$G999</f>
        <v>44937</v>
      </c>
      <c r="B995" s="33">
        <f>inflasi!$H999</f>
        <v>5.28</v>
      </c>
      <c r="C995" s="33">
        <f>'suku bunga'!$H999</f>
        <v>5.5</v>
      </c>
      <c r="D995" s="48">
        <f>'nilai tukar'!$H999</f>
        <v>15527</v>
      </c>
      <c r="E995" s="33">
        <f>'minyak mentah'!H999</f>
        <v>78.540000000000006</v>
      </c>
      <c r="F995" s="46">
        <f>emas!H999</f>
        <v>950530</v>
      </c>
    </row>
    <row r="996" spans="1:6" x14ac:dyDescent="0.3">
      <c r="A996" s="35">
        <f>inflasi!$G1000</f>
        <v>44936</v>
      </c>
      <c r="B996" s="33">
        <f>inflasi!$H1000</f>
        <v>5.28</v>
      </c>
      <c r="C996" s="33">
        <f>'suku bunga'!$H1000</f>
        <v>5.5</v>
      </c>
      <c r="D996" s="48">
        <f>'nilai tukar'!$H1000</f>
        <v>15589</v>
      </c>
      <c r="E996" s="33">
        <f>'minyak mentah'!H1000</f>
        <v>78.540000000000006</v>
      </c>
      <c r="F996" s="46">
        <f>emas!H1000</f>
        <v>952550</v>
      </c>
    </row>
    <row r="997" spans="1:6" x14ac:dyDescent="0.3">
      <c r="A997" s="35">
        <f>inflasi!$G1001</f>
        <v>44935</v>
      </c>
      <c r="B997" s="33">
        <f>inflasi!$H1001</f>
        <v>5.28</v>
      </c>
      <c r="C997" s="33">
        <f>'suku bunga'!$H1001</f>
        <v>5.5</v>
      </c>
      <c r="D997" s="48">
        <f>'nilai tukar'!$H1001</f>
        <v>15574</v>
      </c>
      <c r="E997" s="33">
        <f>'minyak mentah'!H1001</f>
        <v>78.540000000000006</v>
      </c>
      <c r="F997" s="46">
        <f>emas!H1001</f>
        <v>954060</v>
      </c>
    </row>
    <row r="998" spans="1:6" x14ac:dyDescent="0.3">
      <c r="A998" s="35">
        <f>inflasi!$G1002</f>
        <v>44934</v>
      </c>
      <c r="B998" s="33">
        <f>inflasi!$H1002</f>
        <v>5.28</v>
      </c>
      <c r="C998" s="33">
        <f>'suku bunga'!$H1002</f>
        <v>5.5</v>
      </c>
      <c r="D998" s="48">
        <f>'nilai tukar'!$H1002</f>
        <v>15635</v>
      </c>
      <c r="E998" s="33">
        <f>'minyak mentah'!H1002</f>
        <v>78.540000000000006</v>
      </c>
      <c r="F998" s="46">
        <f>emas!H1002</f>
        <v>951030</v>
      </c>
    </row>
    <row r="999" spans="1:6" x14ac:dyDescent="0.3">
      <c r="A999" s="35">
        <f>inflasi!$G1003</f>
        <v>44933</v>
      </c>
      <c r="B999" s="33">
        <f>inflasi!$H1003</f>
        <v>5.28</v>
      </c>
      <c r="C999" s="33">
        <f>'suku bunga'!$H1003</f>
        <v>5.5</v>
      </c>
      <c r="D999" s="48">
        <f>'nilai tukar'!$H1003</f>
        <v>15635</v>
      </c>
      <c r="E999" s="33">
        <f>'minyak mentah'!H1003</f>
        <v>78.540000000000006</v>
      </c>
      <c r="F999" s="46">
        <f>emas!H1003</f>
        <v>951030</v>
      </c>
    </row>
    <row r="1000" spans="1:6" x14ac:dyDescent="0.3">
      <c r="A1000" s="35">
        <f>inflasi!$G1004</f>
        <v>44932</v>
      </c>
      <c r="B1000" s="33">
        <f>inflasi!$H1004</f>
        <v>5.28</v>
      </c>
      <c r="C1000" s="33">
        <f>'suku bunga'!$H1004</f>
        <v>5.5</v>
      </c>
      <c r="D1000" s="48">
        <f>'nilai tukar'!$H1004</f>
        <v>15635</v>
      </c>
      <c r="E1000" s="33">
        <f>'minyak mentah'!H1004</f>
        <v>78.540000000000006</v>
      </c>
      <c r="F1000" s="46">
        <f>emas!H1004</f>
        <v>936910</v>
      </c>
    </row>
    <row r="1001" spans="1:6" x14ac:dyDescent="0.3">
      <c r="A1001" s="35">
        <f>inflasi!$G1005</f>
        <v>44931</v>
      </c>
      <c r="B1001" s="33">
        <f>inflasi!$H1005</f>
        <v>5.28</v>
      </c>
      <c r="C1001" s="33">
        <f>'suku bunga'!$H1005</f>
        <v>5.5</v>
      </c>
      <c r="D1001" s="48">
        <f>'nilai tukar'!$H1005</f>
        <v>15610</v>
      </c>
      <c r="E1001" s="33">
        <f>'minyak mentah'!H1005</f>
        <v>78.540000000000006</v>
      </c>
      <c r="F1001" s="46">
        <f>emas!H1005</f>
        <v>938920</v>
      </c>
    </row>
    <row r="1002" spans="1:6" x14ac:dyDescent="0.3">
      <c r="A1002" s="35">
        <f>inflasi!$G1006</f>
        <v>44930</v>
      </c>
      <c r="B1002" s="33">
        <f>inflasi!$H1006</f>
        <v>5.28</v>
      </c>
      <c r="C1002" s="33">
        <f>'suku bunga'!$H1006</f>
        <v>5.5</v>
      </c>
      <c r="D1002" s="48">
        <f>'nilai tukar'!$H1006</f>
        <v>15615</v>
      </c>
      <c r="E1002" s="33">
        <f>'minyak mentah'!H1006</f>
        <v>78.540000000000006</v>
      </c>
      <c r="F1002" s="46">
        <f>emas!H1006</f>
        <v>936400</v>
      </c>
    </row>
    <row r="1003" spans="1:6" x14ac:dyDescent="0.3">
      <c r="A1003" s="35">
        <f>inflasi!$G1007</f>
        <v>44929</v>
      </c>
      <c r="B1003" s="33">
        <f>inflasi!$H1007</f>
        <v>5.28</v>
      </c>
      <c r="C1003" s="33">
        <f>'suku bunga'!$H1007</f>
        <v>5.5</v>
      </c>
      <c r="D1003" s="48">
        <f>'nilai tukar'!$H1007</f>
        <v>15590</v>
      </c>
      <c r="E1003" s="33">
        <f>'minyak mentah'!H1007</f>
        <v>78.540000000000006</v>
      </c>
      <c r="F1003" s="46">
        <f>emas!H1007</f>
        <v>932370</v>
      </c>
    </row>
    <row r="1004" spans="1:6" x14ac:dyDescent="0.3">
      <c r="A1004" s="35">
        <f>inflasi!$G1008</f>
        <v>44928</v>
      </c>
      <c r="B1004" s="33">
        <f>inflasi!$H1008</f>
        <v>5.28</v>
      </c>
      <c r="C1004" s="33">
        <f>'suku bunga'!$H1008</f>
        <v>5.5</v>
      </c>
      <c r="D1004" s="48">
        <f>'nilai tukar'!$H1008</f>
        <v>15572</v>
      </c>
      <c r="E1004" s="33">
        <f>'minyak mentah'!H1008</f>
        <v>78.540000000000006</v>
      </c>
      <c r="F1004" s="46">
        <f>emas!H1008</f>
        <v>931360</v>
      </c>
    </row>
    <row r="1005" spans="1:6" x14ac:dyDescent="0.3">
      <c r="A1005" s="35">
        <f>inflasi!$G1009</f>
        <v>44927</v>
      </c>
      <c r="B1005" s="33">
        <f>inflasi!$H1009</f>
        <v>5.28</v>
      </c>
      <c r="C1005" s="33">
        <f>'suku bunga'!$H1009</f>
        <v>5.5</v>
      </c>
      <c r="D1005" s="48">
        <f>'nilai tukar'!$H1009</f>
        <v>15592</v>
      </c>
      <c r="E1005" s="33">
        <f>'minyak mentah'!H1009</f>
        <v>78.540000000000006</v>
      </c>
      <c r="F1005" s="46">
        <f>emas!H1009</f>
        <v>922780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inflasi</vt:lpstr>
      <vt:lpstr>suku bunga</vt:lpstr>
      <vt:lpstr>nilai tukar</vt:lpstr>
      <vt:lpstr>minyak mentah</vt:lpstr>
      <vt:lpstr>emas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Fadlan Iman</cp:lastModifiedBy>
  <cp:lastPrinted>2025-11-06T04:34:04Z</cp:lastPrinted>
  <dcterms:modified xsi:type="dcterms:W3CDTF">2026-06-04T18:21:40Z</dcterms:modified>
</cp:coreProperties>
</file>